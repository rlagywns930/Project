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4c262df68803ff/바탕 화면/"/>
    </mc:Choice>
  </mc:AlternateContent>
  <xr:revisionPtr revIDLastSave="0" documentId="8_{13B4704F-7F7B-42B1-861C-E4EEB4A421C5}" xr6:coauthVersionLast="45" xr6:coauthVersionMax="45" xr10:uidLastSave="{00000000-0000-0000-0000-000000000000}"/>
  <bookViews>
    <workbookView xWindow="-110" yWindow="-110" windowWidth="19420" windowHeight="10420" tabRatio="706" activeTab="1" xr2:uid="{00000000-000D-0000-FFFF-FFFF00000000}"/>
  </bookViews>
  <sheets>
    <sheet name="주문내역" sheetId="1" r:id="rId1"/>
    <sheet name="고객정보" sheetId="2" r:id="rId2"/>
    <sheet name="상품정보" sheetId="3" r:id="rId3"/>
  </sheets>
  <definedNames>
    <definedName name="_xlnm._FilterDatabase" localSheetId="1" hidden="1">고객정보!$A$1:$D$151</definedName>
    <definedName name="_xlnm._FilterDatabase" localSheetId="2" hidden="1">상품정보!$A$1:$E$1</definedName>
    <definedName name="_xlnm._FilterDatabase" localSheetId="0" hidden="1">주문내역!$A$1:$I$2001</definedName>
  </definedNames>
  <calcPr calcId="191029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N2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" i="1"/>
  <c r="P2" i="1" l="1"/>
</calcChain>
</file>

<file path=xl/sharedStrings.xml><?xml version="1.0" encoding="utf-8"?>
<sst xmlns="http://schemas.openxmlformats.org/spreadsheetml/2006/main" count="10718" uniqueCount="2662">
  <si>
    <t>주문일</t>
  </si>
  <si>
    <t>주문번호</t>
  </si>
  <si>
    <t>고객ID</t>
  </si>
  <si>
    <t>상품ID</t>
  </si>
  <si>
    <t>수량</t>
  </si>
  <si>
    <t>단가</t>
  </si>
  <si>
    <t>배송비</t>
  </si>
  <si>
    <t>할인금액</t>
  </si>
  <si>
    <t>2024-05-05</t>
  </si>
  <si>
    <t>2024-12-12</t>
  </si>
  <si>
    <t>2024-08-04</t>
  </si>
  <si>
    <t>2024-04-21</t>
  </si>
  <si>
    <t>2024-01-14</t>
  </si>
  <si>
    <t>2024-08-02</t>
  </si>
  <si>
    <t>2024-05-22</t>
  </si>
  <si>
    <t>2024-12-23</t>
  </si>
  <si>
    <t>2024-03-20</t>
  </si>
  <si>
    <t>2024-02-22</t>
  </si>
  <si>
    <t>2024-07-02</t>
  </si>
  <si>
    <t>2024-01-23</t>
  </si>
  <si>
    <t>2024-07-12</t>
  </si>
  <si>
    <t>2024-11-17</t>
  </si>
  <si>
    <t>2024-12-26</t>
  </si>
  <si>
    <t>2025-01-30</t>
  </si>
  <si>
    <t>2024-02-21</t>
  </si>
  <si>
    <t>2024-11-21</t>
  </si>
  <si>
    <t>2024-06-30</t>
  </si>
  <si>
    <t>2024-12-25</t>
  </si>
  <si>
    <t>2024-09-30</t>
  </si>
  <si>
    <t>2024-07-13</t>
  </si>
  <si>
    <t>2024-04-22</t>
  </si>
  <si>
    <t>2024-04-27</t>
  </si>
  <si>
    <t>2024-07-24</t>
  </si>
  <si>
    <t>2024-10-17</t>
  </si>
  <si>
    <t>2024-07-21</t>
  </si>
  <si>
    <t>2024-03-12</t>
  </si>
  <si>
    <t>2024-10-02</t>
  </si>
  <si>
    <t>2024-08-07</t>
  </si>
  <si>
    <t>2024-02-16</t>
  </si>
  <si>
    <t>2024-03-19</t>
  </si>
  <si>
    <t>2024-11-01</t>
  </si>
  <si>
    <t>2024-10-10</t>
  </si>
  <si>
    <t>2024-12-15</t>
  </si>
  <si>
    <t>2025-01-28</t>
  </si>
  <si>
    <t>2024-08-10</t>
  </si>
  <si>
    <t>2025-01-04</t>
  </si>
  <si>
    <t>2024-09-16</t>
  </si>
  <si>
    <t>2024-11-23</t>
  </si>
  <si>
    <t>2024-10-03</t>
  </si>
  <si>
    <t>2024-11-02</t>
  </si>
  <si>
    <t>2024-02-27</t>
  </si>
  <si>
    <t>2024-05-02</t>
  </si>
  <si>
    <t>2024-02-10</t>
  </si>
  <si>
    <t>2024-02-05</t>
  </si>
  <si>
    <t>2024-03-06</t>
  </si>
  <si>
    <t>2024-05-15</t>
  </si>
  <si>
    <t>2025-01-21</t>
  </si>
  <si>
    <t>2024-07-23</t>
  </si>
  <si>
    <t>2024-08-19</t>
  </si>
  <si>
    <t>2024-02-02</t>
  </si>
  <si>
    <t>2024-01-04</t>
  </si>
  <si>
    <t>2024-06-18</t>
  </si>
  <si>
    <t>2024-03-08</t>
  </si>
  <si>
    <t>2024-05-04</t>
  </si>
  <si>
    <t>2024-04-07</t>
  </si>
  <si>
    <t>2025-01-08</t>
  </si>
  <si>
    <t>2024-02-01</t>
  </si>
  <si>
    <t>2024-02-25</t>
  </si>
  <si>
    <t>2024-10-01</t>
  </si>
  <si>
    <t>2024-04-03</t>
  </si>
  <si>
    <t>2024-02-08</t>
  </si>
  <si>
    <t>2024-02-20</t>
  </si>
  <si>
    <t>2024-01-08</t>
  </si>
  <si>
    <t>2024-03-26</t>
  </si>
  <si>
    <t>2024-04-19</t>
  </si>
  <si>
    <t>2024-03-25</t>
  </si>
  <si>
    <t>2024-12-22</t>
  </si>
  <si>
    <t>2024-01-30</t>
  </si>
  <si>
    <t>2024-10-26</t>
  </si>
  <si>
    <t>2024-03-21</t>
  </si>
  <si>
    <t>2024-04-05</t>
  </si>
  <si>
    <t>2024-12-11</t>
  </si>
  <si>
    <t>2024-10-18</t>
  </si>
  <si>
    <t>2024-01-21</t>
  </si>
  <si>
    <t>2024-10-16</t>
  </si>
  <si>
    <t>2024-04-14</t>
  </si>
  <si>
    <t>2024-08-22</t>
  </si>
  <si>
    <t>2024-01-05</t>
  </si>
  <si>
    <t>2024-03-09</t>
  </si>
  <si>
    <t>2025-01-15</t>
  </si>
  <si>
    <t>2024-05-24</t>
  </si>
  <si>
    <t>2024-05-08</t>
  </si>
  <si>
    <t>2024-05-21</t>
  </si>
  <si>
    <t>2025-01-29</t>
  </si>
  <si>
    <t>2024-03-23</t>
  </si>
  <si>
    <t>2024-10-14</t>
  </si>
  <si>
    <t>2024-12-19</t>
  </si>
  <si>
    <t>2024-07-08</t>
  </si>
  <si>
    <t>2024-08-08</t>
  </si>
  <si>
    <t>2024-07-05</t>
  </si>
  <si>
    <t>2024-04-17</t>
  </si>
  <si>
    <t>2024-11-13</t>
  </si>
  <si>
    <t>2024-03-24</t>
  </si>
  <si>
    <t>2024-01-13</t>
  </si>
  <si>
    <t>2024-07-29</t>
  </si>
  <si>
    <t>2024-08-28</t>
  </si>
  <si>
    <t>2024-06-28</t>
  </si>
  <si>
    <t>2024-04-24</t>
  </si>
  <si>
    <t>2024-02-29</t>
  </si>
  <si>
    <t>2024-08-11</t>
  </si>
  <si>
    <t>2024-10-22</t>
  </si>
  <si>
    <t>2024-12-28</t>
  </si>
  <si>
    <t>2024-12-05</t>
  </si>
  <si>
    <t>2024-06-16</t>
  </si>
  <si>
    <t>2024-12-06</t>
  </si>
  <si>
    <t>2024-11-11</t>
  </si>
  <si>
    <t>2024-10-07</t>
  </si>
  <si>
    <t>2024-11-06</t>
  </si>
  <si>
    <t>2024-08-14</t>
  </si>
  <si>
    <t>2025-01-11</t>
  </si>
  <si>
    <t>2024-05-25</t>
  </si>
  <si>
    <t>2024-06-20</t>
  </si>
  <si>
    <t>2024-12-10</t>
  </si>
  <si>
    <t>2024-03-16</t>
  </si>
  <si>
    <t>2024-08-31</t>
  </si>
  <si>
    <t>2024-11-18</t>
  </si>
  <si>
    <t>2024-09-10</t>
  </si>
  <si>
    <t>2024-12-01</t>
  </si>
  <si>
    <t>2024-08-05</t>
  </si>
  <si>
    <t>2024-08-25</t>
  </si>
  <si>
    <t>2024-03-03</t>
  </si>
  <si>
    <t>2024-12-07</t>
  </si>
  <si>
    <t>2024-06-11</t>
  </si>
  <si>
    <t>2024-08-06</t>
  </si>
  <si>
    <t>2025-01-19</t>
  </si>
  <si>
    <t>2025-01-27</t>
  </si>
  <si>
    <t>2024-05-20</t>
  </si>
  <si>
    <t>2024-04-30</t>
  </si>
  <si>
    <t>2024-04-28</t>
  </si>
  <si>
    <t>2024-12-27</t>
  </si>
  <si>
    <t>2024-07-27</t>
  </si>
  <si>
    <t>2024-07-31</t>
  </si>
  <si>
    <t>2024-07-18</t>
  </si>
  <si>
    <t>2025-01-26</t>
  </si>
  <si>
    <t>2024-11-04</t>
  </si>
  <si>
    <t>2024-05-19</t>
  </si>
  <si>
    <t>2025-01-05</t>
  </si>
  <si>
    <t>2024-10-30</t>
  </si>
  <si>
    <t>2024-02-12</t>
  </si>
  <si>
    <t>2024-06-21</t>
  </si>
  <si>
    <t>2024-05-09</t>
  </si>
  <si>
    <t>2025-01-18</t>
  </si>
  <si>
    <t>2024-01-11</t>
  </si>
  <si>
    <t>2024-08-30</t>
  </si>
  <si>
    <t>2024-08-26</t>
  </si>
  <si>
    <t>2024-06-08</t>
  </si>
  <si>
    <t>2024-07-22</t>
  </si>
  <si>
    <t>2024-12-16</t>
  </si>
  <si>
    <t>2024-01-22</t>
  </si>
  <si>
    <t>2024-12-04</t>
  </si>
  <si>
    <t>2024-11-27</t>
  </si>
  <si>
    <t>2024-09-07</t>
  </si>
  <si>
    <t>2024-11-29</t>
  </si>
  <si>
    <t>2024-09-04</t>
  </si>
  <si>
    <t>2024-05-17</t>
  </si>
  <si>
    <t>2024-02-14</t>
  </si>
  <si>
    <t>2024-12-08</t>
  </si>
  <si>
    <t>2024-04-18</t>
  </si>
  <si>
    <t>2024-06-23</t>
  </si>
  <si>
    <t>2024-09-21</t>
  </si>
  <si>
    <t>2025-01-03</t>
  </si>
  <si>
    <t>2025-01-23</t>
  </si>
  <si>
    <t>2024-11-26</t>
  </si>
  <si>
    <t>2024-02-17</t>
  </si>
  <si>
    <t>2024-12-20</t>
  </si>
  <si>
    <t>2024-07-07</t>
  </si>
  <si>
    <t>2024-06-25</t>
  </si>
  <si>
    <t>2024-05-18</t>
  </si>
  <si>
    <t>2024-03-02</t>
  </si>
  <si>
    <t>2024-04-08</t>
  </si>
  <si>
    <t>2024-07-03</t>
  </si>
  <si>
    <t>2024-01-24</t>
  </si>
  <si>
    <t>2024-04-04</t>
  </si>
  <si>
    <t>2024-02-28</t>
  </si>
  <si>
    <t>2024-02-07</t>
  </si>
  <si>
    <t>2024-03-18</t>
  </si>
  <si>
    <t>2024-06-04</t>
  </si>
  <si>
    <t>2024-10-12</t>
  </si>
  <si>
    <t>2024-11-12</t>
  </si>
  <si>
    <t>2024-06-01</t>
  </si>
  <si>
    <t>2025-01-25</t>
  </si>
  <si>
    <t>2024-03-29</t>
  </si>
  <si>
    <t>2024-01-02</t>
  </si>
  <si>
    <t>2024-05-27</t>
  </si>
  <si>
    <t>2024-02-06</t>
  </si>
  <si>
    <t>2024-11-16</t>
  </si>
  <si>
    <t>2024-10-05</t>
  </si>
  <si>
    <t>2024-05-16</t>
  </si>
  <si>
    <t>2024-12-18</t>
  </si>
  <si>
    <t>2024-08-12</t>
  </si>
  <si>
    <t>2024-08-09</t>
  </si>
  <si>
    <t>2024-10-27</t>
  </si>
  <si>
    <t>2024-06-27</t>
  </si>
  <si>
    <t>2024-12-09</t>
  </si>
  <si>
    <t>2024-06-17</t>
  </si>
  <si>
    <t>2024-01-19</t>
  </si>
  <si>
    <t>2024-09-20</t>
  </si>
  <si>
    <t>2024-08-24</t>
  </si>
  <si>
    <t>2024-09-22</t>
  </si>
  <si>
    <t>2024-04-25</t>
  </si>
  <si>
    <t>2024-09-17</t>
  </si>
  <si>
    <t>2024-08-29</t>
  </si>
  <si>
    <t>2024-03-15</t>
  </si>
  <si>
    <t>2024-03-17</t>
  </si>
  <si>
    <t>2024-04-06</t>
  </si>
  <si>
    <t>2024-04-29</t>
  </si>
  <si>
    <t>2025-01-16</t>
  </si>
  <si>
    <t>2024-07-16</t>
  </si>
  <si>
    <t>2024-03-05</t>
  </si>
  <si>
    <t>2024-08-21</t>
  </si>
  <si>
    <t>2024-07-28</t>
  </si>
  <si>
    <t>2024-11-28</t>
  </si>
  <si>
    <t>2024-04-26</t>
  </si>
  <si>
    <t>2025-01-24</t>
  </si>
  <si>
    <t>2024-12-21</t>
  </si>
  <si>
    <t>2024-05-30</t>
  </si>
  <si>
    <t>2024-09-11</t>
  </si>
  <si>
    <t>2024-10-19</t>
  </si>
  <si>
    <t>2024-12-24</t>
  </si>
  <si>
    <t>2024-06-07</t>
  </si>
  <si>
    <t>2024-09-28</t>
  </si>
  <si>
    <t>2024-05-31</t>
  </si>
  <si>
    <t>2024-08-27</t>
  </si>
  <si>
    <t>2024-07-06</t>
  </si>
  <si>
    <t>2024-08-20</t>
  </si>
  <si>
    <t>2024-04-23</t>
  </si>
  <si>
    <t>2024-08-15</t>
  </si>
  <si>
    <t>2024-11-24</t>
  </si>
  <si>
    <t>2024-04-15</t>
  </si>
  <si>
    <t>2024-04-16</t>
  </si>
  <si>
    <t>2024-03-07</t>
  </si>
  <si>
    <t>2024-02-26</t>
  </si>
  <si>
    <t>2024-01-09</t>
  </si>
  <si>
    <t>2024-07-04</t>
  </si>
  <si>
    <t>2024-11-25</t>
  </si>
  <si>
    <t>2024-09-08</t>
  </si>
  <si>
    <t>2024-06-13</t>
  </si>
  <si>
    <t>2024-07-14</t>
  </si>
  <si>
    <t>2024-09-15</t>
  </si>
  <si>
    <t>2024-07-30</t>
  </si>
  <si>
    <t>2024-06-09</t>
  </si>
  <si>
    <t>2024-07-10</t>
  </si>
  <si>
    <t>2024-02-04</t>
  </si>
  <si>
    <t>2024-10-20</t>
  </si>
  <si>
    <t>2024-12-02</t>
  </si>
  <si>
    <t>2025-01-14</t>
  </si>
  <si>
    <t>2024-04-20</t>
  </si>
  <si>
    <t>2024-01-26</t>
  </si>
  <si>
    <t>2024-09-06</t>
  </si>
  <si>
    <t>2024-01-29</t>
  </si>
  <si>
    <t>2024-05-28</t>
  </si>
  <si>
    <t>2024-09-13</t>
  </si>
  <si>
    <t>2024-07-26</t>
  </si>
  <si>
    <t>2024-02-15</t>
  </si>
  <si>
    <t>2024-09-25</t>
  </si>
  <si>
    <t>2024-03-27</t>
  </si>
  <si>
    <t>2024-03-31</t>
  </si>
  <si>
    <t>2024-10-29</t>
  </si>
  <si>
    <t>2024-01-20</t>
  </si>
  <si>
    <t>2024-02-09</t>
  </si>
  <si>
    <t>2024-08-18</t>
  </si>
  <si>
    <t>2024-12-31</t>
  </si>
  <si>
    <t>2024-03-22</t>
  </si>
  <si>
    <t>2024-07-17</t>
  </si>
  <si>
    <t>2024-12-13</t>
  </si>
  <si>
    <t>2024-02-03</t>
  </si>
  <si>
    <t>2024-10-25</t>
  </si>
  <si>
    <t>2024-07-11</t>
  </si>
  <si>
    <t>2024-03-11</t>
  </si>
  <si>
    <t>2025-01-13</t>
  </si>
  <si>
    <t>2024-04-09</t>
  </si>
  <si>
    <t>2024-08-13</t>
  </si>
  <si>
    <t>2024-07-09</t>
  </si>
  <si>
    <t>2024-12-30</t>
  </si>
  <si>
    <t>2024-08-17</t>
  </si>
  <si>
    <t>2024-01-10</t>
  </si>
  <si>
    <t>2024-01-25</t>
  </si>
  <si>
    <t>2024-10-21</t>
  </si>
  <si>
    <t>2024-05-29</t>
  </si>
  <si>
    <t>2024-06-29</t>
  </si>
  <si>
    <t>2024-07-01</t>
  </si>
  <si>
    <t>2025-01-10</t>
  </si>
  <si>
    <t>2024-11-19</t>
  </si>
  <si>
    <t>2024-04-13</t>
  </si>
  <si>
    <t>2024-05-26</t>
  </si>
  <si>
    <t>2024-06-22</t>
  </si>
  <si>
    <t>2025-01-07</t>
  </si>
  <si>
    <t>2024-11-10</t>
  </si>
  <si>
    <t>2024-11-07</t>
  </si>
  <si>
    <t>2024-11-05</t>
  </si>
  <si>
    <t>2024-05-07</t>
  </si>
  <si>
    <t>2024-09-12</t>
  </si>
  <si>
    <t>2024-03-01</t>
  </si>
  <si>
    <t>2024-03-10</t>
  </si>
  <si>
    <t>2024-10-08</t>
  </si>
  <si>
    <t>2024-03-04</t>
  </si>
  <si>
    <t>2024-06-26</t>
  </si>
  <si>
    <t>2024-02-24</t>
  </si>
  <si>
    <t>2024-03-13</t>
  </si>
  <si>
    <t>2024-07-15</t>
  </si>
  <si>
    <t>2024-05-23</t>
  </si>
  <si>
    <t>2024-07-20</t>
  </si>
  <si>
    <t>2024-04-11</t>
  </si>
  <si>
    <t>2024-06-12</t>
  </si>
  <si>
    <t>2024-08-01</t>
  </si>
  <si>
    <t>2024-01-17</t>
  </si>
  <si>
    <t>2024-06-24</t>
  </si>
  <si>
    <t>2024-11-08</t>
  </si>
  <si>
    <t>2024-09-01</t>
  </si>
  <si>
    <t>2024-03-30</t>
  </si>
  <si>
    <t>2025-01-09</t>
  </si>
  <si>
    <t>2025-01-02</t>
  </si>
  <si>
    <t>2024-08-16</t>
  </si>
  <si>
    <t>2024-11-30</t>
  </si>
  <si>
    <t>2024-02-11</t>
  </si>
  <si>
    <t>2024-09-18</t>
  </si>
  <si>
    <t>2024-10-04</t>
  </si>
  <si>
    <t>2024-04-02</t>
  </si>
  <si>
    <t>2025-01-22</t>
  </si>
  <si>
    <t>2025-01-06</t>
  </si>
  <si>
    <t>2024-05-01</t>
  </si>
  <si>
    <t>2024-06-02</t>
  </si>
  <si>
    <t>2024-10-11</t>
  </si>
  <si>
    <t>2024-01-27</t>
  </si>
  <si>
    <t>2025-01-17</t>
  </si>
  <si>
    <t>2024-10-09</t>
  </si>
  <si>
    <t>2024-06-06</t>
  </si>
  <si>
    <t>2024-10-15</t>
  </si>
  <si>
    <t>2024-10-23</t>
  </si>
  <si>
    <t>2024-04-10</t>
  </si>
  <si>
    <t>2024-04-01</t>
  </si>
  <si>
    <t>2024-09-27</t>
  </si>
  <si>
    <t>2024-05-03</t>
  </si>
  <si>
    <t>2024-01-16</t>
  </si>
  <si>
    <t>2024-01-03</t>
  </si>
  <si>
    <t>2024-06-15</t>
  </si>
  <si>
    <t>2024-10-31</t>
  </si>
  <si>
    <t>2024-06-19</t>
  </si>
  <si>
    <t>2024-04-12</t>
  </si>
  <si>
    <t>2025-01-01</t>
  </si>
  <si>
    <t>2025-01-20</t>
  </si>
  <si>
    <t>2024-12-29</t>
  </si>
  <si>
    <t>2024-06-10</t>
  </si>
  <si>
    <t>2024-01-31</t>
  </si>
  <si>
    <t>2024-05-06</t>
  </si>
  <si>
    <t>2024-07-25</t>
  </si>
  <si>
    <t>2024-06-14</t>
  </si>
  <si>
    <t>2024-01-01</t>
  </si>
  <si>
    <t>2024-10-28</t>
  </si>
  <si>
    <t>2024-11-03</t>
  </si>
  <si>
    <t>2024-12-03</t>
  </si>
  <si>
    <t>2024-11-09</t>
  </si>
  <si>
    <t>2024-05-10</t>
  </si>
  <si>
    <t>2024-02-23</t>
  </si>
  <si>
    <t>2024-05-13</t>
  </si>
  <si>
    <t>2024-05-12</t>
  </si>
  <si>
    <t>2024-09-02</t>
  </si>
  <si>
    <t>2024-09-26</t>
  </si>
  <si>
    <t>2024-09-09</t>
  </si>
  <si>
    <t>2024-05-14</t>
  </si>
  <si>
    <t>2024-09-24</t>
  </si>
  <si>
    <t>2024-09-14</t>
  </si>
  <si>
    <t>2024-09-23</t>
  </si>
  <si>
    <t>2024-12-14</t>
  </si>
  <si>
    <t>2024-11-15</t>
  </si>
  <si>
    <t>2024-09-03</t>
  </si>
  <si>
    <t>2024-11-22</t>
  </si>
  <si>
    <t>2024-02-19</t>
  </si>
  <si>
    <t>2024-08-03</t>
  </si>
  <si>
    <t>2024-10-24</t>
  </si>
  <si>
    <t>2024-03-14</t>
  </si>
  <si>
    <t>2024-06-05</t>
  </si>
  <si>
    <t>2024-12-17</t>
  </si>
  <si>
    <t>2024-06-03</t>
  </si>
  <si>
    <t>2024-05-11</t>
  </si>
  <si>
    <t>2024-02-18</t>
  </si>
  <si>
    <t>2024-01-28</t>
  </si>
  <si>
    <t>2024-01-07</t>
  </si>
  <si>
    <t>2024-11-20</t>
  </si>
  <si>
    <t>2024-10-06</t>
  </si>
  <si>
    <t>2024-01-06</t>
  </si>
  <si>
    <t>2024-02-13</t>
  </si>
  <si>
    <t>2024-01-12</t>
  </si>
  <si>
    <t>2024-10-13</t>
  </si>
  <si>
    <t>2024-01-15</t>
  </si>
  <si>
    <t>2024-08-23</t>
  </si>
  <si>
    <t>2024-09-05</t>
  </si>
  <si>
    <t>2024-09-29</t>
  </si>
  <si>
    <t>2024-03-28</t>
  </si>
  <si>
    <t>2024-07-19</t>
  </si>
  <si>
    <t>2024-01-18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</si>
  <si>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</si>
  <si>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</si>
  <si>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</si>
  <si>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</si>
  <si>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</si>
  <si>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</si>
  <si>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</si>
  <si>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</si>
  <si>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</si>
  <si>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</si>
  <si>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</si>
  <si>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</si>
  <si>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</si>
  <si>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</si>
  <si>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</si>
  <si>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</si>
  <si>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</si>
  <si>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</si>
  <si>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</si>
  <si>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</si>
  <si>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</si>
  <si>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</si>
  <si>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</si>
  <si>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</si>
  <si>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</si>
  <si>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</si>
  <si>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</si>
  <si>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</si>
  <si>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</si>
  <si>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</si>
  <si>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</si>
  <si>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</si>
  <si>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</si>
  <si>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</si>
  <si>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</si>
  <si>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</si>
  <si>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</si>
  <si>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</si>
  <si>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</si>
  <si>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</si>
  <si>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</si>
  <si>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</si>
  <si>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</si>
  <si>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</si>
  <si>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</si>
  <si>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</si>
  <si>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</si>
  <si>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</si>
  <si>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</si>
  <si>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</si>
  <si>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</si>
  <si>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</si>
  <si>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</si>
  <si>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</si>
  <si>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</si>
  <si>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</si>
  <si>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</si>
  <si>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</si>
  <si>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</si>
  <si>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</si>
  <si>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</si>
  <si>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</si>
  <si>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</si>
  <si>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</si>
  <si>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</si>
  <si>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</si>
  <si>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</si>
  <si>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</si>
  <si>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</si>
  <si>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</si>
  <si>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</si>
  <si>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</si>
  <si>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</si>
  <si>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</si>
  <si>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</si>
  <si>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</si>
  <si>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</si>
  <si>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</si>
  <si>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</si>
  <si>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</si>
  <si>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</si>
  <si>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</si>
  <si>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</si>
  <si>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</si>
  <si>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</si>
  <si>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</si>
  <si>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</si>
  <si>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</si>
  <si>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</si>
  <si>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</si>
  <si>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</si>
  <si>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</si>
  <si>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</si>
  <si>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</si>
  <si>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</si>
  <si>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</si>
  <si>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</si>
  <si>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</si>
  <si>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</si>
  <si>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</si>
  <si>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</si>
  <si>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</si>
  <si>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</si>
  <si>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</si>
  <si>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</si>
  <si>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</si>
  <si>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</si>
  <si>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</si>
  <si>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</si>
  <si>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</si>
  <si>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</si>
  <si>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</si>
  <si>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</si>
  <si>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</si>
  <si>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</si>
  <si>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</si>
  <si>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</si>
  <si>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</si>
  <si>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</si>
  <si>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</si>
  <si>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</si>
  <si>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</si>
  <si>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</si>
  <si>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</si>
  <si>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</si>
  <si>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</si>
  <si>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</si>
  <si>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</si>
  <si>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</si>
  <si>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</si>
  <si>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</si>
  <si>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</si>
  <si>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</si>
  <si>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</si>
  <si>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</si>
  <si>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</si>
  <si>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</si>
  <si>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</si>
  <si>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</si>
  <si>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</si>
  <si>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</si>
  <si>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</si>
  <si>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</si>
  <si>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</si>
  <si>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</si>
  <si>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</si>
  <si>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</si>
  <si>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</si>
  <si>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</si>
  <si>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</si>
  <si>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</si>
  <si>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</si>
  <si>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</si>
  <si>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</si>
  <si>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</si>
  <si>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</si>
  <si>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</si>
  <si>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</si>
  <si>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</si>
  <si>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</si>
  <si>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</si>
  <si>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</si>
  <si>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</si>
  <si>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</si>
  <si>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</si>
  <si>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</si>
  <si>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</si>
  <si>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</si>
  <si>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</si>
  <si>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</si>
  <si>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</si>
  <si>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</si>
  <si>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</si>
  <si>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</si>
  <si>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</si>
  <si>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</si>
  <si>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</si>
  <si>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</si>
  <si>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</si>
  <si>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</si>
  <si>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</si>
  <si>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</si>
  <si>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</si>
  <si>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</si>
  <si>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</si>
  <si>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</si>
  <si>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</si>
  <si>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</si>
  <si>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</si>
  <si>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</si>
  <si>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</si>
  <si>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</si>
  <si>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</si>
  <si>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</si>
  <si>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</si>
  <si>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</si>
  <si>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</si>
  <si>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</si>
  <si>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</si>
  <si>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</si>
  <si>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</si>
  <si>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</si>
  <si>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</si>
  <si>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</si>
  <si>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</si>
  <si>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</si>
  <si>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</si>
  <si>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</si>
  <si>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</si>
  <si>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</si>
  <si>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</si>
  <si>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</si>
  <si>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</si>
  <si>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</si>
  <si>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</si>
  <si>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</si>
  <si>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</si>
  <si>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</si>
  <si>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</si>
  <si>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</si>
  <si>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</si>
  <si>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</si>
  <si>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</si>
  <si>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</si>
  <si>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</si>
  <si>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</si>
  <si>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</si>
  <si>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</si>
  <si>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</si>
  <si>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</si>
  <si>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</si>
  <si>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</si>
  <si>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</si>
  <si>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</si>
  <si>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</si>
  <si>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</si>
  <si>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</si>
  <si>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</si>
  <si>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</si>
  <si>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</si>
  <si>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</si>
  <si>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</si>
  <si>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</si>
  <si>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</si>
  <si>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</si>
  <si>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</si>
  <si>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</si>
  <si>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</si>
  <si>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</si>
  <si>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</si>
  <si>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</si>
  <si>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</si>
  <si>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</si>
  <si>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</si>
  <si>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</si>
  <si>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</si>
  <si>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</si>
  <si>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</si>
  <si>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</si>
  <si>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</si>
  <si>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</si>
  <si>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</si>
  <si>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</si>
  <si>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</si>
  <si>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</si>
  <si>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</si>
  <si>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</si>
  <si>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</si>
  <si>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</si>
  <si>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</si>
  <si>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</si>
  <si>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</si>
  <si>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</si>
  <si>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</si>
  <si>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</si>
  <si>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</si>
  <si>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</si>
  <si>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</si>
  <si>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</si>
  <si>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</si>
  <si>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</si>
  <si>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</si>
  <si>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</si>
  <si>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</si>
  <si>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</si>
  <si>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</si>
  <si>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</si>
  <si>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</si>
  <si>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</si>
  <si>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</si>
  <si>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</si>
  <si>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</si>
  <si>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</si>
  <si>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</si>
  <si>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</si>
  <si>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</si>
  <si>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</si>
  <si>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</si>
  <si>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</si>
  <si>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</si>
  <si>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</si>
  <si>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</si>
  <si>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</si>
  <si>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</si>
  <si>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</si>
  <si>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</si>
  <si>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</si>
  <si>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</si>
  <si>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</si>
  <si>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</si>
  <si>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</si>
  <si>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</si>
  <si>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</si>
  <si>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</si>
  <si>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</si>
  <si>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</si>
  <si>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</si>
  <si>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</si>
  <si>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</si>
  <si>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</si>
  <si>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</si>
  <si>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</si>
  <si>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</si>
  <si>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</si>
  <si>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</si>
  <si>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</si>
  <si>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</si>
  <si>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</si>
  <si>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</si>
  <si>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</si>
  <si>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</si>
  <si>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</si>
  <si>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</si>
  <si>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</si>
  <si>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</si>
  <si>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</si>
  <si>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</si>
  <si>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</si>
  <si>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</si>
  <si>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</si>
  <si>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</si>
  <si>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</si>
  <si>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</si>
  <si>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</si>
  <si>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</si>
  <si>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</si>
  <si>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</si>
  <si>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</si>
  <si>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</si>
  <si>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</si>
  <si>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</si>
  <si>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</si>
  <si>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</si>
  <si>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</si>
  <si>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</si>
  <si>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</si>
  <si>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</si>
  <si>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</si>
  <si>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</si>
  <si>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</si>
  <si>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</si>
  <si>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</si>
  <si>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</si>
  <si>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</si>
  <si>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</si>
  <si>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</si>
  <si>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</si>
  <si>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</si>
  <si>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</si>
  <si>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</si>
  <si>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</si>
  <si>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</si>
  <si>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</si>
  <si>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</si>
  <si>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</si>
  <si>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</si>
  <si>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</si>
  <si>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</si>
  <si>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</si>
  <si>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</si>
  <si>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</si>
  <si>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</si>
  <si>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</si>
  <si>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</si>
  <si>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</si>
  <si>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</si>
  <si>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</si>
  <si>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</si>
  <si>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</si>
  <si>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</si>
  <si>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</si>
  <si>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</si>
  <si>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</si>
  <si>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</si>
  <si>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</si>
  <si>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</si>
  <si>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</si>
  <si>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</si>
  <si>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</si>
  <si>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</si>
  <si>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</si>
  <si>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</si>
  <si>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</si>
  <si>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</si>
  <si>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</si>
  <si>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</si>
  <si>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</si>
  <si>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</si>
  <si>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</si>
  <si>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</si>
  <si>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</si>
  <si>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</si>
  <si>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</si>
  <si>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</si>
  <si>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</si>
  <si>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</si>
  <si>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</si>
  <si>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</si>
  <si>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</si>
  <si>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</si>
  <si>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</si>
  <si>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</si>
  <si>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</si>
  <si>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</si>
  <si>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</si>
  <si>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</si>
  <si>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</si>
  <si>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</si>
  <si>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</si>
  <si>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</si>
  <si>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</si>
  <si>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</si>
  <si>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</si>
  <si>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</si>
  <si>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</si>
  <si>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</si>
  <si>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</si>
  <si>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</si>
  <si>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</si>
  <si>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</si>
  <si>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</si>
  <si>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</si>
  <si>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</si>
  <si>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</si>
  <si>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</si>
  <si>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</si>
  <si>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</si>
  <si>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</si>
  <si>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</si>
  <si>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</si>
  <si>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</si>
  <si>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</si>
  <si>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</si>
  <si>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</si>
  <si>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</si>
  <si>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</si>
  <si>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</si>
  <si>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</si>
  <si>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</si>
  <si>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</si>
  <si>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</si>
  <si>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</si>
  <si>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</si>
  <si>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</si>
  <si>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</si>
  <si>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</si>
  <si>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</si>
  <si>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</si>
  <si>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</si>
  <si>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</si>
  <si>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</si>
  <si>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</si>
  <si>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</si>
  <si>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</si>
  <si>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</si>
  <si>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</si>
  <si>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</si>
  <si>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</si>
  <si>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</si>
  <si>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</si>
  <si>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</si>
  <si>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</si>
  <si>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</si>
  <si>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</si>
  <si>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</si>
  <si>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</si>
  <si>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</si>
  <si>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</si>
  <si>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</si>
  <si>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</si>
  <si>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</si>
  <si>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</si>
  <si>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</si>
  <si>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</si>
  <si>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</si>
  <si>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</si>
  <si>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</si>
  <si>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</si>
  <si>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</si>
  <si>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</si>
  <si>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</si>
  <si>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O1501</t>
  </si>
  <si>
    <t>O1502</t>
  </si>
  <si>
    <t>O1503</t>
  </si>
  <si>
    <t>O1504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</si>
  <si>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</si>
  <si>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</si>
  <si>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</si>
  <si>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</si>
  <si>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</si>
  <si>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</si>
  <si>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</si>
  <si>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</si>
  <si>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</si>
  <si>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</si>
  <si>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</si>
  <si>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</si>
  <si>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</si>
  <si>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</si>
  <si>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</si>
  <si>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</si>
  <si>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</si>
  <si>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</si>
  <si>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</si>
  <si>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</si>
  <si>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</si>
  <si>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</si>
  <si>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</si>
  <si>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</si>
  <si>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</si>
  <si>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</si>
  <si>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</si>
  <si>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</si>
  <si>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</si>
  <si>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</si>
  <si>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</si>
  <si>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</si>
  <si>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</si>
  <si>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</si>
  <si>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</si>
  <si>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</si>
  <si>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</si>
  <si>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</si>
  <si>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</si>
  <si>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</si>
  <si>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</si>
  <si>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</si>
  <si>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</si>
  <si>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</si>
  <si>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</si>
  <si>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</si>
  <si>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</si>
  <si>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</si>
  <si>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</si>
  <si>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</si>
  <si>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</si>
  <si>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</si>
  <si>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</si>
  <si>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</si>
  <si>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</si>
  <si>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</si>
  <si>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</si>
  <si>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</si>
  <si>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</si>
  <si>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</si>
  <si>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</si>
  <si>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</si>
  <si>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</si>
  <si>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</si>
  <si>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</si>
  <si>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</si>
  <si>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</si>
  <si>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</si>
  <si>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</si>
  <si>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</si>
  <si>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</si>
  <si>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</si>
  <si>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O1577</t>
  </si>
  <si>
    <t>O1578</t>
  </si>
  <si>
    <t>O1579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</si>
  <si>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</si>
  <si>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</si>
  <si>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</si>
  <si>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</si>
  <si>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</si>
  <si>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</si>
  <si>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</si>
  <si>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</si>
  <si>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</si>
  <si>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</si>
  <si>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</si>
  <si>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</si>
  <si>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</si>
  <si>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</si>
  <si>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</si>
  <si>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</si>
  <si>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</si>
  <si>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</si>
  <si>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O1598</t>
  </si>
  <si>
    <t>O1599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</si>
  <si>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</si>
  <si>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</si>
  <si>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</si>
  <si>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</si>
  <si>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</si>
  <si>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</si>
  <si>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</si>
  <si>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</si>
  <si>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O1608</t>
  </si>
  <si>
    <t>O1609</t>
  </si>
  <si>
    <t>O1610</t>
  </si>
  <si>
    <t>O1611</t>
  </si>
  <si>
    <t>O1612</t>
  </si>
  <si>
    <t>O1613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</si>
  <si>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</si>
  <si>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</si>
  <si>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</si>
  <si>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</si>
  <si>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</si>
  <si>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</si>
  <si>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</si>
  <si>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</si>
  <si>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</si>
  <si>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</si>
  <si>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</si>
  <si>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</si>
  <si>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</si>
  <si>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</si>
  <si>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</si>
  <si>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O1629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</si>
  <si>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</si>
  <si>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</si>
  <si>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</si>
  <si>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</si>
  <si>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</si>
  <si>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</si>
  <si>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</si>
  <si>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</si>
  <si>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</si>
  <si>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</si>
  <si>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</si>
  <si>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</si>
  <si>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</si>
  <si>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</si>
  <si>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</si>
  <si>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</si>
  <si>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</si>
  <si>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</si>
  <si>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</si>
  <si>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</si>
  <si>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</si>
  <si>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</si>
  <si>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</si>
  <si>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</si>
  <si>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</si>
  <si>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</si>
  <si>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</si>
  <si>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</si>
  <si>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</si>
  <si>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</si>
  <si>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</si>
  <si>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</si>
  <si>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</si>
  <si>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</si>
  <si>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</si>
  <si>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</si>
  <si>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</si>
  <si>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</si>
  <si>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</si>
  <si>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</si>
  <si>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</si>
  <si>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</si>
  <si>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</si>
  <si>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</si>
  <si>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</si>
  <si>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</si>
  <si>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</si>
  <si>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</si>
  <si>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</si>
  <si>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</si>
  <si>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</si>
  <si>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</si>
  <si>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</si>
  <si>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</si>
  <si>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</si>
  <si>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</si>
  <si>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</si>
  <si>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</si>
  <si>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</si>
  <si>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</si>
  <si>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</si>
  <si>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</si>
  <si>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</si>
  <si>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</si>
  <si>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</si>
  <si>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</si>
  <si>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</si>
  <si>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</si>
  <si>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</si>
  <si>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</si>
  <si>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</si>
  <si>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</si>
  <si>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</si>
  <si>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</si>
  <si>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</si>
  <si>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</si>
  <si>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</si>
  <si>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</si>
  <si>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</si>
  <si>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</si>
  <si>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</si>
  <si>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</si>
  <si>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</si>
  <si>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</si>
  <si>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</si>
  <si>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</si>
  <si>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</si>
  <si>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</si>
  <si>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</si>
  <si>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</si>
  <si>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</si>
  <si>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</si>
  <si>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</si>
  <si>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</si>
  <si>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</si>
  <si>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</si>
  <si>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</si>
  <si>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</si>
  <si>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</si>
  <si>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</si>
  <si>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</si>
  <si>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</si>
  <si>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</si>
  <si>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</si>
  <si>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</si>
  <si>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</si>
  <si>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</si>
  <si>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</si>
  <si>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</si>
  <si>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</si>
  <si>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</si>
  <si>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</si>
  <si>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</si>
  <si>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</si>
  <si>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</si>
  <si>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</si>
  <si>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</si>
  <si>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</si>
  <si>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</si>
  <si>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</si>
  <si>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</si>
  <si>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</si>
  <si>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</si>
  <si>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</si>
  <si>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</si>
  <si>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</si>
  <si>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</si>
  <si>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</si>
  <si>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</si>
  <si>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</si>
  <si>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</si>
  <si>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</si>
  <si>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</si>
  <si>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</si>
  <si>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</si>
  <si>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</si>
  <si>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</si>
  <si>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</si>
  <si>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</si>
  <si>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</si>
  <si>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</si>
  <si>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</si>
  <si>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</si>
  <si>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</si>
  <si>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</si>
  <si>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</si>
  <si>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</si>
  <si>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</si>
  <si>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</si>
  <si>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</si>
  <si>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</si>
  <si>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</si>
  <si>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</si>
  <si>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</si>
  <si>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O1784</t>
  </si>
  <si>
    <t>O1785</t>
  </si>
  <si>
    <t>O1786</t>
  </si>
  <si>
    <t>O1787</t>
  </si>
  <si>
    <t>O1788</t>
  </si>
  <si>
    <t>O1789</t>
  </si>
  <si>
    <t>O1790</t>
  </si>
  <si>
    <t>O1791</t>
  </si>
  <si>
    <t>O1792</t>
  </si>
  <si>
    <t>O1793</t>
  </si>
  <si>
    <t>O1794</t>
  </si>
  <si>
    <t>O1795</t>
  </si>
  <si>
    <t>O1796</t>
  </si>
  <si>
    <t>O1797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</si>
  <si>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</si>
  <si>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</si>
  <si>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</si>
  <si>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</si>
  <si>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</si>
  <si>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</si>
  <si>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</si>
  <si>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</si>
  <si>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</si>
  <si>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</si>
  <si>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</si>
  <si>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</si>
  <si>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</si>
  <si>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</si>
  <si>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</si>
  <si>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</si>
  <si>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</si>
  <si>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O1815</t>
  </si>
  <si>
    <t>O1816</t>
  </si>
  <si>
    <t>O1817</t>
  </si>
  <si>
    <t>O1818</t>
  </si>
  <si>
    <t>O1819</t>
  </si>
  <si>
    <t>O1820</t>
  </si>
  <si>
    <t>O1821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</si>
  <si>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</si>
  <si>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</si>
  <si>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</si>
  <si>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</si>
  <si>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</si>
  <si>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</si>
  <si>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</si>
  <si>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</si>
  <si>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</si>
  <si>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</si>
  <si>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</si>
  <si>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</si>
  <si>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</si>
  <si>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</si>
  <si>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</si>
  <si>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</si>
  <si>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</si>
  <si>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</si>
  <si>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</si>
  <si>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</si>
  <si>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</si>
  <si>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</si>
  <si>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</si>
  <si>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</si>
  <si>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</si>
  <si>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</si>
  <si>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</si>
  <si>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</si>
  <si>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</si>
  <si>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</si>
  <si>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</si>
  <si>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</si>
  <si>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</si>
  <si>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</si>
  <si>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</si>
  <si>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</si>
  <si>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</si>
  <si>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</si>
  <si>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</si>
  <si>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</si>
  <si>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</si>
  <si>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</si>
  <si>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</si>
  <si>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</si>
  <si>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</si>
  <si>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</si>
  <si>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</si>
  <si>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</si>
  <si>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</si>
  <si>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</si>
  <si>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</si>
  <si>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</si>
  <si>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</si>
  <si>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</si>
  <si>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</si>
  <si>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</si>
  <si>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</si>
  <si>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</si>
  <si>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</si>
  <si>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</si>
  <si>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</si>
  <si>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</si>
  <si>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</si>
  <si>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</si>
  <si>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</si>
  <si>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</si>
  <si>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</si>
  <si>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</si>
  <si>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</si>
  <si>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</si>
  <si>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</si>
  <si>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</si>
  <si>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</si>
  <si>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</si>
  <si>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</si>
  <si>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</si>
  <si>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</si>
  <si>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</si>
  <si>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</si>
  <si>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</si>
  <si>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</si>
  <si>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</si>
  <si>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</si>
  <si>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</si>
  <si>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</si>
  <si>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</si>
  <si>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</si>
  <si>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</si>
  <si>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</si>
  <si>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</si>
  <si>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</si>
  <si>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</si>
  <si>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</si>
  <si>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</si>
  <si>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</si>
  <si>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</si>
  <si>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</si>
  <si>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</si>
  <si>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</si>
  <si>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</si>
  <si>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</si>
  <si>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</si>
  <si>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</si>
  <si>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</si>
  <si>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</si>
  <si>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</si>
  <si>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</si>
  <si>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</si>
  <si>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</si>
  <si>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</si>
  <si>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</si>
  <si>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</si>
  <si>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</si>
  <si>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</si>
  <si>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O1936</t>
  </si>
  <si>
    <t>O1937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</si>
  <si>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</si>
  <si>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</si>
  <si>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</si>
  <si>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</si>
  <si>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</si>
  <si>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</si>
  <si>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</si>
  <si>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</si>
  <si>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</si>
  <si>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</si>
  <si>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</si>
  <si>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</si>
  <si>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</si>
  <si>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</si>
  <si>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</si>
  <si>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</si>
  <si>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</si>
  <si>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</si>
  <si>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</si>
  <si>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</si>
  <si>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</si>
  <si>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</si>
  <si>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</si>
  <si>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</si>
  <si>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</si>
  <si>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</si>
  <si>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</si>
  <si>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</si>
  <si>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</si>
  <si>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</si>
  <si>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</si>
  <si>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</si>
  <si>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</si>
  <si>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</si>
  <si>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</si>
  <si>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</si>
  <si>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</si>
  <si>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</si>
  <si>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</si>
  <si>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</si>
  <si>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</si>
  <si>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</si>
  <si>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</si>
  <si>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</si>
  <si>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</si>
  <si>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</si>
  <si>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</si>
  <si>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</si>
  <si>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</si>
  <si>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</si>
  <si>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</si>
  <si>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</si>
  <si>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</si>
  <si>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</si>
  <si>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</si>
  <si>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</si>
  <si>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</si>
  <si>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</si>
  <si>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</si>
  <si>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</si>
  <si>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</si>
  <si>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</si>
  <si>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</si>
  <si>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O2001</t>
  </si>
  <si>
    <t>O2002</t>
  </si>
  <si>
    <t>O2003</t>
  </si>
  <si>
    <t>O2004</t>
  </si>
  <si>
    <t>O2005</t>
  </si>
  <si>
    <t>O2006</t>
  </si>
  <si>
    <t>O2007</t>
  </si>
  <si>
    <t>O2008</t>
  </si>
  <si>
    <t>O2009</t>
  </si>
  <si>
    <t>O2010</t>
  </si>
  <si>
    <t>O2011</t>
  </si>
  <si>
    <t>O2012</t>
  </si>
  <si>
    <t>O2013</t>
  </si>
  <si>
    <t>O2014</t>
  </si>
  <si>
    <t>O2015</t>
  </si>
  <si>
    <t>O2016</t>
  </si>
  <si>
    <t>O2017</t>
  </si>
  <si>
    <t>O2018</t>
  </si>
  <si>
    <t>O2019</t>
  </si>
  <si>
    <t>O2020</t>
  </si>
  <si>
    <t>O2021</t>
  </si>
  <si>
    <t>O2022</t>
  </si>
  <si>
    <t>O2023</t>
  </si>
  <si>
    <t>O2024</t>
  </si>
  <si>
    <t>O2025</t>
  </si>
  <si>
    <t>O2026</t>
  </si>
  <si>
    <t>O2027</t>
  </si>
  <si>
    <t>O2028</t>
  </si>
  <si>
    <t>O2029</t>
  </si>
  <si>
    <t>O2030</t>
  </si>
  <si>
    <t>O2031</t>
  </si>
  <si>
    <t>O2032</t>
  </si>
  <si>
    <t>O2033</t>
  </si>
  <si>
    <t>O2034</t>
  </si>
  <si>
    <t>O2035</t>
  </si>
  <si>
    <t>O2036</t>
  </si>
  <si>
    <t>O2037</t>
  </si>
  <si>
    <t>O2038</t>
  </si>
  <si>
    <t>O2039</t>
  </si>
  <si>
    <t>O2040</t>
  </si>
  <si>
    <t>O2041</t>
  </si>
  <si>
    <t>O2042</t>
  </si>
  <si>
    <t>O2043</t>
  </si>
  <si>
    <t>O2044</t>
  </si>
  <si>
    <t>O2045</t>
  </si>
  <si>
    <t>O2046</t>
  </si>
  <si>
    <t>O2047</t>
  </si>
  <si>
    <t>O2048</t>
  </si>
  <si>
    <t>O2049</t>
  </si>
  <si>
    <t>O2050</t>
  </si>
  <si>
    <t>O2051</t>
  </si>
  <si>
    <t>O2052</t>
  </si>
  <si>
    <t>O2053</t>
  </si>
  <si>
    <t>O2054</t>
  </si>
  <si>
    <t>O2055</t>
  </si>
  <si>
    <t>O2056</t>
  </si>
  <si>
    <t>O2057</t>
  </si>
  <si>
    <t>O2058</t>
  </si>
  <si>
    <t>O2059</t>
  </si>
  <si>
    <t>O2060</t>
  </si>
  <si>
    <t>O2061</t>
  </si>
  <si>
    <t>O2062</t>
  </si>
  <si>
    <t>O2063</t>
  </si>
  <si>
    <t>O2064</t>
  </si>
  <si>
    <t>O2065</t>
  </si>
  <si>
    <t>O2066</t>
  </si>
  <si>
    <t>O2067</t>
  </si>
  <si>
    <t>O2068</t>
  </si>
  <si>
    <t>O2069</t>
  </si>
  <si>
    <t>O2070</t>
  </si>
  <si>
    <t>O2071</t>
  </si>
  <si>
    <t>O2072</t>
  </si>
  <si>
    <t>O2073</t>
  </si>
  <si>
    <t>O2074</t>
  </si>
  <si>
    <t>O2075</t>
  </si>
  <si>
    <t>O2076</t>
  </si>
  <si>
    <t>O2077</t>
  </si>
  <si>
    <t>O2078</t>
  </si>
  <si>
    <t>O2079</t>
  </si>
  <si>
    <t>O2080</t>
  </si>
  <si>
    <t>O2081</t>
  </si>
  <si>
    <t>O2082</t>
  </si>
  <si>
    <t>O2083</t>
  </si>
  <si>
    <t>O2084</t>
  </si>
  <si>
    <t>O2085</t>
  </si>
  <si>
    <t>O2086</t>
  </si>
  <si>
    <t>O2087</t>
  </si>
  <si>
    <t>O2088</t>
  </si>
  <si>
    <t>O2089</t>
  </si>
  <si>
    <t>O2090</t>
  </si>
  <si>
    <t>O2091</t>
  </si>
  <si>
    <t>O2092</t>
  </si>
  <si>
    <t>O2093</t>
  </si>
  <si>
    <t>O2094</t>
  </si>
  <si>
    <t>O2095</t>
  </si>
  <si>
    <t>O2096</t>
  </si>
  <si>
    <t>O2097</t>
  </si>
  <si>
    <t>O2098</t>
  </si>
  <si>
    <t>O2099</t>
  </si>
  <si>
    <t>O2100</t>
  </si>
  <si>
    <t>O2101</t>
  </si>
  <si>
    <t>O2102</t>
  </si>
  <si>
    <t>O2103</t>
  </si>
  <si>
    <t>O2104</t>
  </si>
  <si>
    <t>O2105</t>
  </si>
  <si>
    <t>O2106</t>
  </si>
  <si>
    <t>O2107</t>
  </si>
  <si>
    <t>O2108</t>
  </si>
  <si>
    <t>O2109</t>
  </si>
  <si>
    <t>O2110</t>
  </si>
  <si>
    <t>O2111</t>
  </si>
  <si>
    <t>O2112</t>
  </si>
  <si>
    <t>O2113</t>
  </si>
  <si>
    <t>O2114</t>
  </si>
  <si>
    <t>O2115</t>
  </si>
  <si>
    <t>O2116</t>
  </si>
  <si>
    <t>O2117</t>
  </si>
  <si>
    <t>O2118</t>
  </si>
  <si>
    <t>O2119</t>
  </si>
  <si>
    <t>O2120</t>
  </si>
  <si>
    <t>O2121</t>
  </si>
  <si>
    <t>O2122</t>
  </si>
  <si>
    <t>O2123</t>
  </si>
  <si>
    <t>O2124</t>
  </si>
  <si>
    <t>O2125</t>
  </si>
  <si>
    <t>O2126</t>
  </si>
  <si>
    <t>O2127</t>
  </si>
  <si>
    <t>O2128</t>
  </si>
  <si>
    <t>O2129</t>
  </si>
  <si>
    <t>O2130</t>
  </si>
  <si>
    <t>O2131</t>
  </si>
  <si>
    <t>O2132</t>
  </si>
  <si>
    <t>O2133</t>
  </si>
  <si>
    <t>O2134</t>
  </si>
  <si>
    <t>O2135</t>
  </si>
  <si>
    <t>O2136</t>
  </si>
  <si>
    <t>O2137</t>
  </si>
  <si>
    <t>O2138</t>
  </si>
  <si>
    <t>O2139</t>
  </si>
  <si>
    <t>O2140</t>
  </si>
  <si>
    <t>O2141</t>
  </si>
  <si>
    <t>O2142</t>
  </si>
  <si>
    <t>O2143</t>
  </si>
  <si>
    <t>O2144</t>
  </si>
  <si>
    <t>O2145</t>
  </si>
  <si>
    <t>O2146</t>
  </si>
  <si>
    <t>O2147</t>
  </si>
  <si>
    <t>O2148</t>
  </si>
  <si>
    <t>O2149</t>
  </si>
  <si>
    <t>O2150</t>
  </si>
  <si>
    <t>O2151</t>
  </si>
  <si>
    <t>O2152</t>
  </si>
  <si>
    <t>O2153</t>
  </si>
  <si>
    <t>O2154</t>
  </si>
  <si>
    <t>O2155</t>
  </si>
  <si>
    <t>O2156</t>
  </si>
  <si>
    <t>O2157</t>
  </si>
  <si>
    <t>O2158</t>
  </si>
  <si>
    <t>O2159</t>
  </si>
  <si>
    <t>O2160</t>
  </si>
  <si>
    <t>O2161</t>
  </si>
  <si>
    <t>O2162</t>
  </si>
  <si>
    <t>O2163</t>
  </si>
  <si>
    <t>O2164</t>
  </si>
  <si>
    <t>O2165</t>
  </si>
  <si>
    <t>O2166</t>
  </si>
  <si>
    <t>O2167</t>
  </si>
  <si>
    <t>O2168</t>
  </si>
  <si>
    <t>O2169</t>
  </si>
  <si>
    <t>O2170</t>
  </si>
  <si>
    <t>O2171</t>
  </si>
  <si>
    <t>O2172</t>
  </si>
  <si>
    <t>O2173</t>
  </si>
  <si>
    <t>O2174</t>
  </si>
  <si>
    <t>O2175</t>
  </si>
  <si>
    <t>O2176</t>
  </si>
  <si>
    <t>O2177</t>
  </si>
  <si>
    <t>O2178</t>
  </si>
  <si>
    <t>O2179</t>
  </si>
  <si>
    <t>O2180</t>
  </si>
  <si>
    <t>O2181</t>
  </si>
  <si>
    <t>O2182</t>
  </si>
  <si>
    <t>O2183</t>
  </si>
  <si>
    <t>O2184</t>
  </si>
  <si>
    <t>O2185</t>
  </si>
  <si>
    <t>O2186</t>
  </si>
  <si>
    <t>O2187</t>
  </si>
  <si>
    <t>O2188</t>
  </si>
  <si>
    <t>O2189</t>
  </si>
  <si>
    <t>O2190</t>
  </si>
  <si>
    <t>O2191</t>
  </si>
  <si>
    <t>O2192</t>
  </si>
  <si>
    <t>O2193</t>
  </si>
  <si>
    <t>O2194</t>
  </si>
  <si>
    <t>O2195</t>
  </si>
  <si>
    <t>O2196</t>
  </si>
  <si>
    <t>O2197</t>
  </si>
  <si>
    <t>O2198</t>
  </si>
  <si>
    <t>O2199</t>
  </si>
  <si>
    <t>O2200</t>
  </si>
  <si>
    <t>O2201</t>
  </si>
  <si>
    <t>O2202</t>
  </si>
  <si>
    <t>O2203</t>
  </si>
  <si>
    <t>O2204</t>
  </si>
  <si>
    <t>O2205</t>
  </si>
  <si>
    <t>O2206</t>
  </si>
  <si>
    <t>O2207</t>
  </si>
  <si>
    <t>O2208</t>
  </si>
  <si>
    <t>O2209</t>
  </si>
  <si>
    <t>O2210</t>
  </si>
  <si>
    <t>O2211</t>
  </si>
  <si>
    <t>O2212</t>
  </si>
  <si>
    <t>O2213</t>
  </si>
  <si>
    <t>O2214</t>
  </si>
  <si>
    <t>O2215</t>
  </si>
  <si>
    <t>O2216</t>
  </si>
  <si>
    <t>O2217</t>
  </si>
  <si>
    <t>O2218</t>
  </si>
  <si>
    <t>O2219</t>
  </si>
  <si>
    <t>O2220</t>
  </si>
  <si>
    <t>O2221</t>
  </si>
  <si>
    <t>O2222</t>
  </si>
  <si>
    <t>O2223</t>
  </si>
  <si>
    <t>O2224</t>
  </si>
  <si>
    <t>O2225</t>
  </si>
  <si>
    <t>O2226</t>
  </si>
  <si>
    <t>O2227</t>
  </si>
  <si>
    <t>O2228</t>
  </si>
  <si>
    <t>O2229</t>
  </si>
  <si>
    <t>O2230</t>
  </si>
  <si>
    <t>O2231</t>
  </si>
  <si>
    <t>O2232</t>
  </si>
  <si>
    <t>O2233</t>
  </si>
  <si>
    <t>O2234</t>
  </si>
  <si>
    <t>O2235</t>
  </si>
  <si>
    <t>O2236</t>
  </si>
  <si>
    <t>O2237</t>
  </si>
  <si>
    <t>O2238</t>
  </si>
  <si>
    <t>O2239</t>
  </si>
  <si>
    <t>O2240</t>
  </si>
  <si>
    <t>O2241</t>
  </si>
  <si>
    <t>O2242</t>
  </si>
  <si>
    <t>O2243</t>
  </si>
  <si>
    <t>O2244</t>
  </si>
  <si>
    <t>O2245</t>
  </si>
  <si>
    <t>O2246</t>
  </si>
  <si>
    <t>O2247</t>
  </si>
  <si>
    <t>O2248</t>
  </si>
  <si>
    <t>O2249</t>
  </si>
  <si>
    <t>O2250</t>
  </si>
  <si>
    <t>O2251</t>
  </si>
  <si>
    <t>O2252</t>
  </si>
  <si>
    <t>O2253</t>
  </si>
  <si>
    <t>O2254</t>
  </si>
  <si>
    <t>O2255</t>
  </si>
  <si>
    <t>O2256</t>
  </si>
  <si>
    <t>O2257</t>
  </si>
  <si>
    <t>O2258</t>
  </si>
  <si>
    <t>O2259</t>
  </si>
  <si>
    <t>O2260</t>
  </si>
  <si>
    <t>O2261</t>
  </si>
  <si>
    <t>O2262</t>
  </si>
  <si>
    <t>O2263</t>
  </si>
  <si>
    <t>O2264</t>
  </si>
  <si>
    <t>O2265</t>
  </si>
  <si>
    <t>O2266</t>
  </si>
  <si>
    <t>O2267</t>
  </si>
  <si>
    <t>O2268</t>
  </si>
  <si>
    <t>O2269</t>
  </si>
  <si>
    <t>O2270</t>
  </si>
  <si>
    <t>O2271</t>
  </si>
  <si>
    <t>O2272</t>
  </si>
  <si>
    <t>O2273</t>
  </si>
  <si>
    <t>O2274</t>
  </si>
  <si>
    <t>O2275</t>
  </si>
  <si>
    <t>O2276</t>
  </si>
  <si>
    <t>O2277</t>
  </si>
  <si>
    <t>O2278</t>
  </si>
  <si>
    <t>O2279</t>
  </si>
  <si>
    <t>O2280</t>
  </si>
  <si>
    <t>O2281</t>
  </si>
  <si>
    <t>O2282</t>
  </si>
  <si>
    <t>O2283</t>
  </si>
  <si>
    <t>O2284</t>
  </si>
  <si>
    <t>O2285</t>
  </si>
  <si>
    <t>O2286</t>
  </si>
  <si>
    <t>O2287</t>
  </si>
  <si>
    <t>O2288</t>
  </si>
  <si>
    <t>O2289</t>
  </si>
  <si>
    <t>O2290</t>
  </si>
  <si>
    <t>O2291</t>
  </si>
  <si>
    <t>O2292</t>
  </si>
  <si>
    <t>O2293</t>
  </si>
  <si>
    <t>O2294</t>
  </si>
  <si>
    <t>O2295</t>
  </si>
  <si>
    <t>O2296</t>
  </si>
  <si>
    <t>O2297</t>
  </si>
  <si>
    <t>O2298</t>
  </si>
  <si>
    <t>O2299</t>
  </si>
  <si>
    <t>O2300</t>
  </si>
  <si>
    <t>O2301</t>
  </si>
  <si>
    <t>O2302</t>
  </si>
  <si>
    <t>O2303</t>
  </si>
  <si>
    <t>O2304</t>
  </si>
  <si>
    <t>O2305</t>
  </si>
  <si>
    <t>O2306</t>
  </si>
  <si>
    <t>O2307</t>
  </si>
  <si>
    <t>O2308</t>
  </si>
  <si>
    <t>O2309</t>
  </si>
  <si>
    <t>O2310</t>
  </si>
  <si>
    <t>O2311</t>
  </si>
  <si>
    <t>O2312</t>
  </si>
  <si>
    <t>O2313</t>
  </si>
  <si>
    <t>O2314</t>
  </si>
  <si>
    <t>O2315</t>
  </si>
  <si>
    <t>O2316</t>
  </si>
  <si>
    <t>O2317</t>
  </si>
  <si>
    <t>O2318</t>
  </si>
  <si>
    <t>O2319</t>
  </si>
  <si>
    <t>O2320</t>
  </si>
  <si>
    <t>O2321</t>
  </si>
  <si>
    <t>O2322</t>
  </si>
  <si>
    <t>O2323</t>
  </si>
  <si>
    <t>O2324</t>
  </si>
  <si>
    <t>O2325</t>
  </si>
  <si>
    <t>O2326</t>
  </si>
  <si>
    <t>O2327</t>
  </si>
  <si>
    <t>O2328</t>
  </si>
  <si>
    <t>O2329</t>
  </si>
  <si>
    <t>O2330</t>
  </si>
  <si>
    <t>O2331</t>
  </si>
  <si>
    <t>O2332</t>
  </si>
  <si>
    <t>O2333</t>
  </si>
  <si>
    <t>O2334</t>
  </si>
  <si>
    <t>O2335</t>
  </si>
  <si>
    <t>O2336</t>
  </si>
  <si>
    <t>O2337</t>
  </si>
  <si>
    <t>O2338</t>
  </si>
  <si>
    <t>O2339</t>
  </si>
  <si>
    <t>O2340</t>
  </si>
  <si>
    <t>O2341</t>
  </si>
  <si>
    <t>O2342</t>
  </si>
  <si>
    <t>O2343</t>
  </si>
  <si>
    <t>O2344</t>
  </si>
  <si>
    <t>O2345</t>
  </si>
  <si>
    <t>O2346</t>
  </si>
  <si>
    <t>O2347</t>
  </si>
  <si>
    <t>O2348</t>
  </si>
  <si>
    <t>O2349</t>
  </si>
  <si>
    <t>O2350</t>
  </si>
  <si>
    <t>O2351</t>
  </si>
  <si>
    <t>O2352</t>
  </si>
  <si>
    <t>O2353</t>
  </si>
  <si>
    <t>O2354</t>
  </si>
  <si>
    <t>O2355</t>
  </si>
  <si>
    <t>O2356</t>
  </si>
  <si>
    <t>O2357</t>
  </si>
  <si>
    <t>O2358</t>
  </si>
  <si>
    <t>O2359</t>
  </si>
  <si>
    <t>O2360</t>
  </si>
  <si>
    <t>O2361</t>
  </si>
  <si>
    <t>O2362</t>
  </si>
  <si>
    <t>O2363</t>
  </si>
  <si>
    <t>O2364</t>
  </si>
  <si>
    <t>O2365</t>
  </si>
  <si>
    <t>O2366</t>
  </si>
  <si>
    <t>O2367</t>
  </si>
  <si>
    <t>O2368</t>
  </si>
  <si>
    <t>O2369</t>
  </si>
  <si>
    <t>O2370</t>
  </si>
  <si>
    <t>O2371</t>
  </si>
  <si>
    <t>O2372</t>
  </si>
  <si>
    <t>O2373</t>
  </si>
  <si>
    <t>O2374</t>
  </si>
  <si>
    <t>O2375</t>
  </si>
  <si>
    <t>O2376</t>
  </si>
  <si>
    <t>O2377</t>
  </si>
  <si>
    <t>O2378</t>
  </si>
  <si>
    <t>O2379</t>
  </si>
  <si>
    <t>O2380</t>
  </si>
  <si>
    <t>O2381</t>
  </si>
  <si>
    <t>O2382</t>
  </si>
  <si>
    <t>O2383</t>
  </si>
  <si>
    <t>O2384</t>
  </si>
  <si>
    <t>O2385</t>
  </si>
  <si>
    <t>O2386</t>
  </si>
  <si>
    <t>O2387</t>
  </si>
  <si>
    <t>O2388</t>
  </si>
  <si>
    <t>O2389</t>
  </si>
  <si>
    <t>O2390</t>
  </si>
  <si>
    <t>O2391</t>
  </si>
  <si>
    <t>O2392</t>
  </si>
  <si>
    <t>O2393</t>
  </si>
  <si>
    <t>O2394</t>
  </si>
  <si>
    <t>O2395</t>
  </si>
  <si>
    <t>O2396</t>
  </si>
  <si>
    <t>O2397</t>
  </si>
  <si>
    <t>O2398</t>
  </si>
  <si>
    <t>O2399</t>
  </si>
  <si>
    <t>O2400</t>
  </si>
  <si>
    <t>O2401</t>
  </si>
  <si>
    <t>O2402</t>
  </si>
  <si>
    <t>O2403</t>
  </si>
  <si>
    <t>O2404</t>
  </si>
  <si>
    <t>O2405</t>
  </si>
  <si>
    <t>O2406</t>
  </si>
  <si>
    <t>O2407</t>
  </si>
  <si>
    <t>O2408</t>
  </si>
  <si>
    <t>O2409</t>
  </si>
  <si>
    <t>O2410</t>
  </si>
  <si>
    <t>O2411</t>
  </si>
  <si>
    <t>O2412</t>
  </si>
  <si>
    <t>O2413</t>
  </si>
  <si>
    <t>O2414</t>
  </si>
  <si>
    <t>O2415</t>
  </si>
  <si>
    <t>O2416</t>
  </si>
  <si>
    <t>O2417</t>
  </si>
  <si>
    <t>O2418</t>
  </si>
  <si>
    <t>O2419</t>
  </si>
  <si>
    <t>O2420</t>
  </si>
  <si>
    <t>O2421</t>
  </si>
  <si>
    <t>O2422</t>
  </si>
  <si>
    <t>O2423</t>
  </si>
  <si>
    <t>O2424</t>
  </si>
  <si>
    <t>O2425</t>
  </si>
  <si>
    <t>O2426</t>
  </si>
  <si>
    <t>O2427</t>
  </si>
  <si>
    <t>O2428</t>
  </si>
  <si>
    <t>O2429</t>
  </si>
  <si>
    <t>O2430</t>
  </si>
  <si>
    <t>O2431</t>
  </si>
  <si>
    <t>O2432</t>
  </si>
  <si>
    <t>O2433</t>
  </si>
  <si>
    <t>O2434</t>
  </si>
  <si>
    <t>O2435</t>
  </si>
  <si>
    <t>O2436</t>
  </si>
  <si>
    <t>O2437</t>
  </si>
  <si>
    <t>O2438</t>
  </si>
  <si>
    <t>O2439</t>
  </si>
  <si>
    <t>O2440</t>
  </si>
  <si>
    <t>O2441</t>
  </si>
  <si>
    <t>O2442</t>
  </si>
  <si>
    <t>O2443</t>
  </si>
  <si>
    <t>O2444</t>
  </si>
  <si>
    <t>O2445</t>
  </si>
  <si>
    <t>O2446</t>
  </si>
  <si>
    <t>O2447</t>
  </si>
  <si>
    <t>O2448</t>
  </si>
  <si>
    <t>O2449</t>
  </si>
  <si>
    <t>O2450</t>
  </si>
  <si>
    <t>O2451</t>
  </si>
  <si>
    <t>O2452</t>
  </si>
  <si>
    <t>O2453</t>
  </si>
  <si>
    <t>O2454</t>
  </si>
  <si>
    <t>O2455</t>
  </si>
  <si>
    <t>O2456</t>
  </si>
  <si>
    <t>O2457</t>
  </si>
  <si>
    <t>O2458</t>
  </si>
  <si>
    <t>O2459</t>
  </si>
  <si>
    <t>O2460</t>
  </si>
  <si>
    <t>O2461</t>
  </si>
  <si>
    <t>O2462</t>
  </si>
  <si>
    <t>O2463</t>
  </si>
  <si>
    <t>O2464</t>
  </si>
  <si>
    <t>O2465</t>
  </si>
  <si>
    <t>O2466</t>
  </si>
  <si>
    <t>O2467</t>
  </si>
  <si>
    <t>O2468</t>
  </si>
  <si>
    <t>O2469</t>
  </si>
  <si>
    <t>O2470</t>
  </si>
  <si>
    <t>O2471</t>
  </si>
  <si>
    <t>O2472</t>
  </si>
  <si>
    <t>O2473</t>
  </si>
  <si>
    <t>O2474</t>
  </si>
  <si>
    <t>O2475</t>
  </si>
  <si>
    <t>O2476</t>
  </si>
  <si>
    <t>O2477</t>
  </si>
  <si>
    <t>O2478</t>
  </si>
  <si>
    <t>O2479</t>
  </si>
  <si>
    <t>O2480</t>
  </si>
  <si>
    <t>O2481</t>
  </si>
  <si>
    <t>O2482</t>
  </si>
  <si>
    <t>O2483</t>
  </si>
  <si>
    <t>O2484</t>
  </si>
  <si>
    <t>O2485</t>
  </si>
  <si>
    <t>O2486</t>
  </si>
  <si>
    <t>O2487</t>
  </si>
  <si>
    <t>O2488</t>
  </si>
  <si>
    <t>O2489</t>
  </si>
  <si>
    <t>O2490</t>
  </si>
  <si>
    <t>O2491</t>
  </si>
  <si>
    <t>O2492</t>
  </si>
  <si>
    <t>O2493</t>
  </si>
  <si>
    <t>O2494</t>
  </si>
  <si>
    <t>O2495</t>
  </si>
  <si>
    <t>O2496</t>
  </si>
  <si>
    <t>O2497</t>
  </si>
  <si>
    <t>O2498</t>
  </si>
  <si>
    <t>O2499</t>
  </si>
  <si>
    <t>O2500</t>
  </si>
  <si>
    <t>O2501</t>
  </si>
  <si>
    <t>O2502</t>
  </si>
  <si>
    <t>O2503</t>
  </si>
  <si>
    <t>O2504</t>
  </si>
  <si>
    <t>O2505</t>
  </si>
  <si>
    <t>O2506</t>
  </si>
  <si>
    <t>O2507</t>
  </si>
  <si>
    <t>O2508</t>
  </si>
  <si>
    <t>O2509</t>
  </si>
  <si>
    <t>O2510</t>
  </si>
  <si>
    <t>O2511</t>
  </si>
  <si>
    <t>O2512</t>
  </si>
  <si>
    <t>O2513</t>
  </si>
  <si>
    <t>O2514</t>
  </si>
  <si>
    <t>O2515</t>
  </si>
  <si>
    <t>O2516</t>
  </si>
  <si>
    <t>O2517</t>
  </si>
  <si>
    <t>O2518</t>
  </si>
  <si>
    <t>O2519</t>
  </si>
  <si>
    <t>O2520</t>
  </si>
  <si>
    <t>O2521</t>
  </si>
  <si>
    <t>O2522</t>
  </si>
  <si>
    <t>O2523</t>
  </si>
  <si>
    <t>O2524</t>
  </si>
  <si>
    <t>O2525</t>
  </si>
  <si>
    <t>O2526</t>
  </si>
  <si>
    <t>O2527</t>
  </si>
  <si>
    <t>O2528</t>
  </si>
  <si>
    <t>O2529</t>
  </si>
  <si>
    <t>O2530</t>
  </si>
  <si>
    <t>O2531</t>
  </si>
  <si>
    <t>O2532</t>
  </si>
  <si>
    <t>O2533</t>
  </si>
  <si>
    <t>O2534</t>
  </si>
  <si>
    <t>O2535</t>
  </si>
  <si>
    <t>O2536</t>
  </si>
  <si>
    <t>O2537</t>
  </si>
  <si>
    <t>O2538</t>
  </si>
  <si>
    <t>O2539</t>
  </si>
  <si>
    <t>O2540</t>
  </si>
  <si>
    <t>O2541</t>
  </si>
  <si>
    <t>O2542</t>
  </si>
  <si>
    <t>O2543</t>
  </si>
  <si>
    <t>O2544</t>
  </si>
  <si>
    <t>O2545</t>
  </si>
  <si>
    <t>O2546</t>
  </si>
  <si>
    <t>O2547</t>
  </si>
  <si>
    <t>O2548</t>
  </si>
  <si>
    <t>O2549</t>
  </si>
  <si>
    <t>O2550</t>
  </si>
  <si>
    <t>O2551</t>
  </si>
  <si>
    <t>O2552</t>
  </si>
  <si>
    <t>O2553</t>
  </si>
  <si>
    <t>O2554</t>
  </si>
  <si>
    <t>O2555</t>
  </si>
  <si>
    <t>O2556</t>
  </si>
  <si>
    <t>O2557</t>
  </si>
  <si>
    <t>O2558</t>
  </si>
  <si>
    <t>O2559</t>
  </si>
  <si>
    <t>O2560</t>
  </si>
  <si>
    <t>O2561</t>
  </si>
  <si>
    <t>O2562</t>
  </si>
  <si>
    <t>O2563</t>
  </si>
  <si>
    <t>O2564</t>
  </si>
  <si>
    <t>O2565</t>
  </si>
  <si>
    <t>O2566</t>
  </si>
  <si>
    <t>O2567</t>
  </si>
  <si>
    <t>O2568</t>
  </si>
  <si>
    <t>O2569</t>
  </si>
  <si>
    <t>O2570</t>
  </si>
  <si>
    <t>O2571</t>
  </si>
  <si>
    <t>O2572</t>
  </si>
  <si>
    <t>O2573</t>
  </si>
  <si>
    <t>O2574</t>
  </si>
  <si>
    <t>O2575</t>
  </si>
  <si>
    <t>O2576</t>
  </si>
  <si>
    <t>O2577</t>
  </si>
  <si>
    <t>O2578</t>
  </si>
  <si>
    <t>O2579</t>
  </si>
  <si>
    <t>O2580</t>
  </si>
  <si>
    <t>O2581</t>
  </si>
  <si>
    <t>O2582</t>
  </si>
  <si>
    <t>O2583</t>
  </si>
  <si>
    <t>O2584</t>
  </si>
  <si>
    <t>O2585</t>
  </si>
  <si>
    <t>O2586</t>
  </si>
  <si>
    <t>O2587</t>
  </si>
  <si>
    <t>O2588</t>
  </si>
  <si>
    <t>O2589</t>
  </si>
  <si>
    <t>O2590</t>
  </si>
  <si>
    <t>O2591</t>
  </si>
  <si>
    <t>O2592</t>
  </si>
  <si>
    <t>O2593</t>
  </si>
  <si>
    <t>O2594</t>
  </si>
  <si>
    <t>O2595</t>
  </si>
  <si>
    <t>O2596</t>
  </si>
  <si>
    <t>O2597</t>
  </si>
  <si>
    <t>O2598</t>
  </si>
  <si>
    <t>O2599</t>
  </si>
  <si>
    <t>O2600</t>
  </si>
  <si>
    <t>O2601</t>
  </si>
  <si>
    <t>O2602</t>
  </si>
  <si>
    <t>O2603</t>
  </si>
  <si>
    <t>O2604</t>
  </si>
  <si>
    <t>O2605</t>
  </si>
  <si>
    <t>O2606</t>
  </si>
  <si>
    <t>O2607</t>
  </si>
  <si>
    <t>O2608</t>
  </si>
  <si>
    <t>O2609</t>
  </si>
  <si>
    <t>O2610</t>
  </si>
  <si>
    <t>O2611</t>
  </si>
  <si>
    <t>O2612</t>
  </si>
  <si>
    <t>O2613</t>
  </si>
  <si>
    <t>O2614</t>
  </si>
  <si>
    <t>O2615</t>
  </si>
  <si>
    <t>O2616</t>
  </si>
  <si>
    <t>O2617</t>
  </si>
  <si>
    <t>O2618</t>
  </si>
  <si>
    <t>O2619</t>
  </si>
  <si>
    <t>O2620</t>
  </si>
  <si>
    <t>O2621</t>
  </si>
  <si>
    <t>O2622</t>
  </si>
  <si>
    <t>O2623</t>
  </si>
  <si>
    <t>O2624</t>
  </si>
  <si>
    <t>O2625</t>
  </si>
  <si>
    <t>O2626</t>
  </si>
  <si>
    <t>O2627</t>
  </si>
  <si>
    <t>O2628</t>
  </si>
  <si>
    <t>O2629</t>
  </si>
  <si>
    <t>O2630</t>
  </si>
  <si>
    <t>O2631</t>
  </si>
  <si>
    <t>O2632</t>
  </si>
  <si>
    <t>O2633</t>
  </si>
  <si>
    <t>O2634</t>
  </si>
  <si>
    <t>O2635</t>
  </si>
  <si>
    <t>O2636</t>
  </si>
  <si>
    <t>O2637</t>
  </si>
  <si>
    <t>O2638</t>
  </si>
  <si>
    <t>O2639</t>
  </si>
  <si>
    <t>O2640</t>
  </si>
  <si>
    <t>O2641</t>
  </si>
  <si>
    <t>O2642</t>
  </si>
  <si>
    <t>O2643</t>
  </si>
  <si>
    <t>O2644</t>
  </si>
  <si>
    <t>O2645</t>
  </si>
  <si>
    <t>O2646</t>
  </si>
  <si>
    <t>O2647</t>
  </si>
  <si>
    <t>O2648</t>
  </si>
  <si>
    <t>O2649</t>
  </si>
  <si>
    <t>O2650</t>
  </si>
  <si>
    <t>O2651</t>
  </si>
  <si>
    <t>O2652</t>
  </si>
  <si>
    <t>O2653</t>
  </si>
  <si>
    <t>O2654</t>
  </si>
  <si>
    <t>O2655</t>
  </si>
  <si>
    <t>O2656</t>
  </si>
  <si>
    <t>O2657</t>
  </si>
  <si>
    <t>O2658</t>
  </si>
  <si>
    <t>O2659</t>
  </si>
  <si>
    <t>O2660</t>
  </si>
  <si>
    <t>O2661</t>
  </si>
  <si>
    <t>O2662</t>
  </si>
  <si>
    <t>O2663</t>
  </si>
  <si>
    <t>O2664</t>
  </si>
  <si>
    <t>O2665</t>
  </si>
  <si>
    <t>O2666</t>
  </si>
  <si>
    <t>O2667</t>
  </si>
  <si>
    <t>O2668</t>
  </si>
  <si>
    <t>O2669</t>
  </si>
  <si>
    <t>O2670</t>
  </si>
  <si>
    <t>O2671</t>
  </si>
  <si>
    <t>O2672</t>
  </si>
  <si>
    <t>O2673</t>
  </si>
  <si>
    <t>O2674</t>
  </si>
  <si>
    <t>O2675</t>
  </si>
  <si>
    <t>O2676</t>
  </si>
  <si>
    <t>O2677</t>
  </si>
  <si>
    <t>O2678</t>
  </si>
  <si>
    <t>O2679</t>
  </si>
  <si>
    <t>O2680</t>
  </si>
  <si>
    <t>O2681</t>
  </si>
  <si>
    <t>O2682</t>
  </si>
  <si>
    <t>O2683</t>
  </si>
  <si>
    <t>O2684</t>
  </si>
  <si>
    <t>O2685</t>
  </si>
  <si>
    <t>O2686</t>
  </si>
  <si>
    <t>O2687</t>
  </si>
  <si>
    <t>O2688</t>
  </si>
  <si>
    <t>O2689</t>
  </si>
  <si>
    <t>O2690</t>
  </si>
  <si>
    <t>O2691</t>
  </si>
  <si>
    <t>O2692</t>
  </si>
  <si>
    <t>O2693</t>
  </si>
  <si>
    <t>O2694</t>
  </si>
  <si>
    <t>O2695</t>
  </si>
  <si>
    <t>O2696</t>
  </si>
  <si>
    <t>O2697</t>
  </si>
  <si>
    <t>O2698</t>
  </si>
  <si>
    <t>O2699</t>
  </si>
  <si>
    <t>O2700</t>
  </si>
  <si>
    <t>O2701</t>
  </si>
  <si>
    <t>O2702</t>
  </si>
  <si>
    <t>O2703</t>
  </si>
  <si>
    <t>O2704</t>
  </si>
  <si>
    <t>O2705</t>
  </si>
  <si>
    <t>O2706</t>
  </si>
  <si>
    <t>O2707</t>
  </si>
  <si>
    <t>O2708</t>
  </si>
  <si>
    <t>O2709</t>
  </si>
  <si>
    <t>O2710</t>
  </si>
  <si>
    <t>O2711</t>
  </si>
  <si>
    <t>O2712</t>
  </si>
  <si>
    <t>O2713</t>
  </si>
  <si>
    <t>O2714</t>
  </si>
  <si>
    <t>O2715</t>
  </si>
  <si>
    <t>O2716</t>
  </si>
  <si>
    <t>O2717</t>
  </si>
  <si>
    <t>O2718</t>
  </si>
  <si>
    <t>O2719</t>
  </si>
  <si>
    <t>O2720</t>
  </si>
  <si>
    <t>O2721</t>
  </si>
  <si>
    <t>O2722</t>
  </si>
  <si>
    <t>O2723</t>
  </si>
  <si>
    <t>O2724</t>
  </si>
  <si>
    <t>O2725</t>
  </si>
  <si>
    <t>O2726</t>
  </si>
  <si>
    <t>O2727</t>
  </si>
  <si>
    <t>O2728</t>
  </si>
  <si>
    <t>O2729</t>
  </si>
  <si>
    <t>O2730</t>
  </si>
  <si>
    <t>O2731</t>
  </si>
  <si>
    <t>O2732</t>
  </si>
  <si>
    <t>O2733</t>
  </si>
  <si>
    <t>O2734</t>
  </si>
  <si>
    <t>O2735</t>
  </si>
  <si>
    <t>O2736</t>
  </si>
  <si>
    <t>O2737</t>
  </si>
  <si>
    <t>O2738</t>
  </si>
  <si>
    <t>O2739</t>
  </si>
  <si>
    <t>O2740</t>
  </si>
  <si>
    <t>O2741</t>
  </si>
  <si>
    <t>O2742</t>
  </si>
  <si>
    <t>O2743</t>
  </si>
  <si>
    <t>O2744</t>
  </si>
  <si>
    <t>O2745</t>
  </si>
  <si>
    <t>O2746</t>
  </si>
  <si>
    <t>O2747</t>
  </si>
  <si>
    <t>O2748</t>
  </si>
  <si>
    <t>O2749</t>
  </si>
  <si>
    <t>O2750</t>
  </si>
  <si>
    <t>O2751</t>
  </si>
  <si>
    <t>O2752</t>
  </si>
  <si>
    <t>O2753</t>
  </si>
  <si>
    <t>O2754</t>
  </si>
  <si>
    <t>O2755</t>
  </si>
  <si>
    <t>O2756</t>
  </si>
  <si>
    <t>O2757</t>
  </si>
  <si>
    <t>O2758</t>
  </si>
  <si>
    <t>O2759</t>
  </si>
  <si>
    <t>O2760</t>
  </si>
  <si>
    <t>O2761</t>
  </si>
  <si>
    <t>O2762</t>
  </si>
  <si>
    <t>O2763</t>
  </si>
  <si>
    <t>O2764</t>
  </si>
  <si>
    <t>O2765</t>
  </si>
  <si>
    <t>O2766</t>
  </si>
  <si>
    <t>O2767</t>
  </si>
  <si>
    <t>O2768</t>
  </si>
  <si>
    <t>O2769</t>
  </si>
  <si>
    <t>O2770</t>
  </si>
  <si>
    <t>O2771</t>
  </si>
  <si>
    <t>O2772</t>
  </si>
  <si>
    <t>O2773</t>
  </si>
  <si>
    <t>O2774</t>
  </si>
  <si>
    <t>O2775</t>
  </si>
  <si>
    <t>O2776</t>
  </si>
  <si>
    <t>O2777</t>
  </si>
  <si>
    <t>O2778</t>
  </si>
  <si>
    <t>O2779</t>
  </si>
  <si>
    <t>O2780</t>
  </si>
  <si>
    <t>O2781</t>
  </si>
  <si>
    <t>O2782</t>
  </si>
  <si>
    <t>O2783</t>
  </si>
  <si>
    <t>O2784</t>
  </si>
  <si>
    <t>O2785</t>
  </si>
  <si>
    <t>O2786</t>
  </si>
  <si>
    <t>O2787</t>
  </si>
  <si>
    <t>O2788</t>
  </si>
  <si>
    <t>O2789</t>
  </si>
  <si>
    <t>O2790</t>
  </si>
  <si>
    <t>O2791</t>
  </si>
  <si>
    <t>O2792</t>
  </si>
  <si>
    <t>O2793</t>
  </si>
  <si>
    <t>O2794</t>
  </si>
  <si>
    <t>O2795</t>
  </si>
  <si>
    <t>O2796</t>
  </si>
  <si>
    <t>O2797</t>
  </si>
  <si>
    <t>O2798</t>
  </si>
  <si>
    <t>O2799</t>
  </si>
  <si>
    <t>O2800</t>
  </si>
  <si>
    <t>O2801</t>
  </si>
  <si>
    <t>O2802</t>
  </si>
  <si>
    <t>O2803</t>
  </si>
  <si>
    <t>O2804</t>
  </si>
  <si>
    <t>O2805</t>
  </si>
  <si>
    <t>O2806</t>
  </si>
  <si>
    <t>O2807</t>
  </si>
  <si>
    <t>O2808</t>
  </si>
  <si>
    <t>O2809</t>
  </si>
  <si>
    <t>O2810</t>
  </si>
  <si>
    <t>O2811</t>
  </si>
  <si>
    <t>O2812</t>
  </si>
  <si>
    <t>O2813</t>
  </si>
  <si>
    <t>O2814</t>
  </si>
  <si>
    <t>O2815</t>
  </si>
  <si>
    <t>O2816</t>
  </si>
  <si>
    <t>O2817</t>
  </si>
  <si>
    <t>O2818</t>
  </si>
  <si>
    <t>O2819</t>
  </si>
  <si>
    <t>O2820</t>
  </si>
  <si>
    <t>O2821</t>
  </si>
  <si>
    <t>O2822</t>
  </si>
  <si>
    <t>O2823</t>
  </si>
  <si>
    <t>O2824</t>
  </si>
  <si>
    <t>O2825</t>
  </si>
  <si>
    <t>O2826</t>
  </si>
  <si>
    <t>O2827</t>
  </si>
  <si>
    <t>O2828</t>
  </si>
  <si>
    <t>O2829</t>
  </si>
  <si>
    <t>O2830</t>
  </si>
  <si>
    <t>O2831</t>
  </si>
  <si>
    <t>O2832</t>
  </si>
  <si>
    <t>O2833</t>
  </si>
  <si>
    <t>O2834</t>
  </si>
  <si>
    <t>O2835</t>
  </si>
  <si>
    <t>O2836</t>
  </si>
  <si>
    <t>O2837</t>
  </si>
  <si>
    <t>O2838</t>
  </si>
  <si>
    <t>O2839</t>
  </si>
  <si>
    <t>O2840</t>
  </si>
  <si>
    <t>O2841</t>
  </si>
  <si>
    <t>O2842</t>
  </si>
  <si>
    <t>O2843</t>
  </si>
  <si>
    <t>O2844</t>
  </si>
  <si>
    <t>O2845</t>
  </si>
  <si>
    <t>O2846</t>
  </si>
  <si>
    <t>O2847</t>
  </si>
  <si>
    <t>O2848</t>
  </si>
  <si>
    <t>O2849</t>
  </si>
  <si>
    <t>O2850</t>
  </si>
  <si>
    <t>O2851</t>
  </si>
  <si>
    <t>O2852</t>
  </si>
  <si>
    <t>O2853</t>
  </si>
  <si>
    <t>O2854</t>
  </si>
  <si>
    <t>O2855</t>
  </si>
  <si>
    <t>O2856</t>
  </si>
  <si>
    <t>O2857</t>
  </si>
  <si>
    <t>O2858</t>
  </si>
  <si>
    <t>O2859</t>
  </si>
  <si>
    <t>O2860</t>
  </si>
  <si>
    <t>O2861</t>
  </si>
  <si>
    <t>O2862</t>
  </si>
  <si>
    <t>O2863</t>
  </si>
  <si>
    <t>O2864</t>
  </si>
  <si>
    <t>O2865</t>
  </si>
  <si>
    <t>O2866</t>
  </si>
  <si>
    <t>O2867</t>
  </si>
  <si>
    <t>O2868</t>
  </si>
  <si>
    <t>O2869</t>
  </si>
  <si>
    <t>O2870</t>
  </si>
  <si>
    <t>O2871</t>
  </si>
  <si>
    <t>O2872</t>
  </si>
  <si>
    <t>O2873</t>
  </si>
  <si>
    <t>O2874</t>
  </si>
  <si>
    <t>O2875</t>
  </si>
  <si>
    <t>O2876</t>
  </si>
  <si>
    <t>O2877</t>
  </si>
  <si>
    <t>O2878</t>
  </si>
  <si>
    <t>O2879</t>
  </si>
  <si>
    <t>O2880</t>
  </si>
  <si>
    <t>O2881</t>
  </si>
  <si>
    <t>O2882</t>
  </si>
  <si>
    <t>O2883</t>
  </si>
  <si>
    <t>O2884</t>
  </si>
  <si>
    <t>O2885</t>
  </si>
  <si>
    <t>O2886</t>
  </si>
  <si>
    <t>O2887</t>
  </si>
  <si>
    <t>O2888</t>
  </si>
  <si>
    <t>O2889</t>
  </si>
  <si>
    <t>O2890</t>
  </si>
  <si>
    <t>O2891</t>
  </si>
  <si>
    <t>O2892</t>
  </si>
  <si>
    <t>O2893</t>
  </si>
  <si>
    <t>O2894</t>
  </si>
  <si>
    <t>O2895</t>
  </si>
  <si>
    <t>O2896</t>
  </si>
  <si>
    <t>O2897</t>
  </si>
  <si>
    <t>O2898</t>
  </si>
  <si>
    <t>O2899</t>
  </si>
  <si>
    <t>O2900</t>
  </si>
  <si>
    <t>O2901</t>
  </si>
  <si>
    <t>O2902</t>
  </si>
  <si>
    <t>O2903</t>
  </si>
  <si>
    <t>O2904</t>
  </si>
  <si>
    <t>O2905</t>
  </si>
  <si>
    <t>O2906</t>
  </si>
  <si>
    <t>O2907</t>
  </si>
  <si>
    <t>O2908</t>
  </si>
  <si>
    <t>O2909</t>
  </si>
  <si>
    <t>O2910</t>
  </si>
  <si>
    <t>O2911</t>
  </si>
  <si>
    <t>O2912</t>
  </si>
  <si>
    <t>O2913</t>
  </si>
  <si>
    <t>O2914</t>
  </si>
  <si>
    <t>O2915</t>
  </si>
  <si>
    <t>O2916</t>
  </si>
  <si>
    <t>O2917</t>
  </si>
  <si>
    <t>O2918</t>
  </si>
  <si>
    <t>O2919</t>
  </si>
  <si>
    <t>O2920</t>
  </si>
  <si>
    <t>O2921</t>
  </si>
  <si>
    <t>O2922</t>
  </si>
  <si>
    <t>O2923</t>
  </si>
  <si>
    <t>O2924</t>
  </si>
  <si>
    <t>O2925</t>
  </si>
  <si>
    <t>O2926</t>
  </si>
  <si>
    <t>O2927</t>
  </si>
  <si>
    <t>O2928</t>
  </si>
  <si>
    <t>O2929</t>
  </si>
  <si>
    <t>O2930</t>
  </si>
  <si>
    <t>O2931</t>
  </si>
  <si>
    <t>O2932</t>
  </si>
  <si>
    <t>O2933</t>
  </si>
  <si>
    <t>O2934</t>
  </si>
  <si>
    <t>O2935</t>
  </si>
  <si>
    <t>O2936</t>
  </si>
  <si>
    <t>O2937</t>
  </si>
  <si>
    <t>O2938</t>
  </si>
  <si>
    <t>O2939</t>
  </si>
  <si>
    <t>O2940</t>
  </si>
  <si>
    <t>O2941</t>
  </si>
  <si>
    <t>O2942</t>
  </si>
  <si>
    <t>O2943</t>
  </si>
  <si>
    <t>O2944</t>
  </si>
  <si>
    <t>O2945</t>
  </si>
  <si>
    <t>O2946</t>
  </si>
  <si>
    <t>O2947</t>
  </si>
  <si>
    <t>O2948</t>
  </si>
  <si>
    <t>O2949</t>
  </si>
  <si>
    <t>O2950</t>
  </si>
  <si>
    <t>O2951</t>
  </si>
  <si>
    <t>O2952</t>
  </si>
  <si>
    <t>O2953</t>
  </si>
  <si>
    <t>O2954</t>
  </si>
  <si>
    <t>O2955</t>
  </si>
  <si>
    <t>O2956</t>
  </si>
  <si>
    <t>O2957</t>
  </si>
  <si>
    <t>O2958</t>
  </si>
  <si>
    <t>O2959</t>
  </si>
  <si>
    <t>O2960</t>
  </si>
  <si>
    <t>O2961</t>
  </si>
  <si>
    <t>O2962</t>
  </si>
  <si>
    <t>O2963</t>
  </si>
  <si>
    <t>O2964</t>
  </si>
  <si>
    <t>O2965</t>
  </si>
  <si>
    <t>O2966</t>
  </si>
  <si>
    <t>O2967</t>
  </si>
  <si>
    <t>O2968</t>
  </si>
  <si>
    <t>O2969</t>
  </si>
  <si>
    <t>O2970</t>
  </si>
  <si>
    <t>O2971</t>
  </si>
  <si>
    <t>O2972</t>
  </si>
  <si>
    <t>O2973</t>
  </si>
  <si>
    <t>O2974</t>
  </si>
  <si>
    <t>O2975</t>
  </si>
  <si>
    <t>O2976</t>
  </si>
  <si>
    <t>O2977</t>
  </si>
  <si>
    <t>O2978</t>
  </si>
  <si>
    <t>O2979</t>
  </si>
  <si>
    <t>O2980</t>
  </si>
  <si>
    <t>O2981</t>
  </si>
  <si>
    <t>O2982</t>
  </si>
  <si>
    <t>O2983</t>
  </si>
  <si>
    <t>O2984</t>
  </si>
  <si>
    <t>O2985</t>
  </si>
  <si>
    <t>O2986</t>
  </si>
  <si>
    <t>O2987</t>
  </si>
  <si>
    <t>O2988</t>
  </si>
  <si>
    <t>O2989</t>
  </si>
  <si>
    <t>O2990</t>
  </si>
  <si>
    <t>O2991</t>
  </si>
  <si>
    <t>O2992</t>
  </si>
  <si>
    <t>O2993</t>
  </si>
  <si>
    <t>O2994</t>
  </si>
  <si>
    <t>O2995</t>
  </si>
  <si>
    <t>O2996</t>
  </si>
  <si>
    <t>O2997</t>
  </si>
  <si>
    <t>O2998</t>
  </si>
  <si>
    <t>O2999</t>
  </si>
  <si>
    <t>C1028</t>
  </si>
  <si>
    <t>C1057</t>
  </si>
  <si>
    <t>C1139</t>
  </si>
  <si>
    <t>C1008</t>
  </si>
  <si>
    <t>C1059</t>
  </si>
  <si>
    <t>C1143</t>
  </si>
  <si>
    <t>C1056</t>
  </si>
  <si>
    <t>C1001</t>
  </si>
  <si>
    <t>C1108</t>
  </si>
  <si>
    <t>C1055</t>
  </si>
  <si>
    <t>C1023</t>
  </si>
  <si>
    <t>C1088</t>
  </si>
  <si>
    <t>C1117</t>
  </si>
  <si>
    <t>C1020</t>
  </si>
  <si>
    <t>C1092</t>
  </si>
  <si>
    <t>C1017</t>
  </si>
  <si>
    <t>C1074</t>
  </si>
  <si>
    <t>C1097</t>
  </si>
  <si>
    <t>C1093</t>
  </si>
  <si>
    <t>C1053</t>
  </si>
  <si>
    <t>C1018</t>
  </si>
  <si>
    <t>C1062</t>
  </si>
  <si>
    <t>C1069</t>
  </si>
  <si>
    <t>C1083</t>
  </si>
  <si>
    <t>C1068</t>
  </si>
  <si>
    <t>C1080</t>
  </si>
  <si>
    <t>C1063</t>
  </si>
  <si>
    <t>C1067</t>
  </si>
  <si>
    <t>C1149</t>
  </si>
  <si>
    <t>C1035</t>
  </si>
  <si>
    <t>C1012</t>
  </si>
  <si>
    <t>C1040</t>
  </si>
  <si>
    <t>C1016</t>
  </si>
  <si>
    <t>C1119</t>
  </si>
  <si>
    <t>C1002</t>
  </si>
  <si>
    <t>C1137</t>
  </si>
  <si>
    <t>C1087</t>
  </si>
  <si>
    <t>C1027</t>
  </si>
  <si>
    <t>C1129</t>
  </si>
  <si>
    <t>C1095</t>
  </si>
  <si>
    <t>C1135</t>
  </si>
  <si>
    <t>C1082</t>
  </si>
  <si>
    <t>C1014</t>
  </si>
  <si>
    <t>C1021</t>
  </si>
  <si>
    <t>C1136</t>
  </si>
  <si>
    <t>C1121</t>
  </si>
  <si>
    <t>C1054</t>
  </si>
  <si>
    <t>C1051</t>
  </si>
  <si>
    <t>C1030</t>
  </si>
  <si>
    <t>C1086</t>
  </si>
  <si>
    <t>C1058</t>
  </si>
  <si>
    <t>C1124</t>
  </si>
  <si>
    <t>C1146</t>
  </si>
  <si>
    <t>C1024</t>
  </si>
  <si>
    <t>C1013</t>
  </si>
  <si>
    <t>C1103</t>
  </si>
  <si>
    <t>C1114</t>
  </si>
  <si>
    <t>C1071</t>
  </si>
  <si>
    <t>C1113</t>
  </si>
  <si>
    <t>C1104</t>
  </si>
  <si>
    <t>C1102</t>
  </si>
  <si>
    <t>C1116</t>
  </si>
  <si>
    <t>C1142</t>
  </si>
  <si>
    <t>C1048</t>
  </si>
  <si>
    <t>C1148</t>
  </si>
  <si>
    <t>C1122</t>
  </si>
  <si>
    <t>C1060</t>
  </si>
  <si>
    <t>C1133</t>
  </si>
  <si>
    <t>C1033</t>
  </si>
  <si>
    <t>C1112</t>
  </si>
  <si>
    <t>C1077</t>
  </si>
  <si>
    <t>C1141</t>
  </si>
  <si>
    <t>C1011</t>
  </si>
  <si>
    <t>C1038</t>
  </si>
  <si>
    <t>C1032</t>
  </si>
  <si>
    <t>C1010</t>
  </si>
  <si>
    <t>C1039</t>
  </si>
  <si>
    <t>C1045</t>
  </si>
  <si>
    <t>C1078</t>
  </si>
  <si>
    <t>C1006</t>
  </si>
  <si>
    <t>C1084</t>
  </si>
  <si>
    <t>C1066</t>
  </si>
  <si>
    <t>C1009</t>
  </si>
  <si>
    <t>C1130</t>
  </si>
  <si>
    <t>C1111</t>
  </si>
  <si>
    <t>C1050</t>
  </si>
  <si>
    <t>C1031</t>
  </si>
  <si>
    <t>C1079</t>
  </si>
  <si>
    <t>C1145</t>
  </si>
  <si>
    <t>C1000</t>
  </si>
  <si>
    <t>C1110</t>
  </si>
  <si>
    <t>C1043</t>
  </si>
  <si>
    <t>C1131</t>
  </si>
  <si>
    <t>C1147</t>
  </si>
  <si>
    <t>C1140</t>
  </si>
  <si>
    <t>C1098</t>
  </si>
  <si>
    <t>C1015</t>
  </si>
  <si>
    <t>C1090</t>
  </si>
  <si>
    <t>C1042</t>
  </si>
  <si>
    <t>C1144</t>
  </si>
  <si>
    <t>C1109</t>
  </si>
  <si>
    <t>C1138</t>
  </si>
  <si>
    <t>C1007</t>
  </si>
  <si>
    <t>C1029</t>
  </si>
  <si>
    <t>C1065</t>
  </si>
  <si>
    <t>C1094</t>
  </si>
  <si>
    <t>C1118</t>
  </si>
  <si>
    <t>C1070</t>
  </si>
  <si>
    <t>C1061</t>
  </si>
  <si>
    <t>C1125</t>
  </si>
  <si>
    <t>C1075</t>
  </si>
  <si>
    <t>C1049</t>
  </si>
  <si>
    <t>C1134</t>
  </si>
  <si>
    <t>C1003</t>
  </si>
  <si>
    <t>C1106</t>
  </si>
  <si>
    <t>C1115</t>
  </si>
  <si>
    <t>C1072</t>
  </si>
  <si>
    <t>C1036</t>
  </si>
  <si>
    <t>C1128</t>
  </si>
  <si>
    <t>C1005</t>
  </si>
  <si>
    <t>C1132</t>
  </si>
  <si>
    <t>C1046</t>
  </si>
  <si>
    <t>C1026</t>
  </si>
  <si>
    <t>C1105</t>
  </si>
  <si>
    <t>C1034</t>
  </si>
  <si>
    <t>C1085</t>
  </si>
  <si>
    <t>C1025</t>
  </si>
  <si>
    <t>C1076</t>
  </si>
  <si>
    <t>C1091</t>
  </si>
  <si>
    <t>C1127</t>
  </si>
  <si>
    <t>C1064</t>
  </si>
  <si>
    <t>C1019</t>
  </si>
  <si>
    <t>C1101</t>
  </si>
  <si>
    <t>C1126</t>
  </si>
  <si>
    <t>C1037</t>
  </si>
  <si>
    <t>C1044</t>
  </si>
  <si>
    <t>C1107</t>
  </si>
  <si>
    <t>C1096</t>
  </si>
  <si>
    <t>C1004</t>
  </si>
  <si>
    <t>C1100</t>
  </si>
  <si>
    <t>C1041</t>
  </si>
  <si>
    <t>C1089</t>
  </si>
  <si>
    <t>C1047</t>
  </si>
  <si>
    <t>C1022</t>
  </si>
  <si>
    <t>C1123</t>
  </si>
  <si>
    <t>C1081</t>
  </si>
  <si>
    <t>C1073</t>
  </si>
  <si>
    <t>C1052</t>
  </si>
  <si>
    <t>C1099</t>
  </si>
  <si>
    <t>C1120</t>
  </si>
  <si>
    <t>P101</t>
  </si>
  <si>
    <t>P108</t>
  </si>
  <si>
    <t>P105</t>
  </si>
  <si>
    <t>P132</t>
  </si>
  <si>
    <t>P112</t>
  </si>
  <si>
    <t>P128</t>
  </si>
  <si>
    <t>P148</t>
  </si>
  <si>
    <t>P121</t>
  </si>
  <si>
    <t>P124</t>
  </si>
  <si>
    <t>P138</t>
  </si>
  <si>
    <t>P134</t>
  </si>
  <si>
    <t>P135</t>
  </si>
  <si>
    <t>P136</t>
  </si>
  <si>
    <t>P102</t>
  </si>
  <si>
    <t>P117</t>
  </si>
  <si>
    <t>P110</t>
  </si>
  <si>
    <t>P142</t>
  </si>
  <si>
    <t>P159</t>
  </si>
  <si>
    <t>P153</t>
  </si>
  <si>
    <t>P151</t>
  </si>
  <si>
    <t>P104</t>
  </si>
  <si>
    <t>P113</t>
  </si>
  <si>
    <t>P109</t>
  </si>
  <si>
    <t>P147</t>
  </si>
  <si>
    <t>P125</t>
  </si>
  <si>
    <t>P155</t>
  </si>
  <si>
    <t>P150</t>
  </si>
  <si>
    <t>P133</t>
  </si>
  <si>
    <t>P143</t>
  </si>
  <si>
    <t>P107</t>
  </si>
  <si>
    <t>P129</t>
  </si>
  <si>
    <t>P158</t>
  </si>
  <si>
    <t>P131</t>
  </si>
  <si>
    <t>P156</t>
  </si>
  <si>
    <t>P115</t>
  </si>
  <si>
    <t>P146</t>
  </si>
  <si>
    <t>P149</t>
  </si>
  <si>
    <t>P145</t>
  </si>
  <si>
    <t>P137</t>
  </si>
  <si>
    <t>P157</t>
  </si>
  <si>
    <t>P106</t>
  </si>
  <si>
    <t>P126</t>
  </si>
  <si>
    <t>P141</t>
  </si>
  <si>
    <t>P100</t>
  </si>
  <si>
    <t>P118</t>
  </si>
  <si>
    <t>P103</t>
  </si>
  <si>
    <t>P120</t>
  </si>
  <si>
    <t>P139</t>
  </si>
  <si>
    <t>P123</t>
  </si>
  <si>
    <t>P119</t>
  </si>
  <si>
    <t>P140</t>
  </si>
  <si>
    <t>P152</t>
  </si>
  <si>
    <t>P122</t>
  </si>
  <si>
    <t>P111</t>
  </si>
  <si>
    <t>P116</t>
  </si>
  <si>
    <t>P144</t>
  </si>
  <si>
    <t>P114</t>
  </si>
  <si>
    <t>P130</t>
  </si>
  <si>
    <t>P127</t>
  </si>
  <si>
    <t>P154</t>
  </si>
  <si>
    <t>상품 쿠폰</t>
  </si>
  <si>
    <t>브랜드 쿠폰</t>
  </si>
  <si>
    <t>이벤트 쿠폰</t>
  </si>
  <si>
    <t>멤버십 쿠폰</t>
  </si>
  <si>
    <t>지역</t>
  </si>
  <si>
    <t>멤버십등급</t>
  </si>
  <si>
    <t>부산</t>
  </si>
  <si>
    <t>수원</t>
  </si>
  <si>
    <t>인천</t>
  </si>
  <si>
    <t>대구</t>
  </si>
  <si>
    <t>서울</t>
  </si>
  <si>
    <t>대전</t>
  </si>
  <si>
    <t>광주</t>
  </si>
  <si>
    <t>L3</t>
  </si>
  <si>
    <t>L5</t>
  </si>
  <si>
    <t>L1</t>
  </si>
  <si>
    <t>L2</t>
  </si>
  <si>
    <t>L4</t>
  </si>
  <si>
    <t>카테고리</t>
  </si>
  <si>
    <t>브랜드</t>
  </si>
  <si>
    <t>의류</t>
  </si>
  <si>
    <t>액세서리</t>
  </si>
  <si>
    <t>브랜드A</t>
  </si>
  <si>
    <t>브랜드B</t>
  </si>
  <si>
    <t>브랜드F</t>
  </si>
  <si>
    <t>브랜드E</t>
  </si>
  <si>
    <t>브랜드C</t>
  </si>
  <si>
    <t>브랜드D</t>
  </si>
  <si>
    <t>자켓</t>
  </si>
  <si>
    <t>반지</t>
  </si>
  <si>
    <t>청바지</t>
  </si>
  <si>
    <t>귀걸이</t>
  </si>
  <si>
    <t>셔츠</t>
  </si>
  <si>
    <t>반팔 티셔츠</t>
  </si>
  <si>
    <t>목걸이</t>
  </si>
  <si>
    <t>핸드폰케이스</t>
  </si>
  <si>
    <t>나이</t>
  </si>
  <si>
    <t>분류</t>
  </si>
  <si>
    <t>고객_지역</t>
    <phoneticPr fontId="2" type="noConversion"/>
  </si>
  <si>
    <t>고객_멤버십_등급</t>
    <phoneticPr fontId="2" type="noConversion"/>
  </si>
  <si>
    <t>상품_카테고리</t>
    <phoneticPr fontId="2" type="noConversion"/>
  </si>
  <si>
    <t>N/A</t>
  </si>
  <si>
    <t>할인유형</t>
    <phoneticPr fontId="2" type="noConversion"/>
  </si>
  <si>
    <t>서울</t>
    <phoneticPr fontId="2" type="noConversion"/>
  </si>
  <si>
    <t>매출</t>
    <phoneticPr fontId="2" type="noConversion"/>
  </si>
  <si>
    <t>주문 월</t>
    <phoneticPr fontId="2" type="noConversion"/>
  </si>
  <si>
    <t>주문 요일</t>
    <phoneticPr fontId="2" type="noConversion"/>
  </si>
  <si>
    <t>연령대</t>
    <phoneticPr fontId="2" type="noConversion"/>
  </si>
  <si>
    <t>상품분류</t>
    <phoneticPr fontId="2" type="noConversion"/>
  </si>
  <si>
    <t>고객 연령대</t>
    <phoneticPr fontId="2" type="noConversion"/>
  </si>
  <si>
    <t>상품브랜드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</si>
</sst>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42" fontId="1" fillId="0" borderId="0" xfId="0" applyNumberFormat="1" applyFont="1" applyAlignment="1">
      <alignment horizontal="center" vertical="top"/>
    </xf>
    <xf numFmtId="42" fontId="0" fillId="0" borderId="0" xfId="0" applyNumberFormat="1"/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1"/>
  <sheetViews>
    <sheetView topLeftCell="I1" zoomScale="40" zoomScaleNormal="40" workbookViewId="0">
      <selection activeCell="Q2" sqref="Q2:Q2001"/>
    </sheetView>
  </sheetViews>
  <sheetFormatPr defaultColWidth="8.83203125" defaultRowHeight="17" x14ac:dyDescent="0.45"/>
  <cols>
    <col min="1" max="1" width="11.6640625" bestFit="1" customWidth="1"/>
    <col min="9" max="9" width="11.83203125" bestFit="1" customWidth="1"/>
    <col min="10" max="12" width="11.83203125" style="4" customWidth="1"/>
    <col min="14" max="15" width="21.33203125" customWidth="1"/>
    <col min="16" max="16" width="15.33203125" customWidth="1"/>
    <col min="17" max="17" width="11.1640625" customWidth="1"/>
    <col min="18" max="18" width="12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2653</v>
      </c>
      <c r="J1" s="3" t="s">
        <v>2655</v>
      </c>
      <c r="K1" s="3" t="s">
        <v>2656</v>
      </c>
      <c r="L1" s="3" t="s">
        <v>2657</v>
      </c>
      <c r="M1" s="1" t="s">
        <v>2649</v>
      </c>
      <c r="N1" s="1" t="s">
        <v>2650</v>
      </c>
      <c r="O1" s="1" t="s">
        <v>2660</v>
      </c>
      <c r="P1" s="1" t="s">
        <v>2651</v>
      </c>
      <c r="Q1" s="1" t="s">
        <v>2659</v>
      </c>
      <c r="R1" s="1" t="s">
        <v>2661</v>
      </c>
    </row>
    <row r="2" spans="1:18" x14ac:dyDescent="0.45">
      <c r="A2" t="s">
        <v>8</v>
      </c>
      <c r="B2" t="s">
        <v>401</v>
      </c>
      <c r="C2" t="s">
        <v>2401</v>
      </c>
      <c r="D2" t="s">
        <v>2551</v>
      </c>
      <c r="E2">
        <v>3</v>
      </c>
      <c r="F2">
        <v>66600</v>
      </c>
      <c r="G2">
        <v>0</v>
      </c>
      <c r="H2">
        <v>0</v>
      </c>
      <c r="I2" t="s">
        <v>2652</v>
      </c>
      <c r="J2" s="4">
        <f>E2*F2+G2-H2</f>
        <v>199800</v>
      </c>
      <c r="K2" s="4" t="str">
        <f>LEFT(A2,7)</f>
        <v>2024-05</v>
      </c>
      <c r="L2" s="4" t="str">
        <f>TEXT(WEEKDAY(A2),"aaa")</f>
        <v>일</v>
      </c>
      <c r="M2" s="2" t="str">
        <f>VLOOKUP($C2, 고객정보!$A$2:$E$151, 2, FALSE)</f>
        <v>대구</v>
      </c>
      <c r="N2" t="str">
        <f>VLOOKUP(C2,고객정보!$A$2:$D$151,4,FALSE)</f>
        <v>L2</v>
      </c>
      <c r="O2" t="str">
        <f>VLOOKUP($C2, 고객정보!$A$2:$E$151, 5, FALSE)</f>
        <v>30대</v>
      </c>
      <c r="P2" t="str">
        <f>VLOOKUP(D2,상품정보!$A$2:$E$61,2,FALSE)</f>
        <v>반지</v>
      </c>
      <c r="Q2" t="str">
        <f>VLOOKUP(D2,상품정보!$A$2:$D$151,3,FALSE)</f>
        <v>액세서리</v>
      </c>
      <c r="R2" t="str">
        <f>VLOOKUP(D2,상품정보!$A$2:$D$151,4,FALSE)</f>
        <v>브랜드B</v>
      </c>
    </row>
    <row r="3" spans="1:18" x14ac:dyDescent="0.45">
      <c r="A3" t="s">
        <v>9</v>
      </c>
      <c r="B3" t="s">
        <v>402</v>
      </c>
      <c r="C3" t="s">
        <v>2402</v>
      </c>
      <c r="D3" t="s">
        <v>2552</v>
      </c>
      <c r="E3">
        <v>1</v>
      </c>
      <c r="F3">
        <v>13300</v>
      </c>
      <c r="G3">
        <v>0</v>
      </c>
      <c r="H3">
        <v>2700</v>
      </c>
      <c r="I3" t="s">
        <v>2611</v>
      </c>
      <c r="J3" s="4">
        <f t="shared" ref="J3:J66" si="0">E3*F3+G3-H3</f>
        <v>10600</v>
      </c>
      <c r="K3" s="4" t="str">
        <f t="shared" ref="K3:K66" si="1">LEFT(A3,7)</f>
        <v>2024-12</v>
      </c>
      <c r="L3" s="4" t="str">
        <f t="shared" ref="L3:L66" si="2">TEXT(WEEKDAY(A3),"aaa")</f>
        <v>목</v>
      </c>
      <c r="M3" s="2" t="str">
        <f>VLOOKUP($C3, 고객정보!$A$2:$E$151, 2, FALSE)</f>
        <v>서울</v>
      </c>
      <c r="N3" t="str">
        <f>VLOOKUP(C3,고객정보!$A$2:$D$151,4,FALSE)</f>
        <v>L2</v>
      </c>
      <c r="O3" t="str">
        <f>VLOOKUP($C3, 고객정보!$A$2:$E$151, 5, FALSE)</f>
        <v>30대</v>
      </c>
      <c r="P3" t="str">
        <f>VLOOKUP(D3,상품정보!$A$2:$E$61,2,FALSE)</f>
        <v>셔츠</v>
      </c>
      <c r="Q3" t="str">
        <f>VLOOKUP(D3,상품정보!$A$2:$D$151,3,FALSE)</f>
        <v>의류</v>
      </c>
      <c r="R3" t="str">
        <f>VLOOKUP(D3,상품정보!$A$2:$D$151,4,FALSE)</f>
        <v>브랜드E</v>
      </c>
    </row>
    <row r="4" spans="1:18" x14ac:dyDescent="0.45">
      <c r="A4" t="s">
        <v>10</v>
      </c>
      <c r="B4" t="s">
        <v>403</v>
      </c>
      <c r="C4" t="s">
        <v>2403</v>
      </c>
      <c r="D4" t="s">
        <v>2553</v>
      </c>
      <c r="E4">
        <v>5</v>
      </c>
      <c r="F4">
        <v>63400</v>
      </c>
      <c r="G4">
        <v>500</v>
      </c>
      <c r="H4">
        <v>600</v>
      </c>
      <c r="I4" t="s">
        <v>2611</v>
      </c>
      <c r="J4" s="4">
        <f t="shared" si="0"/>
        <v>316900</v>
      </c>
      <c r="K4" s="4" t="str">
        <f t="shared" si="1"/>
        <v>2024-08</v>
      </c>
      <c r="L4" s="4" t="str">
        <f t="shared" si="2"/>
        <v>일</v>
      </c>
      <c r="M4" s="2" t="str">
        <f>VLOOKUP($C4, 고객정보!$A$2:$E$151, 2, FALSE)</f>
        <v>수원</v>
      </c>
      <c r="N4" t="str">
        <f>VLOOKUP(C4,고객정보!$A$2:$D$151,4,FALSE)</f>
        <v>L3</v>
      </c>
      <c r="O4" t="str">
        <f>VLOOKUP($C4, 고객정보!$A$2:$E$151, 5, FALSE)</f>
        <v>30대</v>
      </c>
      <c r="P4" t="str">
        <f>VLOOKUP(D4,상품정보!$A$2:$E$61,2,FALSE)</f>
        <v>귀걸이</v>
      </c>
      <c r="Q4" t="str">
        <f>VLOOKUP(D4,상품정보!$A$2:$D$151,3,FALSE)</f>
        <v>액세서리</v>
      </c>
      <c r="R4" t="str">
        <f>VLOOKUP(D4,상품정보!$A$2:$D$151,4,FALSE)</f>
        <v>브랜드F</v>
      </c>
    </row>
    <row r="5" spans="1:18" x14ac:dyDescent="0.45">
      <c r="A5" t="s">
        <v>11</v>
      </c>
      <c r="B5" t="s">
        <v>404</v>
      </c>
      <c r="C5" t="s">
        <v>2404</v>
      </c>
      <c r="D5" t="s">
        <v>2551</v>
      </c>
      <c r="E5">
        <v>1</v>
      </c>
      <c r="F5">
        <v>66600</v>
      </c>
      <c r="G5">
        <v>1500</v>
      </c>
      <c r="H5">
        <v>0</v>
      </c>
      <c r="I5" t="s">
        <v>2652</v>
      </c>
      <c r="J5" s="4">
        <f t="shared" si="0"/>
        <v>68100</v>
      </c>
      <c r="K5" s="4" t="str">
        <f t="shared" si="1"/>
        <v>2024-04</v>
      </c>
      <c r="L5" s="4" t="str">
        <f t="shared" si="2"/>
        <v>일</v>
      </c>
      <c r="M5" s="2" t="str">
        <f>VLOOKUP($C5, 고객정보!$A$2:$E$151, 2, FALSE)</f>
        <v>대구</v>
      </c>
      <c r="N5" t="str">
        <f>VLOOKUP(C5,고객정보!$A$2:$D$151,4,FALSE)</f>
        <v>L1</v>
      </c>
      <c r="O5" t="str">
        <f>VLOOKUP($C5, 고객정보!$A$2:$E$151, 5, FALSE)</f>
        <v>30대</v>
      </c>
      <c r="P5" t="str">
        <f>VLOOKUP(D5,상품정보!$A$2:$E$61,2,FALSE)</f>
        <v>반지</v>
      </c>
      <c r="Q5" t="str">
        <f>VLOOKUP(D5,상품정보!$A$2:$D$151,3,FALSE)</f>
        <v>액세서리</v>
      </c>
      <c r="R5" t="str">
        <f>VLOOKUP(D5,상품정보!$A$2:$D$151,4,FALSE)</f>
        <v>브랜드B</v>
      </c>
    </row>
    <row r="6" spans="1:18" x14ac:dyDescent="0.45">
      <c r="A6" t="s">
        <v>12</v>
      </c>
      <c r="B6" t="s">
        <v>405</v>
      </c>
      <c r="C6" t="s">
        <v>2405</v>
      </c>
      <c r="D6" t="s">
        <v>2554</v>
      </c>
      <c r="E6">
        <v>5</v>
      </c>
      <c r="F6">
        <v>12100</v>
      </c>
      <c r="G6">
        <v>0</v>
      </c>
      <c r="H6">
        <v>0</v>
      </c>
      <c r="I6" t="s">
        <v>2652</v>
      </c>
      <c r="J6" s="4">
        <f t="shared" si="0"/>
        <v>60500</v>
      </c>
      <c r="K6" s="4" t="str">
        <f t="shared" si="1"/>
        <v>2024-01</v>
      </c>
      <c r="L6" s="4" t="str">
        <f t="shared" si="2"/>
        <v>일</v>
      </c>
      <c r="M6" s="2" t="str">
        <f>VLOOKUP($C6, 고객정보!$A$2:$E$151, 2, FALSE)</f>
        <v>부산</v>
      </c>
      <c r="N6" t="str">
        <f>VLOOKUP(C6,고객정보!$A$2:$D$151,4,FALSE)</f>
        <v>L3</v>
      </c>
      <c r="O6" t="str">
        <f>VLOOKUP($C6, 고객정보!$A$2:$E$151, 5, FALSE)</f>
        <v>40대</v>
      </c>
      <c r="P6" t="str">
        <f>VLOOKUP(D6,상품정보!$A$2:$E$61,2,FALSE)</f>
        <v>귀걸이</v>
      </c>
      <c r="Q6" t="str">
        <f>VLOOKUP(D6,상품정보!$A$2:$D$151,3,FALSE)</f>
        <v>액세서리</v>
      </c>
      <c r="R6" t="str">
        <f>VLOOKUP(D6,상품정보!$A$2:$D$151,4,FALSE)</f>
        <v>브랜드D</v>
      </c>
    </row>
    <row r="7" spans="1:18" x14ac:dyDescent="0.45">
      <c r="A7" t="s">
        <v>13</v>
      </c>
      <c r="B7" t="s">
        <v>406</v>
      </c>
      <c r="C7" t="s">
        <v>2406</v>
      </c>
      <c r="D7" t="s">
        <v>2555</v>
      </c>
      <c r="E7">
        <v>5</v>
      </c>
      <c r="F7">
        <v>8300</v>
      </c>
      <c r="G7">
        <v>1000</v>
      </c>
      <c r="H7">
        <v>0</v>
      </c>
      <c r="I7" t="s">
        <v>2652</v>
      </c>
      <c r="J7" s="4">
        <f t="shared" si="0"/>
        <v>42500</v>
      </c>
      <c r="K7" s="4" t="str">
        <f t="shared" si="1"/>
        <v>2024-08</v>
      </c>
      <c r="L7" s="4" t="str">
        <f t="shared" si="2"/>
        <v>금</v>
      </c>
      <c r="M7" s="2" t="str">
        <f>VLOOKUP($C7, 고객정보!$A$2:$E$151, 2, FALSE)</f>
        <v>부산</v>
      </c>
      <c r="N7" t="str">
        <f>VLOOKUP(C7,고객정보!$A$2:$D$151,4,FALSE)</f>
        <v>L5</v>
      </c>
      <c r="O7" t="str">
        <f>VLOOKUP($C7, 고객정보!$A$2:$E$151, 5, FALSE)</f>
        <v>30대</v>
      </c>
      <c r="P7" t="str">
        <f>VLOOKUP(D7,상품정보!$A$2:$E$61,2,FALSE)</f>
        <v>청바지</v>
      </c>
      <c r="Q7" t="str">
        <f>VLOOKUP(D7,상품정보!$A$2:$D$151,3,FALSE)</f>
        <v>의류</v>
      </c>
      <c r="R7" t="str">
        <f>VLOOKUP(D7,상품정보!$A$2:$D$151,4,FALSE)</f>
        <v>브랜드E</v>
      </c>
    </row>
    <row r="8" spans="1:18" x14ac:dyDescent="0.45">
      <c r="A8" t="s">
        <v>14</v>
      </c>
      <c r="B8" t="s">
        <v>407</v>
      </c>
      <c r="C8" t="s">
        <v>2407</v>
      </c>
      <c r="D8" t="s">
        <v>2556</v>
      </c>
      <c r="E8">
        <v>5</v>
      </c>
      <c r="F8">
        <v>70100</v>
      </c>
      <c r="G8">
        <v>0</v>
      </c>
      <c r="H8">
        <v>0</v>
      </c>
      <c r="I8" t="s">
        <v>2652</v>
      </c>
      <c r="J8" s="4">
        <f t="shared" si="0"/>
        <v>350500</v>
      </c>
      <c r="K8" s="4" t="str">
        <f t="shared" si="1"/>
        <v>2024-05</v>
      </c>
      <c r="L8" s="4" t="str">
        <f t="shared" si="2"/>
        <v>수</v>
      </c>
      <c r="M8" s="2" t="str">
        <f>VLOOKUP($C8, 고객정보!$A$2:$E$151, 2, FALSE)</f>
        <v>서울</v>
      </c>
      <c r="N8" t="str">
        <f>VLOOKUP(C8,고객정보!$A$2:$D$151,4,FALSE)</f>
        <v>L5</v>
      </c>
      <c r="O8" t="str">
        <f>VLOOKUP($C8, 고객정보!$A$2:$E$151, 5, FALSE)</f>
        <v>30대</v>
      </c>
      <c r="P8" t="str">
        <f>VLOOKUP(D8,상품정보!$A$2:$E$61,2,FALSE)</f>
        <v>핸드폰케이스</v>
      </c>
      <c r="Q8" t="str">
        <f>VLOOKUP(D8,상품정보!$A$2:$D$151,3,FALSE)</f>
        <v>액세서리</v>
      </c>
      <c r="R8" t="str">
        <f>VLOOKUP(D8,상품정보!$A$2:$D$151,4,FALSE)</f>
        <v>브랜드F</v>
      </c>
    </row>
    <row r="9" spans="1:18" x14ac:dyDescent="0.45">
      <c r="A9" t="s">
        <v>15</v>
      </c>
      <c r="B9" t="s">
        <v>408</v>
      </c>
      <c r="C9" t="s">
        <v>2408</v>
      </c>
      <c r="D9" t="s">
        <v>2557</v>
      </c>
      <c r="E9">
        <v>2</v>
      </c>
      <c r="F9">
        <v>77700</v>
      </c>
      <c r="G9">
        <v>1500</v>
      </c>
      <c r="H9">
        <v>3400</v>
      </c>
      <c r="I9" t="s">
        <v>2611</v>
      </c>
      <c r="J9" s="4">
        <f t="shared" si="0"/>
        <v>153500</v>
      </c>
      <c r="K9" s="4" t="str">
        <f t="shared" si="1"/>
        <v>2024-12</v>
      </c>
      <c r="L9" s="4" t="str">
        <f t="shared" si="2"/>
        <v>월</v>
      </c>
      <c r="M9" s="2" t="str">
        <f>VLOOKUP($C9, 고객정보!$A$2:$E$151, 2, FALSE)</f>
        <v>수원</v>
      </c>
      <c r="N9" t="str">
        <f>VLOOKUP(C9,고객정보!$A$2:$D$151,4,FALSE)</f>
        <v>L5</v>
      </c>
      <c r="O9" t="str">
        <f>VLOOKUP($C9, 고객정보!$A$2:$E$151, 5, FALSE)</f>
        <v>20대</v>
      </c>
      <c r="P9" t="str">
        <f>VLOOKUP(D9,상품정보!$A$2:$E$61,2,FALSE)</f>
        <v>귀걸이</v>
      </c>
      <c r="Q9" t="str">
        <f>VLOOKUP(D9,상품정보!$A$2:$D$151,3,FALSE)</f>
        <v>액세서리</v>
      </c>
      <c r="R9" t="str">
        <f>VLOOKUP(D9,상품정보!$A$2:$D$151,4,FALSE)</f>
        <v>브랜드B</v>
      </c>
    </row>
    <row r="10" spans="1:18" x14ac:dyDescent="0.45">
      <c r="A10" t="s">
        <v>16</v>
      </c>
      <c r="B10" t="s">
        <v>409</v>
      </c>
      <c r="C10" t="s">
        <v>2409</v>
      </c>
      <c r="D10" t="s">
        <v>2558</v>
      </c>
      <c r="E10">
        <v>3</v>
      </c>
      <c r="F10">
        <v>63700</v>
      </c>
      <c r="G10">
        <v>0</v>
      </c>
      <c r="H10">
        <v>0</v>
      </c>
      <c r="I10" t="s">
        <v>2652</v>
      </c>
      <c r="J10" s="4">
        <f t="shared" si="0"/>
        <v>191100</v>
      </c>
      <c r="K10" s="4" t="str">
        <f t="shared" si="1"/>
        <v>2024-03</v>
      </c>
      <c r="L10" s="4" t="str">
        <f t="shared" si="2"/>
        <v>수</v>
      </c>
      <c r="M10" s="2" t="str">
        <f>VLOOKUP($C10, 고객정보!$A$2:$E$151, 2, FALSE)</f>
        <v>서울</v>
      </c>
      <c r="N10" t="str">
        <f>VLOOKUP(C10,고객정보!$A$2:$D$151,4,FALSE)</f>
        <v>L3</v>
      </c>
      <c r="O10" t="str">
        <f>VLOOKUP($C10, 고객정보!$A$2:$E$151, 5, FALSE)</f>
        <v>50대 이상</v>
      </c>
      <c r="P10" t="str">
        <f>VLOOKUP(D10,상품정보!$A$2:$E$61,2,FALSE)</f>
        <v>셔츠</v>
      </c>
      <c r="Q10" t="str">
        <f>VLOOKUP(D10,상품정보!$A$2:$D$151,3,FALSE)</f>
        <v>의류</v>
      </c>
      <c r="R10" t="str">
        <f>VLOOKUP(D10,상품정보!$A$2:$D$151,4,FALSE)</f>
        <v>브랜드A</v>
      </c>
    </row>
    <row r="11" spans="1:18" x14ac:dyDescent="0.45">
      <c r="A11" t="s">
        <v>17</v>
      </c>
      <c r="B11" t="s">
        <v>410</v>
      </c>
      <c r="C11" t="s">
        <v>2410</v>
      </c>
      <c r="D11" t="s">
        <v>2557</v>
      </c>
      <c r="E11">
        <v>3</v>
      </c>
      <c r="F11">
        <v>77700</v>
      </c>
      <c r="G11">
        <v>0</v>
      </c>
      <c r="H11">
        <v>5400</v>
      </c>
      <c r="I11" t="s">
        <v>2611</v>
      </c>
      <c r="J11" s="4">
        <f t="shared" si="0"/>
        <v>227700</v>
      </c>
      <c r="K11" s="4" t="str">
        <f t="shared" si="1"/>
        <v>2024-02</v>
      </c>
      <c r="L11" s="4" t="str">
        <f t="shared" si="2"/>
        <v>목</v>
      </c>
      <c r="M11" s="2" t="str">
        <f>VLOOKUP($C11, 고객정보!$A$2:$E$151, 2, FALSE)</f>
        <v>대전</v>
      </c>
      <c r="N11" t="str">
        <f>VLOOKUP(C11,고객정보!$A$2:$D$151,4,FALSE)</f>
        <v>L2</v>
      </c>
      <c r="O11" t="str">
        <f>VLOOKUP($C11, 고객정보!$A$2:$E$151, 5, FALSE)</f>
        <v>10대</v>
      </c>
      <c r="P11" t="str">
        <f>VLOOKUP(D11,상품정보!$A$2:$E$61,2,FALSE)</f>
        <v>귀걸이</v>
      </c>
      <c r="Q11" t="str">
        <f>VLOOKUP(D11,상품정보!$A$2:$D$151,3,FALSE)</f>
        <v>액세서리</v>
      </c>
      <c r="R11" t="str">
        <f>VLOOKUP(D11,상품정보!$A$2:$D$151,4,FALSE)</f>
        <v>브랜드B</v>
      </c>
    </row>
    <row r="12" spans="1:18" x14ac:dyDescent="0.45">
      <c r="A12" t="s">
        <v>18</v>
      </c>
      <c r="B12" t="s">
        <v>411</v>
      </c>
      <c r="C12" t="s">
        <v>2411</v>
      </c>
      <c r="D12" t="s">
        <v>2559</v>
      </c>
      <c r="E12">
        <v>1</v>
      </c>
      <c r="F12">
        <v>5400</v>
      </c>
      <c r="G12">
        <v>0</v>
      </c>
      <c r="H12">
        <v>0</v>
      </c>
      <c r="I12" t="s">
        <v>2652</v>
      </c>
      <c r="J12" s="4">
        <f t="shared" si="0"/>
        <v>5400</v>
      </c>
      <c r="K12" s="4" t="str">
        <f t="shared" si="1"/>
        <v>2024-07</v>
      </c>
      <c r="L12" s="4" t="str">
        <f t="shared" si="2"/>
        <v>화</v>
      </c>
      <c r="M12" s="2" t="str">
        <f>VLOOKUP($C12, 고객정보!$A$2:$E$151, 2, FALSE)</f>
        <v>부산</v>
      </c>
      <c r="N12" t="str">
        <f>VLOOKUP(C12,고객정보!$A$2:$D$151,4,FALSE)</f>
        <v>L5</v>
      </c>
      <c r="O12" t="str">
        <f>VLOOKUP($C12, 고객정보!$A$2:$E$151, 5, FALSE)</f>
        <v>30대</v>
      </c>
      <c r="P12" t="str">
        <f>VLOOKUP(D12,상품정보!$A$2:$E$61,2,FALSE)</f>
        <v>반지</v>
      </c>
      <c r="Q12" t="str">
        <f>VLOOKUP(D12,상품정보!$A$2:$D$151,3,FALSE)</f>
        <v>액세서리</v>
      </c>
      <c r="R12" t="str">
        <f>VLOOKUP(D12,상품정보!$A$2:$D$151,4,FALSE)</f>
        <v>브랜드D</v>
      </c>
    </row>
    <row r="13" spans="1:18" x14ac:dyDescent="0.45">
      <c r="A13" t="s">
        <v>19</v>
      </c>
      <c r="B13" t="s">
        <v>412</v>
      </c>
      <c r="C13" t="s">
        <v>2412</v>
      </c>
      <c r="D13" t="s">
        <v>2560</v>
      </c>
      <c r="E13">
        <v>3</v>
      </c>
      <c r="F13">
        <v>60600</v>
      </c>
      <c r="G13">
        <v>2000</v>
      </c>
      <c r="H13">
        <v>1300</v>
      </c>
      <c r="I13" t="s">
        <v>2612</v>
      </c>
      <c r="J13" s="4">
        <f t="shared" si="0"/>
        <v>182500</v>
      </c>
      <c r="K13" s="4" t="str">
        <f t="shared" si="1"/>
        <v>2024-01</v>
      </c>
      <c r="L13" s="4" t="str">
        <f t="shared" si="2"/>
        <v>화</v>
      </c>
      <c r="M13" s="2" t="str">
        <f>VLOOKUP($C13, 고객정보!$A$2:$E$151, 2, FALSE)</f>
        <v>대전</v>
      </c>
      <c r="N13" t="str">
        <f>VLOOKUP(C13,고객정보!$A$2:$D$151,4,FALSE)</f>
        <v>L4</v>
      </c>
      <c r="O13" t="str">
        <f>VLOOKUP($C13, 고객정보!$A$2:$E$151, 5, FALSE)</f>
        <v>30대</v>
      </c>
      <c r="P13" t="str">
        <f>VLOOKUP(D13,상품정보!$A$2:$E$61,2,FALSE)</f>
        <v>반팔 티셔츠</v>
      </c>
      <c r="Q13" t="str">
        <f>VLOOKUP(D13,상품정보!$A$2:$D$151,3,FALSE)</f>
        <v>의류</v>
      </c>
      <c r="R13" t="str">
        <f>VLOOKUP(D13,상품정보!$A$2:$D$151,4,FALSE)</f>
        <v>브랜드F</v>
      </c>
    </row>
    <row r="14" spans="1:18" x14ac:dyDescent="0.45">
      <c r="A14" t="s">
        <v>20</v>
      </c>
      <c r="B14" t="s">
        <v>413</v>
      </c>
      <c r="C14" t="s">
        <v>2413</v>
      </c>
      <c r="D14" t="s">
        <v>2561</v>
      </c>
      <c r="E14">
        <v>1</v>
      </c>
      <c r="F14">
        <v>63300</v>
      </c>
      <c r="G14">
        <v>1500</v>
      </c>
      <c r="H14">
        <v>900</v>
      </c>
      <c r="I14" t="s">
        <v>2612</v>
      </c>
      <c r="J14" s="4">
        <f t="shared" si="0"/>
        <v>63900</v>
      </c>
      <c r="K14" s="4" t="str">
        <f t="shared" si="1"/>
        <v>2024-07</v>
      </c>
      <c r="L14" s="4" t="str">
        <f t="shared" si="2"/>
        <v>금</v>
      </c>
      <c r="M14" s="2" t="str">
        <f>VLOOKUP($C14, 고객정보!$A$2:$E$151, 2, FALSE)</f>
        <v>서울</v>
      </c>
      <c r="N14" t="str">
        <f>VLOOKUP(C14,고객정보!$A$2:$D$151,4,FALSE)</f>
        <v>L5</v>
      </c>
      <c r="O14" t="str">
        <f>VLOOKUP($C14, 고객정보!$A$2:$E$151, 5, FALSE)</f>
        <v>30대</v>
      </c>
      <c r="P14" t="str">
        <f>VLOOKUP(D14,상품정보!$A$2:$E$61,2,FALSE)</f>
        <v>귀걸이</v>
      </c>
      <c r="Q14" t="str">
        <f>VLOOKUP(D14,상품정보!$A$2:$D$151,3,FALSE)</f>
        <v>액세서리</v>
      </c>
      <c r="R14" t="str">
        <f>VLOOKUP(D14,상품정보!$A$2:$D$151,4,FALSE)</f>
        <v>브랜드B</v>
      </c>
    </row>
    <row r="15" spans="1:18" x14ac:dyDescent="0.45">
      <c r="A15" t="s">
        <v>21</v>
      </c>
      <c r="B15" t="s">
        <v>414</v>
      </c>
      <c r="C15" t="s">
        <v>2414</v>
      </c>
      <c r="D15" t="s">
        <v>2562</v>
      </c>
      <c r="E15">
        <v>3</v>
      </c>
      <c r="F15">
        <v>15600</v>
      </c>
      <c r="G15">
        <v>0</v>
      </c>
      <c r="H15">
        <v>0</v>
      </c>
      <c r="I15" t="s">
        <v>2652</v>
      </c>
      <c r="J15" s="4">
        <f t="shared" si="0"/>
        <v>46800</v>
      </c>
      <c r="K15" s="4" t="str">
        <f t="shared" si="1"/>
        <v>2024-11</v>
      </c>
      <c r="L15" s="4" t="str">
        <f t="shared" si="2"/>
        <v>일</v>
      </c>
      <c r="M15" s="2" t="str">
        <f>VLOOKUP($C15, 고객정보!$A$2:$E$151, 2, FALSE)</f>
        <v>대구</v>
      </c>
      <c r="N15" t="str">
        <f>VLOOKUP(C15,고객정보!$A$2:$D$151,4,FALSE)</f>
        <v>L3</v>
      </c>
      <c r="O15" t="str">
        <f>VLOOKUP($C15, 고객정보!$A$2:$E$151, 5, FALSE)</f>
        <v>30대</v>
      </c>
      <c r="P15" t="str">
        <f>VLOOKUP(D15,상품정보!$A$2:$E$61,2,FALSE)</f>
        <v>반팔 티셔츠</v>
      </c>
      <c r="Q15" t="str">
        <f>VLOOKUP(D15,상품정보!$A$2:$D$151,3,FALSE)</f>
        <v>의류</v>
      </c>
      <c r="R15" t="str">
        <f>VLOOKUP(D15,상품정보!$A$2:$D$151,4,FALSE)</f>
        <v>브랜드E</v>
      </c>
    </row>
    <row r="16" spans="1:18" x14ac:dyDescent="0.45">
      <c r="A16" t="s">
        <v>22</v>
      </c>
      <c r="B16" t="s">
        <v>415</v>
      </c>
      <c r="C16" t="s">
        <v>2415</v>
      </c>
      <c r="D16" t="s">
        <v>2563</v>
      </c>
      <c r="E16">
        <v>2</v>
      </c>
      <c r="F16">
        <v>6900</v>
      </c>
      <c r="G16">
        <v>500</v>
      </c>
      <c r="H16">
        <v>0</v>
      </c>
      <c r="I16" t="s">
        <v>2652</v>
      </c>
      <c r="J16" s="4">
        <f t="shared" si="0"/>
        <v>14300</v>
      </c>
      <c r="K16" s="4" t="str">
        <f t="shared" si="1"/>
        <v>2024-12</v>
      </c>
      <c r="L16" s="4" t="str">
        <f t="shared" si="2"/>
        <v>목</v>
      </c>
      <c r="M16" s="2" t="str">
        <f>VLOOKUP($C16, 고객정보!$A$2:$E$151, 2, FALSE)</f>
        <v>광주</v>
      </c>
      <c r="N16" t="str">
        <f>VLOOKUP(C16,고객정보!$A$2:$D$151,4,FALSE)</f>
        <v>L3</v>
      </c>
      <c r="O16" t="str">
        <f>VLOOKUP($C16, 고객정보!$A$2:$E$151, 5, FALSE)</f>
        <v>30대</v>
      </c>
      <c r="P16" t="str">
        <f>VLOOKUP(D16,상품정보!$A$2:$E$61,2,FALSE)</f>
        <v>귀걸이</v>
      </c>
      <c r="Q16" t="str">
        <f>VLOOKUP(D16,상품정보!$A$2:$D$151,3,FALSE)</f>
        <v>액세서리</v>
      </c>
      <c r="R16" t="str">
        <f>VLOOKUP(D16,상품정보!$A$2:$D$151,4,FALSE)</f>
        <v>브랜드D</v>
      </c>
    </row>
    <row r="17" spans="1:18" x14ac:dyDescent="0.45">
      <c r="A17" t="s">
        <v>23</v>
      </c>
      <c r="B17" t="s">
        <v>416</v>
      </c>
      <c r="C17" t="s">
        <v>2416</v>
      </c>
      <c r="D17" t="s">
        <v>2564</v>
      </c>
      <c r="E17">
        <v>2</v>
      </c>
      <c r="F17">
        <v>66600</v>
      </c>
      <c r="G17">
        <v>0</v>
      </c>
      <c r="H17">
        <v>0</v>
      </c>
      <c r="I17" t="s">
        <v>2652</v>
      </c>
      <c r="J17" s="4">
        <f t="shared" si="0"/>
        <v>133200</v>
      </c>
      <c r="K17" s="4" t="str">
        <f t="shared" si="1"/>
        <v>2025-01</v>
      </c>
      <c r="L17" s="4" t="str">
        <f t="shared" si="2"/>
        <v>목</v>
      </c>
      <c r="M17" s="2" t="str">
        <f>VLOOKUP($C17, 고객정보!$A$2:$E$151, 2, FALSE)</f>
        <v>대구</v>
      </c>
      <c r="N17" t="str">
        <f>VLOOKUP(C17,고객정보!$A$2:$D$151,4,FALSE)</f>
        <v>L3</v>
      </c>
      <c r="O17" t="str">
        <f>VLOOKUP($C17, 고객정보!$A$2:$E$151, 5, FALSE)</f>
        <v>40대</v>
      </c>
      <c r="P17" t="str">
        <f>VLOOKUP(D17,상품정보!$A$2:$E$61,2,FALSE)</f>
        <v>청바지</v>
      </c>
      <c r="Q17" t="str">
        <f>VLOOKUP(D17,상품정보!$A$2:$D$151,3,FALSE)</f>
        <v>의류</v>
      </c>
      <c r="R17" t="str">
        <f>VLOOKUP(D17,상품정보!$A$2:$D$151,4,FALSE)</f>
        <v>브랜드B</v>
      </c>
    </row>
    <row r="18" spans="1:18" x14ac:dyDescent="0.45">
      <c r="A18" t="s">
        <v>24</v>
      </c>
      <c r="B18" t="s">
        <v>417</v>
      </c>
      <c r="C18" t="s">
        <v>2417</v>
      </c>
      <c r="D18" t="s">
        <v>2553</v>
      </c>
      <c r="E18">
        <v>2</v>
      </c>
      <c r="F18">
        <v>63400</v>
      </c>
      <c r="G18">
        <v>500</v>
      </c>
      <c r="H18">
        <v>0</v>
      </c>
      <c r="I18" t="s">
        <v>2652</v>
      </c>
      <c r="J18" s="4">
        <f t="shared" si="0"/>
        <v>127300</v>
      </c>
      <c r="K18" s="4" t="str">
        <f t="shared" si="1"/>
        <v>2024-02</v>
      </c>
      <c r="L18" s="4" t="str">
        <f t="shared" si="2"/>
        <v>수</v>
      </c>
      <c r="M18" s="2" t="str">
        <f>VLOOKUP($C18, 고객정보!$A$2:$E$151, 2, FALSE)</f>
        <v>인천</v>
      </c>
      <c r="N18" t="str">
        <f>VLOOKUP(C18,고객정보!$A$2:$D$151,4,FALSE)</f>
        <v>L1</v>
      </c>
      <c r="O18" t="str">
        <f>VLOOKUP($C18, 고객정보!$A$2:$E$151, 5, FALSE)</f>
        <v>30대</v>
      </c>
      <c r="P18" t="str">
        <f>VLOOKUP(D18,상품정보!$A$2:$E$61,2,FALSE)</f>
        <v>귀걸이</v>
      </c>
      <c r="Q18" t="str">
        <f>VLOOKUP(D18,상품정보!$A$2:$D$151,3,FALSE)</f>
        <v>액세서리</v>
      </c>
      <c r="R18" t="str">
        <f>VLOOKUP(D18,상품정보!$A$2:$D$151,4,FALSE)</f>
        <v>브랜드F</v>
      </c>
    </row>
    <row r="19" spans="1:18" x14ac:dyDescent="0.45">
      <c r="A19" t="s">
        <v>25</v>
      </c>
      <c r="B19" t="s">
        <v>418</v>
      </c>
      <c r="C19" t="s">
        <v>2418</v>
      </c>
      <c r="D19" t="s">
        <v>2565</v>
      </c>
      <c r="E19">
        <v>4</v>
      </c>
      <c r="F19">
        <v>50000</v>
      </c>
      <c r="G19">
        <v>0</v>
      </c>
      <c r="H19">
        <v>0</v>
      </c>
      <c r="I19" t="s">
        <v>2652</v>
      </c>
      <c r="J19" s="4">
        <f t="shared" si="0"/>
        <v>200000</v>
      </c>
      <c r="K19" s="4" t="str">
        <f t="shared" si="1"/>
        <v>2024-11</v>
      </c>
      <c r="L19" s="4" t="str">
        <f t="shared" si="2"/>
        <v>목</v>
      </c>
      <c r="M19" s="2" t="str">
        <f>VLOOKUP($C19, 고객정보!$A$2:$E$151, 2, FALSE)</f>
        <v>부산</v>
      </c>
      <c r="N19" t="str">
        <f>VLOOKUP(C19,고객정보!$A$2:$D$151,4,FALSE)</f>
        <v>L5</v>
      </c>
      <c r="O19" t="str">
        <f>VLOOKUP($C19, 고객정보!$A$2:$E$151, 5, FALSE)</f>
        <v>30대</v>
      </c>
      <c r="P19" t="str">
        <f>VLOOKUP(D19,상품정보!$A$2:$E$61,2,FALSE)</f>
        <v>핸드폰케이스</v>
      </c>
      <c r="Q19" t="str">
        <f>VLOOKUP(D19,상품정보!$A$2:$D$151,3,FALSE)</f>
        <v>액세서리</v>
      </c>
      <c r="R19" t="str">
        <f>VLOOKUP(D19,상품정보!$A$2:$D$151,4,FALSE)</f>
        <v>브랜드B</v>
      </c>
    </row>
    <row r="20" spans="1:18" x14ac:dyDescent="0.45">
      <c r="A20" t="s">
        <v>26</v>
      </c>
      <c r="B20" t="s">
        <v>419</v>
      </c>
      <c r="C20" t="s">
        <v>2419</v>
      </c>
      <c r="D20" t="s">
        <v>2566</v>
      </c>
      <c r="E20">
        <v>3</v>
      </c>
      <c r="F20">
        <v>60600</v>
      </c>
      <c r="G20">
        <v>1500</v>
      </c>
      <c r="H20">
        <v>0</v>
      </c>
      <c r="I20" t="s">
        <v>2652</v>
      </c>
      <c r="J20" s="4">
        <f t="shared" si="0"/>
        <v>183300</v>
      </c>
      <c r="K20" s="4" t="str">
        <f t="shared" si="1"/>
        <v>2024-06</v>
      </c>
      <c r="L20" s="4" t="str">
        <f t="shared" si="2"/>
        <v>일</v>
      </c>
      <c r="M20" s="2" t="str">
        <f>VLOOKUP($C20, 고객정보!$A$2:$E$151, 2, FALSE)</f>
        <v>대구</v>
      </c>
      <c r="N20" t="str">
        <f>VLOOKUP(C20,고객정보!$A$2:$D$151,4,FALSE)</f>
        <v>L2</v>
      </c>
      <c r="O20" t="str">
        <f>VLOOKUP($C20, 고객정보!$A$2:$E$151, 5, FALSE)</f>
        <v>20대</v>
      </c>
      <c r="P20" t="str">
        <f>VLOOKUP(D20,상품정보!$A$2:$E$61,2,FALSE)</f>
        <v>반팔 티셔츠</v>
      </c>
      <c r="Q20" t="str">
        <f>VLOOKUP(D20,상품정보!$A$2:$D$151,3,FALSE)</f>
        <v>의류</v>
      </c>
      <c r="R20" t="str">
        <f>VLOOKUP(D20,상품정보!$A$2:$D$151,4,FALSE)</f>
        <v>브랜드A</v>
      </c>
    </row>
    <row r="21" spans="1:18" x14ac:dyDescent="0.45">
      <c r="A21" t="s">
        <v>27</v>
      </c>
      <c r="B21" t="s">
        <v>420</v>
      </c>
      <c r="C21" t="s">
        <v>2420</v>
      </c>
      <c r="D21" t="s">
        <v>2567</v>
      </c>
      <c r="E21">
        <v>3</v>
      </c>
      <c r="F21">
        <v>58600</v>
      </c>
      <c r="G21">
        <v>1000</v>
      </c>
      <c r="H21">
        <v>0</v>
      </c>
      <c r="I21" t="s">
        <v>2652</v>
      </c>
      <c r="J21" s="4">
        <f t="shared" si="0"/>
        <v>176800</v>
      </c>
      <c r="K21" s="4" t="str">
        <f t="shared" si="1"/>
        <v>2024-12</v>
      </c>
      <c r="L21" s="4" t="str">
        <f t="shared" si="2"/>
        <v>수</v>
      </c>
      <c r="M21" s="2" t="str">
        <f>VLOOKUP($C21, 고객정보!$A$2:$E$151, 2, FALSE)</f>
        <v>대전</v>
      </c>
      <c r="N21" t="str">
        <f>VLOOKUP(C21,고객정보!$A$2:$D$151,4,FALSE)</f>
        <v>L3</v>
      </c>
      <c r="O21" t="str">
        <f>VLOOKUP($C21, 고객정보!$A$2:$E$151, 5, FALSE)</f>
        <v>30대</v>
      </c>
      <c r="P21" t="str">
        <f>VLOOKUP(D21,상품정보!$A$2:$E$61,2,FALSE)</f>
        <v>귀걸이</v>
      </c>
      <c r="Q21" t="str">
        <f>VLOOKUP(D21,상품정보!$A$2:$D$151,3,FALSE)</f>
        <v>액세서리</v>
      </c>
      <c r="R21" t="str">
        <f>VLOOKUP(D21,상품정보!$A$2:$D$151,4,FALSE)</f>
        <v>브랜드B</v>
      </c>
    </row>
    <row r="22" spans="1:18" x14ac:dyDescent="0.45">
      <c r="A22" t="s">
        <v>28</v>
      </c>
      <c r="B22" t="s">
        <v>421</v>
      </c>
      <c r="C22" t="s">
        <v>2421</v>
      </c>
      <c r="D22" t="s">
        <v>2560</v>
      </c>
      <c r="E22">
        <v>2</v>
      </c>
      <c r="F22">
        <v>60600</v>
      </c>
      <c r="G22">
        <v>1500</v>
      </c>
      <c r="H22">
        <v>0</v>
      </c>
      <c r="I22" t="s">
        <v>2652</v>
      </c>
      <c r="J22" s="4">
        <f t="shared" si="0"/>
        <v>122700</v>
      </c>
      <c r="K22" s="4" t="str">
        <f t="shared" si="1"/>
        <v>2024-09</v>
      </c>
      <c r="L22" s="4" t="str">
        <f t="shared" si="2"/>
        <v>월</v>
      </c>
      <c r="M22" s="2" t="str">
        <f>VLOOKUP($C22, 고객정보!$A$2:$E$151, 2, FALSE)</f>
        <v>부산</v>
      </c>
      <c r="N22" t="str">
        <f>VLOOKUP(C22,고객정보!$A$2:$D$151,4,FALSE)</f>
        <v>L3</v>
      </c>
      <c r="O22" t="str">
        <f>VLOOKUP($C22, 고객정보!$A$2:$E$151, 5, FALSE)</f>
        <v>30대</v>
      </c>
      <c r="P22" t="str">
        <f>VLOOKUP(D22,상품정보!$A$2:$E$61,2,FALSE)</f>
        <v>반팔 티셔츠</v>
      </c>
      <c r="Q22" t="str">
        <f>VLOOKUP(D22,상품정보!$A$2:$D$151,3,FALSE)</f>
        <v>의류</v>
      </c>
      <c r="R22" t="str">
        <f>VLOOKUP(D22,상품정보!$A$2:$D$151,4,FALSE)</f>
        <v>브랜드F</v>
      </c>
    </row>
    <row r="23" spans="1:18" x14ac:dyDescent="0.45">
      <c r="A23" t="s">
        <v>29</v>
      </c>
      <c r="B23" t="s">
        <v>422</v>
      </c>
      <c r="C23" t="s">
        <v>2422</v>
      </c>
      <c r="D23" t="s">
        <v>2566</v>
      </c>
      <c r="E23">
        <v>4</v>
      </c>
      <c r="F23">
        <v>60600</v>
      </c>
      <c r="G23">
        <v>0</v>
      </c>
      <c r="H23">
        <v>0</v>
      </c>
      <c r="I23" t="s">
        <v>2652</v>
      </c>
      <c r="J23" s="4">
        <f t="shared" si="0"/>
        <v>242400</v>
      </c>
      <c r="K23" s="4" t="str">
        <f t="shared" si="1"/>
        <v>2024-07</v>
      </c>
      <c r="L23" s="4" t="str">
        <f t="shared" si="2"/>
        <v>토</v>
      </c>
      <c r="M23" s="2" t="str">
        <f>VLOOKUP($C23, 고객정보!$A$2:$E$151, 2, FALSE)</f>
        <v>광주</v>
      </c>
      <c r="N23" t="str">
        <f>VLOOKUP(C23,고객정보!$A$2:$D$151,4,FALSE)</f>
        <v>L5</v>
      </c>
      <c r="O23" t="str">
        <f>VLOOKUP($C23, 고객정보!$A$2:$E$151, 5, FALSE)</f>
        <v>30대</v>
      </c>
      <c r="P23" t="str">
        <f>VLOOKUP(D23,상품정보!$A$2:$E$61,2,FALSE)</f>
        <v>반팔 티셔츠</v>
      </c>
      <c r="Q23" t="str">
        <f>VLOOKUP(D23,상품정보!$A$2:$D$151,3,FALSE)</f>
        <v>의류</v>
      </c>
      <c r="R23" t="str">
        <f>VLOOKUP(D23,상품정보!$A$2:$D$151,4,FALSE)</f>
        <v>브랜드A</v>
      </c>
    </row>
    <row r="24" spans="1:18" x14ac:dyDescent="0.45">
      <c r="A24" t="s">
        <v>30</v>
      </c>
      <c r="B24" t="s">
        <v>423</v>
      </c>
      <c r="C24" t="s">
        <v>2423</v>
      </c>
      <c r="D24" t="s">
        <v>2568</v>
      </c>
      <c r="E24">
        <v>5</v>
      </c>
      <c r="F24">
        <v>16800</v>
      </c>
      <c r="G24">
        <v>500</v>
      </c>
      <c r="H24">
        <v>0</v>
      </c>
      <c r="I24" t="s">
        <v>2652</v>
      </c>
      <c r="J24" s="4">
        <f t="shared" si="0"/>
        <v>84500</v>
      </c>
      <c r="K24" s="4" t="str">
        <f t="shared" si="1"/>
        <v>2024-04</v>
      </c>
      <c r="L24" s="4" t="str">
        <f t="shared" si="2"/>
        <v>월</v>
      </c>
      <c r="M24" s="2" t="str">
        <f>VLOOKUP($C24, 고객정보!$A$2:$E$151, 2, FALSE)</f>
        <v>수원</v>
      </c>
      <c r="N24" t="str">
        <f>VLOOKUP(C24,고객정보!$A$2:$D$151,4,FALSE)</f>
        <v>L5</v>
      </c>
      <c r="O24" t="str">
        <f>VLOOKUP($C24, 고객정보!$A$2:$E$151, 5, FALSE)</f>
        <v>30대</v>
      </c>
      <c r="P24" t="str">
        <f>VLOOKUP(D24,상품정보!$A$2:$E$61,2,FALSE)</f>
        <v>청바지</v>
      </c>
      <c r="Q24" t="str">
        <f>VLOOKUP(D24,상품정보!$A$2:$D$151,3,FALSE)</f>
        <v>의류</v>
      </c>
      <c r="R24" t="str">
        <f>VLOOKUP(D24,상품정보!$A$2:$D$151,4,FALSE)</f>
        <v>브랜드C</v>
      </c>
    </row>
    <row r="25" spans="1:18" x14ac:dyDescent="0.45">
      <c r="A25" t="s">
        <v>31</v>
      </c>
      <c r="B25" t="s">
        <v>424</v>
      </c>
      <c r="C25" t="s">
        <v>2424</v>
      </c>
      <c r="D25" t="s">
        <v>2569</v>
      </c>
      <c r="E25">
        <v>1</v>
      </c>
      <c r="F25">
        <v>11400</v>
      </c>
      <c r="G25">
        <v>1000</v>
      </c>
      <c r="H25">
        <v>0</v>
      </c>
      <c r="I25" t="s">
        <v>2652</v>
      </c>
      <c r="J25" s="4">
        <f t="shared" si="0"/>
        <v>12400</v>
      </c>
      <c r="K25" s="4" t="str">
        <f t="shared" si="1"/>
        <v>2024-04</v>
      </c>
      <c r="L25" s="4" t="str">
        <f t="shared" si="2"/>
        <v>토</v>
      </c>
      <c r="M25" s="2" t="str">
        <f>VLOOKUP($C25, 고객정보!$A$2:$E$151, 2, FALSE)</f>
        <v>서울</v>
      </c>
      <c r="N25" t="str">
        <f>VLOOKUP(C25,고객정보!$A$2:$D$151,4,FALSE)</f>
        <v>L1</v>
      </c>
      <c r="O25" t="str">
        <f>VLOOKUP($C25, 고객정보!$A$2:$E$151, 5, FALSE)</f>
        <v>30대</v>
      </c>
      <c r="P25" t="str">
        <f>VLOOKUP(D25,상품정보!$A$2:$E$61,2,FALSE)</f>
        <v>귀걸이</v>
      </c>
      <c r="Q25" t="str">
        <f>VLOOKUP(D25,상품정보!$A$2:$D$151,3,FALSE)</f>
        <v>액세서리</v>
      </c>
      <c r="R25" t="str">
        <f>VLOOKUP(D25,상품정보!$A$2:$D$151,4,FALSE)</f>
        <v>브랜드E</v>
      </c>
    </row>
    <row r="26" spans="1:18" x14ac:dyDescent="0.45">
      <c r="A26" t="s">
        <v>32</v>
      </c>
      <c r="B26" t="s">
        <v>425</v>
      </c>
      <c r="C26" t="s">
        <v>2404</v>
      </c>
      <c r="D26" t="s">
        <v>2570</v>
      </c>
      <c r="E26">
        <v>3</v>
      </c>
      <c r="F26">
        <v>73900</v>
      </c>
      <c r="G26">
        <v>0</v>
      </c>
      <c r="H26">
        <v>0</v>
      </c>
      <c r="I26" t="s">
        <v>2652</v>
      </c>
      <c r="J26" s="4">
        <f t="shared" si="0"/>
        <v>221700</v>
      </c>
      <c r="K26" s="4" t="str">
        <f t="shared" si="1"/>
        <v>2024-07</v>
      </c>
      <c r="L26" s="4" t="str">
        <f t="shared" si="2"/>
        <v>수</v>
      </c>
      <c r="M26" s="2" t="str">
        <f>VLOOKUP($C26, 고객정보!$A$2:$E$151, 2, FALSE)</f>
        <v>대구</v>
      </c>
      <c r="N26" t="str">
        <f>VLOOKUP(C26,고객정보!$A$2:$D$151,4,FALSE)</f>
        <v>L1</v>
      </c>
      <c r="O26" t="str">
        <f>VLOOKUP($C26, 고객정보!$A$2:$E$151, 5, FALSE)</f>
        <v>30대</v>
      </c>
      <c r="P26" t="str">
        <f>VLOOKUP(D26,상품정보!$A$2:$E$61,2,FALSE)</f>
        <v>반지</v>
      </c>
      <c r="Q26" t="str">
        <f>VLOOKUP(D26,상품정보!$A$2:$D$151,3,FALSE)</f>
        <v>액세서리</v>
      </c>
      <c r="R26" t="str">
        <f>VLOOKUP(D26,상품정보!$A$2:$D$151,4,FALSE)</f>
        <v>브랜드B</v>
      </c>
    </row>
    <row r="27" spans="1:18" x14ac:dyDescent="0.45">
      <c r="A27" t="s">
        <v>33</v>
      </c>
      <c r="B27" t="s">
        <v>426</v>
      </c>
      <c r="C27" t="s">
        <v>2425</v>
      </c>
      <c r="D27" t="s">
        <v>2571</v>
      </c>
      <c r="E27">
        <v>2</v>
      </c>
      <c r="F27">
        <v>55600</v>
      </c>
      <c r="G27">
        <v>0</v>
      </c>
      <c r="H27">
        <v>1500</v>
      </c>
      <c r="I27" t="s">
        <v>2613</v>
      </c>
      <c r="J27" s="4">
        <f t="shared" si="0"/>
        <v>109700</v>
      </c>
      <c r="K27" s="4" t="str">
        <f t="shared" si="1"/>
        <v>2024-10</v>
      </c>
      <c r="L27" s="4" t="str">
        <f t="shared" si="2"/>
        <v>목</v>
      </c>
      <c r="M27" s="2" t="str">
        <f>VLOOKUP($C27, 고객정보!$A$2:$E$151, 2, FALSE)</f>
        <v>서울</v>
      </c>
      <c r="N27" t="str">
        <f>VLOOKUP(C27,고객정보!$A$2:$D$151,4,FALSE)</f>
        <v>L4</v>
      </c>
      <c r="O27" t="str">
        <f>VLOOKUP($C27, 고객정보!$A$2:$E$151, 5, FALSE)</f>
        <v>30대</v>
      </c>
      <c r="P27" t="str">
        <f>VLOOKUP(D27,상품정보!$A$2:$E$61,2,FALSE)</f>
        <v>자켓</v>
      </c>
      <c r="Q27" t="str">
        <f>VLOOKUP(D27,상품정보!$A$2:$D$151,3,FALSE)</f>
        <v>의류</v>
      </c>
      <c r="R27" t="str">
        <f>VLOOKUP(D27,상품정보!$A$2:$D$151,4,FALSE)</f>
        <v>브랜드B</v>
      </c>
    </row>
    <row r="28" spans="1:18" x14ac:dyDescent="0.45">
      <c r="A28" t="s">
        <v>34</v>
      </c>
      <c r="B28" t="s">
        <v>427</v>
      </c>
      <c r="C28" t="s">
        <v>2426</v>
      </c>
      <c r="D28" t="s">
        <v>2572</v>
      </c>
      <c r="E28">
        <v>4</v>
      </c>
      <c r="F28">
        <v>61700</v>
      </c>
      <c r="G28">
        <v>1500</v>
      </c>
      <c r="H28">
        <v>0</v>
      </c>
      <c r="I28" t="s">
        <v>2652</v>
      </c>
      <c r="J28" s="4">
        <f t="shared" si="0"/>
        <v>248300</v>
      </c>
      <c r="K28" s="4" t="str">
        <f t="shared" si="1"/>
        <v>2024-07</v>
      </c>
      <c r="L28" s="4" t="str">
        <f t="shared" si="2"/>
        <v>일</v>
      </c>
      <c r="M28" s="2" t="str">
        <f>VLOOKUP($C28, 고객정보!$A$2:$E$151, 2, FALSE)</f>
        <v>대전</v>
      </c>
      <c r="N28" t="str">
        <f>VLOOKUP(C28,고객정보!$A$2:$D$151,4,FALSE)</f>
        <v>L5</v>
      </c>
      <c r="O28" t="str">
        <f>VLOOKUP($C28, 고객정보!$A$2:$E$151, 5, FALSE)</f>
        <v>30대</v>
      </c>
      <c r="P28" t="str">
        <f>VLOOKUP(D28,상품정보!$A$2:$E$61,2,FALSE)</f>
        <v>반팔 티셔츠</v>
      </c>
      <c r="Q28" t="str">
        <f>VLOOKUP(D28,상품정보!$A$2:$D$151,3,FALSE)</f>
        <v>의류</v>
      </c>
      <c r="R28" t="str">
        <f>VLOOKUP(D28,상품정보!$A$2:$D$151,4,FALSE)</f>
        <v>브랜드F</v>
      </c>
    </row>
    <row r="29" spans="1:18" x14ac:dyDescent="0.45">
      <c r="A29" t="s">
        <v>35</v>
      </c>
      <c r="B29" t="s">
        <v>428</v>
      </c>
      <c r="C29" t="s">
        <v>2413</v>
      </c>
      <c r="D29" t="s">
        <v>2573</v>
      </c>
      <c r="E29">
        <v>3</v>
      </c>
      <c r="F29">
        <v>6400</v>
      </c>
      <c r="G29">
        <v>500</v>
      </c>
      <c r="H29">
        <v>0</v>
      </c>
      <c r="I29" t="s">
        <v>2652</v>
      </c>
      <c r="J29" s="4">
        <f t="shared" si="0"/>
        <v>19700</v>
      </c>
      <c r="K29" s="4" t="str">
        <f t="shared" si="1"/>
        <v>2024-03</v>
      </c>
      <c r="L29" s="4" t="str">
        <f t="shared" si="2"/>
        <v>화</v>
      </c>
      <c r="M29" s="2" t="str">
        <f>VLOOKUP($C29, 고객정보!$A$2:$E$151, 2, FALSE)</f>
        <v>서울</v>
      </c>
      <c r="N29" t="str">
        <f>VLOOKUP(C29,고객정보!$A$2:$D$151,4,FALSE)</f>
        <v>L5</v>
      </c>
      <c r="O29" t="str">
        <f>VLOOKUP($C29, 고객정보!$A$2:$E$151, 5, FALSE)</f>
        <v>30대</v>
      </c>
      <c r="P29" t="str">
        <f>VLOOKUP(D29,상품정보!$A$2:$E$61,2,FALSE)</f>
        <v>귀걸이</v>
      </c>
      <c r="Q29" t="str">
        <f>VLOOKUP(D29,상품정보!$A$2:$D$151,3,FALSE)</f>
        <v>액세서리</v>
      </c>
      <c r="R29" t="str">
        <f>VLOOKUP(D29,상품정보!$A$2:$D$151,4,FALSE)</f>
        <v>브랜드E</v>
      </c>
    </row>
    <row r="30" spans="1:18" x14ac:dyDescent="0.45">
      <c r="A30" t="s">
        <v>36</v>
      </c>
      <c r="B30" t="s">
        <v>429</v>
      </c>
      <c r="C30" t="s">
        <v>2427</v>
      </c>
      <c r="D30" t="s">
        <v>2574</v>
      </c>
      <c r="E30">
        <v>5</v>
      </c>
      <c r="F30">
        <v>8600</v>
      </c>
      <c r="G30">
        <v>0</v>
      </c>
      <c r="H30">
        <v>0</v>
      </c>
      <c r="I30" t="s">
        <v>2652</v>
      </c>
      <c r="J30" s="4">
        <f t="shared" si="0"/>
        <v>43000</v>
      </c>
      <c r="K30" s="4" t="str">
        <f t="shared" si="1"/>
        <v>2024-10</v>
      </c>
      <c r="L30" s="4" t="str">
        <f t="shared" si="2"/>
        <v>수</v>
      </c>
      <c r="M30" s="2" t="str">
        <f>VLOOKUP($C30, 고객정보!$A$2:$E$151, 2, FALSE)</f>
        <v>부산</v>
      </c>
      <c r="N30" t="str">
        <f>VLOOKUP(C30,고객정보!$A$2:$D$151,4,FALSE)</f>
        <v>L4</v>
      </c>
      <c r="O30" t="str">
        <f>VLOOKUP($C30, 고객정보!$A$2:$E$151, 5, FALSE)</f>
        <v>20대</v>
      </c>
      <c r="P30" t="str">
        <f>VLOOKUP(D30,상품정보!$A$2:$E$61,2,FALSE)</f>
        <v>셔츠</v>
      </c>
      <c r="Q30" t="str">
        <f>VLOOKUP(D30,상품정보!$A$2:$D$151,3,FALSE)</f>
        <v>의류</v>
      </c>
      <c r="R30" t="str">
        <f>VLOOKUP(D30,상품정보!$A$2:$D$151,4,FALSE)</f>
        <v>브랜드D</v>
      </c>
    </row>
    <row r="31" spans="1:18" x14ac:dyDescent="0.45">
      <c r="A31" t="s">
        <v>37</v>
      </c>
      <c r="B31" t="s">
        <v>430</v>
      </c>
      <c r="C31" t="s">
        <v>2428</v>
      </c>
      <c r="D31" t="s">
        <v>2574</v>
      </c>
      <c r="E31">
        <v>5</v>
      </c>
      <c r="F31">
        <v>8600</v>
      </c>
      <c r="G31">
        <v>0</v>
      </c>
      <c r="H31">
        <v>0</v>
      </c>
      <c r="I31" t="s">
        <v>2652</v>
      </c>
      <c r="J31" s="4">
        <f t="shared" si="0"/>
        <v>43000</v>
      </c>
      <c r="K31" s="4" t="str">
        <f t="shared" si="1"/>
        <v>2024-08</v>
      </c>
      <c r="L31" s="4" t="str">
        <f t="shared" si="2"/>
        <v>수</v>
      </c>
      <c r="M31" s="2" t="str">
        <f>VLOOKUP($C31, 고객정보!$A$2:$E$151, 2, FALSE)</f>
        <v>광주</v>
      </c>
      <c r="N31" t="str">
        <f>VLOOKUP(C31,고객정보!$A$2:$D$151,4,FALSE)</f>
        <v>L4</v>
      </c>
      <c r="O31" t="str">
        <f>VLOOKUP($C31, 고객정보!$A$2:$E$151, 5, FALSE)</f>
        <v>10대</v>
      </c>
      <c r="P31" t="str">
        <f>VLOOKUP(D31,상품정보!$A$2:$E$61,2,FALSE)</f>
        <v>셔츠</v>
      </c>
      <c r="Q31" t="str">
        <f>VLOOKUP(D31,상품정보!$A$2:$D$151,3,FALSE)</f>
        <v>의류</v>
      </c>
      <c r="R31" t="str">
        <f>VLOOKUP(D31,상품정보!$A$2:$D$151,4,FALSE)</f>
        <v>브랜드D</v>
      </c>
    </row>
    <row r="32" spans="1:18" x14ac:dyDescent="0.45">
      <c r="A32" t="s">
        <v>30</v>
      </c>
      <c r="B32" t="s">
        <v>431</v>
      </c>
      <c r="C32" t="s">
        <v>2429</v>
      </c>
      <c r="D32" t="s">
        <v>2575</v>
      </c>
      <c r="E32">
        <v>3</v>
      </c>
      <c r="F32">
        <v>7200</v>
      </c>
      <c r="G32">
        <v>1000</v>
      </c>
      <c r="H32">
        <v>0</v>
      </c>
      <c r="I32" t="s">
        <v>2652</v>
      </c>
      <c r="J32" s="4">
        <f t="shared" si="0"/>
        <v>22600</v>
      </c>
      <c r="K32" s="4" t="str">
        <f t="shared" si="1"/>
        <v>2024-04</v>
      </c>
      <c r="L32" s="4" t="str">
        <f t="shared" si="2"/>
        <v>월</v>
      </c>
      <c r="M32" s="2" t="str">
        <f>VLOOKUP($C32, 고객정보!$A$2:$E$151, 2, FALSE)</f>
        <v>서울</v>
      </c>
      <c r="N32" t="str">
        <f>VLOOKUP(C32,고객정보!$A$2:$D$151,4,FALSE)</f>
        <v>L1</v>
      </c>
      <c r="O32" t="str">
        <f>VLOOKUP($C32, 고객정보!$A$2:$E$151, 5, FALSE)</f>
        <v>10대</v>
      </c>
      <c r="P32" t="str">
        <f>VLOOKUP(D32,상품정보!$A$2:$E$61,2,FALSE)</f>
        <v>반지</v>
      </c>
      <c r="Q32" t="str">
        <f>VLOOKUP(D32,상품정보!$A$2:$D$151,3,FALSE)</f>
        <v>액세서리</v>
      </c>
      <c r="R32" t="str">
        <f>VLOOKUP(D32,상품정보!$A$2:$D$151,4,FALSE)</f>
        <v>브랜드E</v>
      </c>
    </row>
    <row r="33" spans="1:18" x14ac:dyDescent="0.45">
      <c r="A33" t="s">
        <v>38</v>
      </c>
      <c r="B33" t="s">
        <v>432</v>
      </c>
      <c r="C33" t="s">
        <v>2430</v>
      </c>
      <c r="D33" t="s">
        <v>2554</v>
      </c>
      <c r="E33">
        <v>4</v>
      </c>
      <c r="F33">
        <v>12100</v>
      </c>
      <c r="G33">
        <v>1000</v>
      </c>
      <c r="H33">
        <v>0</v>
      </c>
      <c r="I33" t="s">
        <v>2652</v>
      </c>
      <c r="J33" s="4">
        <f t="shared" si="0"/>
        <v>49400</v>
      </c>
      <c r="K33" s="4" t="str">
        <f t="shared" si="1"/>
        <v>2024-02</v>
      </c>
      <c r="L33" s="4" t="str">
        <f t="shared" si="2"/>
        <v>금</v>
      </c>
      <c r="M33" s="2" t="str">
        <f>VLOOKUP($C33, 고객정보!$A$2:$E$151, 2, FALSE)</f>
        <v>광주</v>
      </c>
      <c r="N33" t="str">
        <f>VLOOKUP(C33,고객정보!$A$2:$D$151,4,FALSE)</f>
        <v>L4</v>
      </c>
      <c r="O33" t="str">
        <f>VLOOKUP($C33, 고객정보!$A$2:$E$151, 5, FALSE)</f>
        <v>30대</v>
      </c>
      <c r="P33" t="str">
        <f>VLOOKUP(D33,상품정보!$A$2:$E$61,2,FALSE)</f>
        <v>귀걸이</v>
      </c>
      <c r="Q33" t="str">
        <f>VLOOKUP(D33,상품정보!$A$2:$D$151,3,FALSE)</f>
        <v>액세서리</v>
      </c>
      <c r="R33" t="str">
        <f>VLOOKUP(D33,상품정보!$A$2:$D$151,4,FALSE)</f>
        <v>브랜드D</v>
      </c>
    </row>
    <row r="34" spans="1:18" x14ac:dyDescent="0.45">
      <c r="A34" t="s">
        <v>39</v>
      </c>
      <c r="B34" t="s">
        <v>433</v>
      </c>
      <c r="C34" t="s">
        <v>2431</v>
      </c>
      <c r="D34" t="s">
        <v>2576</v>
      </c>
      <c r="E34">
        <v>1</v>
      </c>
      <c r="F34">
        <v>8800</v>
      </c>
      <c r="G34">
        <v>500</v>
      </c>
      <c r="H34">
        <v>0</v>
      </c>
      <c r="I34" t="s">
        <v>2652</v>
      </c>
      <c r="J34" s="4">
        <f t="shared" si="0"/>
        <v>9300</v>
      </c>
      <c r="K34" s="4" t="str">
        <f t="shared" si="1"/>
        <v>2024-03</v>
      </c>
      <c r="L34" s="4" t="str">
        <f t="shared" si="2"/>
        <v>화</v>
      </c>
      <c r="M34" s="2" t="str">
        <f>VLOOKUP($C34, 고객정보!$A$2:$E$151, 2, FALSE)</f>
        <v>광주</v>
      </c>
      <c r="N34" t="str">
        <f>VLOOKUP(C34,고객정보!$A$2:$D$151,4,FALSE)</f>
        <v>L3</v>
      </c>
      <c r="O34" t="str">
        <f>VLOOKUP($C34, 고객정보!$A$2:$E$151, 5, FALSE)</f>
        <v>40대</v>
      </c>
      <c r="P34" t="str">
        <f>VLOOKUP(D34,상품정보!$A$2:$E$61,2,FALSE)</f>
        <v>핸드폰케이스</v>
      </c>
      <c r="Q34" t="str">
        <f>VLOOKUP(D34,상품정보!$A$2:$D$151,3,FALSE)</f>
        <v>액세서리</v>
      </c>
      <c r="R34" t="str">
        <f>VLOOKUP(D34,상품정보!$A$2:$D$151,4,FALSE)</f>
        <v>브랜드D</v>
      </c>
    </row>
    <row r="35" spans="1:18" x14ac:dyDescent="0.45">
      <c r="A35" t="s">
        <v>40</v>
      </c>
      <c r="B35" t="s">
        <v>434</v>
      </c>
      <c r="C35" t="s">
        <v>2432</v>
      </c>
      <c r="D35" t="s">
        <v>2577</v>
      </c>
      <c r="E35">
        <v>4</v>
      </c>
      <c r="F35">
        <v>10200</v>
      </c>
      <c r="G35">
        <v>1000</v>
      </c>
      <c r="H35">
        <v>18100</v>
      </c>
      <c r="I35" t="s">
        <v>2614</v>
      </c>
      <c r="J35" s="4">
        <f t="shared" si="0"/>
        <v>23700</v>
      </c>
      <c r="K35" s="4" t="str">
        <f t="shared" si="1"/>
        <v>2024-11</v>
      </c>
      <c r="L35" s="4" t="str">
        <f t="shared" si="2"/>
        <v>금</v>
      </c>
      <c r="M35" s="2" t="str">
        <f>VLOOKUP($C35, 고객정보!$A$2:$E$151, 2, FALSE)</f>
        <v>서울</v>
      </c>
      <c r="N35" t="str">
        <f>VLOOKUP(C35,고객정보!$A$2:$D$151,4,FALSE)</f>
        <v>L5</v>
      </c>
      <c r="O35" t="str">
        <f>VLOOKUP($C35, 고객정보!$A$2:$E$151, 5, FALSE)</f>
        <v>20대</v>
      </c>
      <c r="P35" t="str">
        <f>VLOOKUP(D35,상품정보!$A$2:$E$61,2,FALSE)</f>
        <v>셔츠</v>
      </c>
      <c r="Q35" t="str">
        <f>VLOOKUP(D35,상품정보!$A$2:$D$151,3,FALSE)</f>
        <v>의류</v>
      </c>
      <c r="R35" t="str">
        <f>VLOOKUP(D35,상품정보!$A$2:$D$151,4,FALSE)</f>
        <v>브랜드C</v>
      </c>
    </row>
    <row r="36" spans="1:18" x14ac:dyDescent="0.45">
      <c r="A36" t="s">
        <v>40</v>
      </c>
      <c r="B36" t="s">
        <v>435</v>
      </c>
      <c r="C36" t="s">
        <v>2433</v>
      </c>
      <c r="D36" t="s">
        <v>2559</v>
      </c>
      <c r="E36">
        <v>4</v>
      </c>
      <c r="F36">
        <v>5400</v>
      </c>
      <c r="G36">
        <v>1000</v>
      </c>
      <c r="H36">
        <v>900</v>
      </c>
      <c r="I36" t="s">
        <v>2611</v>
      </c>
      <c r="J36" s="4">
        <f t="shared" si="0"/>
        <v>21700</v>
      </c>
      <c r="K36" s="4" t="str">
        <f t="shared" si="1"/>
        <v>2024-11</v>
      </c>
      <c r="L36" s="4" t="str">
        <f t="shared" si="2"/>
        <v>금</v>
      </c>
      <c r="M36" s="2" t="str">
        <f>VLOOKUP($C36, 고객정보!$A$2:$E$151, 2, FALSE)</f>
        <v>부산</v>
      </c>
      <c r="N36" t="str">
        <f>VLOOKUP(C36,고객정보!$A$2:$D$151,4,FALSE)</f>
        <v>L3</v>
      </c>
      <c r="O36" t="str">
        <f>VLOOKUP($C36, 고객정보!$A$2:$E$151, 5, FALSE)</f>
        <v>10대</v>
      </c>
      <c r="P36" t="str">
        <f>VLOOKUP(D36,상품정보!$A$2:$E$61,2,FALSE)</f>
        <v>반지</v>
      </c>
      <c r="Q36" t="str">
        <f>VLOOKUP(D36,상품정보!$A$2:$D$151,3,FALSE)</f>
        <v>액세서리</v>
      </c>
      <c r="R36" t="str">
        <f>VLOOKUP(D36,상품정보!$A$2:$D$151,4,FALSE)</f>
        <v>브랜드D</v>
      </c>
    </row>
    <row r="37" spans="1:18" x14ac:dyDescent="0.45">
      <c r="A37" t="s">
        <v>41</v>
      </c>
      <c r="B37" t="s">
        <v>436</v>
      </c>
      <c r="C37" t="s">
        <v>2434</v>
      </c>
      <c r="D37" t="s">
        <v>2578</v>
      </c>
      <c r="E37">
        <v>3</v>
      </c>
      <c r="F37">
        <v>78000</v>
      </c>
      <c r="G37">
        <v>0</v>
      </c>
      <c r="H37">
        <v>1200</v>
      </c>
      <c r="I37" t="s">
        <v>2612</v>
      </c>
      <c r="J37" s="4">
        <f t="shared" si="0"/>
        <v>232800</v>
      </c>
      <c r="K37" s="4" t="str">
        <f t="shared" si="1"/>
        <v>2024-10</v>
      </c>
      <c r="L37" s="4" t="str">
        <f t="shared" si="2"/>
        <v>목</v>
      </c>
      <c r="M37" s="2" t="str">
        <f>VLOOKUP($C37, 고객정보!$A$2:$E$151, 2, FALSE)</f>
        <v>대구</v>
      </c>
      <c r="N37" t="str">
        <f>VLOOKUP(C37,고객정보!$A$2:$D$151,4,FALSE)</f>
        <v>L1</v>
      </c>
      <c r="O37" t="str">
        <f>VLOOKUP($C37, 고객정보!$A$2:$E$151, 5, FALSE)</f>
        <v>10대</v>
      </c>
      <c r="P37" t="str">
        <f>VLOOKUP(D37,상품정보!$A$2:$E$61,2,FALSE)</f>
        <v>귀걸이</v>
      </c>
      <c r="Q37" t="str">
        <f>VLOOKUP(D37,상품정보!$A$2:$D$151,3,FALSE)</f>
        <v>액세서리</v>
      </c>
      <c r="R37" t="str">
        <f>VLOOKUP(D37,상품정보!$A$2:$D$151,4,FALSE)</f>
        <v>브랜드B</v>
      </c>
    </row>
    <row r="38" spans="1:18" x14ac:dyDescent="0.45">
      <c r="A38" t="s">
        <v>42</v>
      </c>
      <c r="B38" t="s">
        <v>437</v>
      </c>
      <c r="C38" t="s">
        <v>2435</v>
      </c>
      <c r="D38" t="s">
        <v>2579</v>
      </c>
      <c r="E38">
        <v>1</v>
      </c>
      <c r="F38">
        <v>51000</v>
      </c>
      <c r="G38">
        <v>1000</v>
      </c>
      <c r="H38">
        <v>0</v>
      </c>
      <c r="I38" t="s">
        <v>2652</v>
      </c>
      <c r="J38" s="4">
        <f t="shared" si="0"/>
        <v>52000</v>
      </c>
      <c r="K38" s="4" t="str">
        <f t="shared" si="1"/>
        <v>2024-12</v>
      </c>
      <c r="L38" s="4" t="str">
        <f t="shared" si="2"/>
        <v>일</v>
      </c>
      <c r="M38" s="2" t="str">
        <f>VLOOKUP($C38, 고객정보!$A$2:$E$151, 2, FALSE)</f>
        <v>인천</v>
      </c>
      <c r="N38" t="str">
        <f>VLOOKUP(C38,고객정보!$A$2:$D$151,4,FALSE)</f>
        <v>L5</v>
      </c>
      <c r="O38" t="str">
        <f>VLOOKUP($C38, 고객정보!$A$2:$E$151, 5, FALSE)</f>
        <v>30대</v>
      </c>
      <c r="P38" t="str">
        <f>VLOOKUP(D38,상품정보!$A$2:$E$61,2,FALSE)</f>
        <v>핸드폰케이스</v>
      </c>
      <c r="Q38" t="str">
        <f>VLOOKUP(D38,상품정보!$A$2:$D$151,3,FALSE)</f>
        <v>액세서리</v>
      </c>
      <c r="R38" t="str">
        <f>VLOOKUP(D38,상품정보!$A$2:$D$151,4,FALSE)</f>
        <v>브랜드F</v>
      </c>
    </row>
    <row r="39" spans="1:18" x14ac:dyDescent="0.45">
      <c r="A39" t="s">
        <v>43</v>
      </c>
      <c r="B39" t="s">
        <v>438</v>
      </c>
      <c r="C39" t="s">
        <v>2436</v>
      </c>
      <c r="D39" t="s">
        <v>2557</v>
      </c>
      <c r="E39">
        <v>3</v>
      </c>
      <c r="F39">
        <v>77700</v>
      </c>
      <c r="G39">
        <v>2000</v>
      </c>
      <c r="H39">
        <v>0</v>
      </c>
      <c r="I39" t="s">
        <v>2652</v>
      </c>
      <c r="J39" s="4">
        <f t="shared" si="0"/>
        <v>235100</v>
      </c>
      <c r="K39" s="4" t="str">
        <f t="shared" si="1"/>
        <v>2025-01</v>
      </c>
      <c r="L39" s="4" t="str">
        <f t="shared" si="2"/>
        <v>화</v>
      </c>
      <c r="M39" s="2" t="str">
        <f>VLOOKUP($C39, 고객정보!$A$2:$E$151, 2, FALSE)</f>
        <v>인천</v>
      </c>
      <c r="N39" t="str">
        <f>VLOOKUP(C39,고객정보!$A$2:$D$151,4,FALSE)</f>
        <v>L4</v>
      </c>
      <c r="O39" t="str">
        <f>VLOOKUP($C39, 고객정보!$A$2:$E$151, 5, FALSE)</f>
        <v>10대</v>
      </c>
      <c r="P39" t="str">
        <f>VLOOKUP(D39,상품정보!$A$2:$E$61,2,FALSE)</f>
        <v>귀걸이</v>
      </c>
      <c r="Q39" t="str">
        <f>VLOOKUP(D39,상품정보!$A$2:$D$151,3,FALSE)</f>
        <v>액세서리</v>
      </c>
      <c r="R39" t="str">
        <f>VLOOKUP(D39,상품정보!$A$2:$D$151,4,FALSE)</f>
        <v>브랜드B</v>
      </c>
    </row>
    <row r="40" spans="1:18" x14ac:dyDescent="0.45">
      <c r="A40" t="s">
        <v>44</v>
      </c>
      <c r="B40" t="s">
        <v>439</v>
      </c>
      <c r="C40" t="s">
        <v>2437</v>
      </c>
      <c r="D40" t="s">
        <v>2580</v>
      </c>
      <c r="E40">
        <v>3</v>
      </c>
      <c r="F40">
        <v>77800</v>
      </c>
      <c r="G40">
        <v>1000</v>
      </c>
      <c r="H40">
        <v>0</v>
      </c>
      <c r="I40" t="s">
        <v>2652</v>
      </c>
      <c r="J40" s="4">
        <f t="shared" si="0"/>
        <v>234400</v>
      </c>
      <c r="K40" s="4" t="str">
        <f t="shared" si="1"/>
        <v>2024-08</v>
      </c>
      <c r="L40" s="4" t="str">
        <f t="shared" si="2"/>
        <v>토</v>
      </c>
      <c r="M40" s="2" t="str">
        <f>VLOOKUP($C40, 고객정보!$A$2:$E$151, 2, FALSE)</f>
        <v>인천</v>
      </c>
      <c r="N40" t="str">
        <f>VLOOKUP(C40,고객정보!$A$2:$D$151,4,FALSE)</f>
        <v>L1</v>
      </c>
      <c r="O40" t="str">
        <f>VLOOKUP($C40, 고객정보!$A$2:$E$151, 5, FALSE)</f>
        <v>30대</v>
      </c>
      <c r="P40" t="str">
        <f>VLOOKUP(D40,상품정보!$A$2:$E$61,2,FALSE)</f>
        <v>청바지</v>
      </c>
      <c r="Q40" t="str">
        <f>VLOOKUP(D40,상품정보!$A$2:$D$151,3,FALSE)</f>
        <v>의류</v>
      </c>
      <c r="R40" t="str">
        <f>VLOOKUP(D40,상품정보!$A$2:$D$151,4,FALSE)</f>
        <v>브랜드A</v>
      </c>
    </row>
    <row r="41" spans="1:18" x14ac:dyDescent="0.45">
      <c r="A41" t="s">
        <v>45</v>
      </c>
      <c r="B41" t="s">
        <v>440</v>
      </c>
      <c r="C41" t="s">
        <v>2432</v>
      </c>
      <c r="D41" t="s">
        <v>2581</v>
      </c>
      <c r="E41">
        <v>1</v>
      </c>
      <c r="F41">
        <v>72900</v>
      </c>
      <c r="G41">
        <v>0</v>
      </c>
      <c r="H41">
        <v>0</v>
      </c>
      <c r="I41" t="s">
        <v>2652</v>
      </c>
      <c r="J41" s="4">
        <f t="shared" si="0"/>
        <v>72900</v>
      </c>
      <c r="K41" s="4" t="str">
        <f t="shared" si="1"/>
        <v>2025-01</v>
      </c>
      <c r="L41" s="4" t="str">
        <f t="shared" si="2"/>
        <v>토</v>
      </c>
      <c r="M41" s="2" t="str">
        <f>VLOOKUP($C41, 고객정보!$A$2:$E$151, 2, FALSE)</f>
        <v>서울</v>
      </c>
      <c r="N41" t="str">
        <f>VLOOKUP(C41,고객정보!$A$2:$D$151,4,FALSE)</f>
        <v>L5</v>
      </c>
      <c r="O41" t="str">
        <f>VLOOKUP($C41, 고객정보!$A$2:$E$151, 5, FALSE)</f>
        <v>20대</v>
      </c>
      <c r="P41" t="str">
        <f>VLOOKUP(D41,상품정보!$A$2:$E$61,2,FALSE)</f>
        <v>귀걸이</v>
      </c>
      <c r="Q41" t="str">
        <f>VLOOKUP(D41,상품정보!$A$2:$D$151,3,FALSE)</f>
        <v>액세서리</v>
      </c>
      <c r="R41" t="str">
        <f>VLOOKUP(D41,상품정보!$A$2:$D$151,4,FALSE)</f>
        <v>브랜드F</v>
      </c>
    </row>
    <row r="42" spans="1:18" x14ac:dyDescent="0.45">
      <c r="A42" t="s">
        <v>46</v>
      </c>
      <c r="B42" t="s">
        <v>441</v>
      </c>
      <c r="C42" t="s">
        <v>2428</v>
      </c>
      <c r="D42" t="s">
        <v>2554</v>
      </c>
      <c r="E42">
        <v>2</v>
      </c>
      <c r="F42">
        <v>12100</v>
      </c>
      <c r="G42">
        <v>0</v>
      </c>
      <c r="H42">
        <v>0</v>
      </c>
      <c r="I42" t="s">
        <v>2652</v>
      </c>
      <c r="J42" s="4">
        <f t="shared" si="0"/>
        <v>24200</v>
      </c>
      <c r="K42" s="4" t="str">
        <f t="shared" si="1"/>
        <v>2024-09</v>
      </c>
      <c r="L42" s="4" t="str">
        <f t="shared" si="2"/>
        <v>월</v>
      </c>
      <c r="M42" s="2" t="str">
        <f>VLOOKUP($C42, 고객정보!$A$2:$E$151, 2, FALSE)</f>
        <v>광주</v>
      </c>
      <c r="N42" t="str">
        <f>VLOOKUP(C42,고객정보!$A$2:$D$151,4,FALSE)</f>
        <v>L4</v>
      </c>
      <c r="O42" t="str">
        <f>VLOOKUP($C42, 고객정보!$A$2:$E$151, 5, FALSE)</f>
        <v>10대</v>
      </c>
      <c r="P42" t="str">
        <f>VLOOKUP(D42,상품정보!$A$2:$E$61,2,FALSE)</f>
        <v>귀걸이</v>
      </c>
      <c r="Q42" t="str">
        <f>VLOOKUP(D42,상품정보!$A$2:$D$151,3,FALSE)</f>
        <v>액세서리</v>
      </c>
      <c r="R42" t="str">
        <f>VLOOKUP(D42,상품정보!$A$2:$D$151,4,FALSE)</f>
        <v>브랜드D</v>
      </c>
    </row>
    <row r="43" spans="1:18" x14ac:dyDescent="0.45">
      <c r="A43" t="s">
        <v>47</v>
      </c>
      <c r="B43" t="s">
        <v>442</v>
      </c>
      <c r="C43" t="s">
        <v>2438</v>
      </c>
      <c r="D43" t="s">
        <v>2576</v>
      </c>
      <c r="E43">
        <v>3</v>
      </c>
      <c r="F43">
        <v>8800</v>
      </c>
      <c r="G43">
        <v>500</v>
      </c>
      <c r="H43">
        <v>0</v>
      </c>
      <c r="I43" t="s">
        <v>2652</v>
      </c>
      <c r="J43" s="4">
        <f t="shared" si="0"/>
        <v>26900</v>
      </c>
      <c r="K43" s="4" t="str">
        <f t="shared" si="1"/>
        <v>2024-11</v>
      </c>
      <c r="L43" s="4" t="str">
        <f t="shared" si="2"/>
        <v>토</v>
      </c>
      <c r="M43" s="2" t="str">
        <f>VLOOKUP($C43, 고객정보!$A$2:$E$151, 2, FALSE)</f>
        <v>대구</v>
      </c>
      <c r="N43" t="str">
        <f>VLOOKUP(C43,고객정보!$A$2:$D$151,4,FALSE)</f>
        <v>L4</v>
      </c>
      <c r="O43" t="str">
        <f>VLOOKUP($C43, 고객정보!$A$2:$E$151, 5, FALSE)</f>
        <v>30대</v>
      </c>
      <c r="P43" t="str">
        <f>VLOOKUP(D43,상품정보!$A$2:$E$61,2,FALSE)</f>
        <v>핸드폰케이스</v>
      </c>
      <c r="Q43" t="str">
        <f>VLOOKUP(D43,상품정보!$A$2:$D$151,3,FALSE)</f>
        <v>액세서리</v>
      </c>
      <c r="R43" t="str">
        <f>VLOOKUP(D43,상품정보!$A$2:$D$151,4,FALSE)</f>
        <v>브랜드D</v>
      </c>
    </row>
    <row r="44" spans="1:18" x14ac:dyDescent="0.45">
      <c r="A44" t="s">
        <v>39</v>
      </c>
      <c r="B44" t="s">
        <v>443</v>
      </c>
      <c r="C44" t="s">
        <v>2439</v>
      </c>
      <c r="D44" t="s">
        <v>2560</v>
      </c>
      <c r="E44">
        <v>2</v>
      </c>
      <c r="F44">
        <v>60600</v>
      </c>
      <c r="G44">
        <v>0</v>
      </c>
      <c r="H44">
        <v>0</v>
      </c>
      <c r="I44" t="s">
        <v>2652</v>
      </c>
      <c r="J44" s="4">
        <f t="shared" si="0"/>
        <v>121200</v>
      </c>
      <c r="K44" s="4" t="str">
        <f t="shared" si="1"/>
        <v>2024-03</v>
      </c>
      <c r="L44" s="4" t="str">
        <f t="shared" si="2"/>
        <v>화</v>
      </c>
      <c r="M44" s="2" t="str">
        <f>VLOOKUP($C44, 고객정보!$A$2:$E$151, 2, FALSE)</f>
        <v>대구</v>
      </c>
      <c r="N44" t="str">
        <f>VLOOKUP(C44,고객정보!$A$2:$D$151,4,FALSE)</f>
        <v>L3</v>
      </c>
      <c r="O44" t="str">
        <f>VLOOKUP($C44, 고객정보!$A$2:$E$151, 5, FALSE)</f>
        <v>30대</v>
      </c>
      <c r="P44" t="str">
        <f>VLOOKUP(D44,상품정보!$A$2:$E$61,2,FALSE)</f>
        <v>반팔 티셔츠</v>
      </c>
      <c r="Q44" t="str">
        <f>VLOOKUP(D44,상품정보!$A$2:$D$151,3,FALSE)</f>
        <v>의류</v>
      </c>
      <c r="R44" t="str">
        <f>VLOOKUP(D44,상품정보!$A$2:$D$151,4,FALSE)</f>
        <v>브랜드F</v>
      </c>
    </row>
    <row r="45" spans="1:18" x14ac:dyDescent="0.45">
      <c r="A45" t="s">
        <v>48</v>
      </c>
      <c r="B45" t="s">
        <v>444</v>
      </c>
      <c r="C45" t="s">
        <v>2440</v>
      </c>
      <c r="D45" t="s">
        <v>2557</v>
      </c>
      <c r="E45">
        <v>2</v>
      </c>
      <c r="F45">
        <v>77700</v>
      </c>
      <c r="G45">
        <v>1500</v>
      </c>
      <c r="H45">
        <v>500</v>
      </c>
      <c r="I45" t="s">
        <v>2614</v>
      </c>
      <c r="J45" s="4">
        <f t="shared" si="0"/>
        <v>156400</v>
      </c>
      <c r="K45" s="4" t="str">
        <f t="shared" si="1"/>
        <v>2024-10</v>
      </c>
      <c r="L45" s="4" t="str">
        <f t="shared" si="2"/>
        <v>목</v>
      </c>
      <c r="M45" s="2" t="str">
        <f>VLOOKUP($C45, 고객정보!$A$2:$E$151, 2, FALSE)</f>
        <v>대구</v>
      </c>
      <c r="N45" t="str">
        <f>VLOOKUP(C45,고객정보!$A$2:$D$151,4,FALSE)</f>
        <v>L2</v>
      </c>
      <c r="O45" t="str">
        <f>VLOOKUP($C45, 고객정보!$A$2:$E$151, 5, FALSE)</f>
        <v>10대</v>
      </c>
      <c r="P45" t="str">
        <f>VLOOKUP(D45,상품정보!$A$2:$E$61,2,FALSE)</f>
        <v>귀걸이</v>
      </c>
      <c r="Q45" t="str">
        <f>VLOOKUP(D45,상품정보!$A$2:$D$151,3,FALSE)</f>
        <v>액세서리</v>
      </c>
      <c r="R45" t="str">
        <f>VLOOKUP(D45,상품정보!$A$2:$D$151,4,FALSE)</f>
        <v>브랜드B</v>
      </c>
    </row>
    <row r="46" spans="1:18" x14ac:dyDescent="0.45">
      <c r="A46" t="s">
        <v>49</v>
      </c>
      <c r="B46" t="s">
        <v>445</v>
      </c>
      <c r="C46" t="s">
        <v>2441</v>
      </c>
      <c r="D46" t="s">
        <v>2582</v>
      </c>
      <c r="E46">
        <v>1</v>
      </c>
      <c r="F46">
        <v>12500</v>
      </c>
      <c r="G46">
        <v>0</v>
      </c>
      <c r="H46">
        <v>0</v>
      </c>
      <c r="I46" t="s">
        <v>2652</v>
      </c>
      <c r="J46" s="4">
        <f t="shared" si="0"/>
        <v>12500</v>
      </c>
      <c r="K46" s="4" t="str">
        <f t="shared" si="1"/>
        <v>2024-11</v>
      </c>
      <c r="L46" s="4" t="str">
        <f t="shared" si="2"/>
        <v>토</v>
      </c>
      <c r="M46" s="2" t="str">
        <f>VLOOKUP($C46, 고객정보!$A$2:$E$151, 2, FALSE)</f>
        <v>부산</v>
      </c>
      <c r="N46" t="str">
        <f>VLOOKUP(C46,고객정보!$A$2:$D$151,4,FALSE)</f>
        <v>L2</v>
      </c>
      <c r="O46" t="str">
        <f>VLOOKUP($C46, 고객정보!$A$2:$E$151, 5, FALSE)</f>
        <v>20대</v>
      </c>
      <c r="P46" t="str">
        <f>VLOOKUP(D46,상품정보!$A$2:$E$61,2,FALSE)</f>
        <v>셔츠</v>
      </c>
      <c r="Q46" t="str">
        <f>VLOOKUP(D46,상품정보!$A$2:$D$151,3,FALSE)</f>
        <v>의류</v>
      </c>
      <c r="R46" t="str">
        <f>VLOOKUP(D46,상품정보!$A$2:$D$151,4,FALSE)</f>
        <v>브랜드D</v>
      </c>
    </row>
    <row r="47" spans="1:18" x14ac:dyDescent="0.45">
      <c r="A47" t="s">
        <v>50</v>
      </c>
      <c r="B47" t="s">
        <v>446</v>
      </c>
      <c r="C47" t="s">
        <v>2442</v>
      </c>
      <c r="D47" t="s">
        <v>2583</v>
      </c>
      <c r="E47">
        <v>1</v>
      </c>
      <c r="F47">
        <v>6600</v>
      </c>
      <c r="G47">
        <v>1000</v>
      </c>
      <c r="H47">
        <v>0</v>
      </c>
      <c r="I47" t="s">
        <v>2652</v>
      </c>
      <c r="J47" s="4">
        <f t="shared" si="0"/>
        <v>7600</v>
      </c>
      <c r="K47" s="4" t="str">
        <f t="shared" si="1"/>
        <v>2024-02</v>
      </c>
      <c r="L47" s="4" t="str">
        <f t="shared" si="2"/>
        <v>화</v>
      </c>
      <c r="M47" s="2" t="str">
        <f>VLOOKUP($C47, 고객정보!$A$2:$E$151, 2, FALSE)</f>
        <v>부산</v>
      </c>
      <c r="N47" t="str">
        <f>VLOOKUP(C47,고객정보!$A$2:$D$151,4,FALSE)</f>
        <v>L1</v>
      </c>
      <c r="O47" t="str">
        <f>VLOOKUP($C47, 고객정보!$A$2:$E$151, 5, FALSE)</f>
        <v>40대</v>
      </c>
      <c r="P47" t="str">
        <f>VLOOKUP(D47,상품정보!$A$2:$E$61,2,FALSE)</f>
        <v>셔츠</v>
      </c>
      <c r="Q47" t="str">
        <f>VLOOKUP(D47,상품정보!$A$2:$D$151,3,FALSE)</f>
        <v>의류</v>
      </c>
      <c r="R47" t="str">
        <f>VLOOKUP(D47,상품정보!$A$2:$D$151,4,FALSE)</f>
        <v>브랜드E</v>
      </c>
    </row>
    <row r="48" spans="1:18" x14ac:dyDescent="0.45">
      <c r="A48" t="s">
        <v>51</v>
      </c>
      <c r="B48" t="s">
        <v>447</v>
      </c>
      <c r="C48" t="s">
        <v>2415</v>
      </c>
      <c r="D48" t="s">
        <v>2584</v>
      </c>
      <c r="E48">
        <v>3</v>
      </c>
      <c r="F48">
        <v>59700</v>
      </c>
      <c r="G48">
        <v>500</v>
      </c>
      <c r="H48">
        <v>0</v>
      </c>
      <c r="I48" t="s">
        <v>2652</v>
      </c>
      <c r="J48" s="4">
        <f t="shared" si="0"/>
        <v>179600</v>
      </c>
      <c r="K48" s="4" t="str">
        <f t="shared" si="1"/>
        <v>2024-05</v>
      </c>
      <c r="L48" s="4" t="str">
        <f t="shared" si="2"/>
        <v>목</v>
      </c>
      <c r="M48" s="2" t="str">
        <f>VLOOKUP($C48, 고객정보!$A$2:$E$151, 2, FALSE)</f>
        <v>광주</v>
      </c>
      <c r="N48" t="str">
        <f>VLOOKUP(C48,고객정보!$A$2:$D$151,4,FALSE)</f>
        <v>L3</v>
      </c>
      <c r="O48" t="str">
        <f>VLOOKUP($C48, 고객정보!$A$2:$E$151, 5, FALSE)</f>
        <v>30대</v>
      </c>
      <c r="P48" t="str">
        <f>VLOOKUP(D48,상품정보!$A$2:$E$61,2,FALSE)</f>
        <v>목걸이</v>
      </c>
      <c r="Q48" t="str">
        <f>VLOOKUP(D48,상품정보!$A$2:$D$151,3,FALSE)</f>
        <v>액세서리</v>
      </c>
      <c r="R48" t="str">
        <f>VLOOKUP(D48,상품정보!$A$2:$D$151,4,FALSE)</f>
        <v>브랜드B</v>
      </c>
    </row>
    <row r="49" spans="1:18" x14ac:dyDescent="0.45">
      <c r="A49" t="s">
        <v>52</v>
      </c>
      <c r="B49" t="s">
        <v>448</v>
      </c>
      <c r="C49" t="s">
        <v>2443</v>
      </c>
      <c r="D49" t="s">
        <v>2585</v>
      </c>
      <c r="E49">
        <v>5</v>
      </c>
      <c r="F49">
        <v>14900</v>
      </c>
      <c r="G49">
        <v>0</v>
      </c>
      <c r="H49">
        <v>0</v>
      </c>
      <c r="I49" t="s">
        <v>2652</v>
      </c>
      <c r="J49" s="4">
        <f t="shared" si="0"/>
        <v>74500</v>
      </c>
      <c r="K49" s="4" t="str">
        <f t="shared" si="1"/>
        <v>2024-02</v>
      </c>
      <c r="L49" s="4" t="str">
        <f t="shared" si="2"/>
        <v>토</v>
      </c>
      <c r="M49" s="2" t="str">
        <f>VLOOKUP($C49, 고객정보!$A$2:$E$151, 2, FALSE)</f>
        <v>서울</v>
      </c>
      <c r="N49" t="str">
        <f>VLOOKUP(C49,고객정보!$A$2:$D$151,4,FALSE)</f>
        <v>L4</v>
      </c>
      <c r="O49" t="str">
        <f>VLOOKUP($C49, 고객정보!$A$2:$E$151, 5, FALSE)</f>
        <v>30대</v>
      </c>
      <c r="P49" t="str">
        <f>VLOOKUP(D49,상품정보!$A$2:$E$61,2,FALSE)</f>
        <v>반팔 티셔츠</v>
      </c>
      <c r="Q49" t="str">
        <f>VLOOKUP(D49,상품정보!$A$2:$D$151,3,FALSE)</f>
        <v>의류</v>
      </c>
      <c r="R49" t="str">
        <f>VLOOKUP(D49,상품정보!$A$2:$D$151,4,FALSE)</f>
        <v>브랜드C</v>
      </c>
    </row>
    <row r="50" spans="1:18" x14ac:dyDescent="0.45">
      <c r="A50" t="s">
        <v>53</v>
      </c>
      <c r="B50" t="s">
        <v>449</v>
      </c>
      <c r="C50" t="s">
        <v>2444</v>
      </c>
      <c r="D50" t="s">
        <v>2586</v>
      </c>
      <c r="E50">
        <v>4</v>
      </c>
      <c r="F50">
        <v>73000</v>
      </c>
      <c r="G50">
        <v>1000</v>
      </c>
      <c r="H50">
        <v>0</v>
      </c>
      <c r="I50" t="s">
        <v>2652</v>
      </c>
      <c r="J50" s="4">
        <f t="shared" si="0"/>
        <v>293000</v>
      </c>
      <c r="K50" s="4" t="str">
        <f t="shared" si="1"/>
        <v>2024-02</v>
      </c>
      <c r="L50" s="4" t="str">
        <f t="shared" si="2"/>
        <v>월</v>
      </c>
      <c r="M50" s="2" t="str">
        <f>VLOOKUP($C50, 고객정보!$A$2:$E$151, 2, FALSE)</f>
        <v>서울</v>
      </c>
      <c r="N50" t="str">
        <f>VLOOKUP(C50,고객정보!$A$2:$D$151,4,FALSE)</f>
        <v>L4</v>
      </c>
      <c r="O50" t="str">
        <f>VLOOKUP($C50, 고객정보!$A$2:$E$151, 5, FALSE)</f>
        <v>40대</v>
      </c>
      <c r="P50" t="str">
        <f>VLOOKUP(D50,상품정보!$A$2:$E$61,2,FALSE)</f>
        <v>귀걸이</v>
      </c>
      <c r="Q50" t="str">
        <f>VLOOKUP(D50,상품정보!$A$2:$D$151,3,FALSE)</f>
        <v>액세서리</v>
      </c>
      <c r="R50" t="str">
        <f>VLOOKUP(D50,상품정보!$A$2:$D$151,4,FALSE)</f>
        <v>브랜드B</v>
      </c>
    </row>
    <row r="51" spans="1:18" x14ac:dyDescent="0.45">
      <c r="A51" t="s">
        <v>54</v>
      </c>
      <c r="B51" t="s">
        <v>450</v>
      </c>
      <c r="C51" t="s">
        <v>2445</v>
      </c>
      <c r="D51" t="s">
        <v>2587</v>
      </c>
      <c r="E51">
        <v>2</v>
      </c>
      <c r="F51">
        <v>50200</v>
      </c>
      <c r="G51">
        <v>500</v>
      </c>
      <c r="H51">
        <v>0</v>
      </c>
      <c r="I51" t="s">
        <v>2652</v>
      </c>
      <c r="J51" s="4">
        <f t="shared" si="0"/>
        <v>100900</v>
      </c>
      <c r="K51" s="4" t="str">
        <f t="shared" si="1"/>
        <v>2024-03</v>
      </c>
      <c r="L51" s="4" t="str">
        <f t="shared" si="2"/>
        <v>수</v>
      </c>
      <c r="M51" s="2" t="str">
        <f>VLOOKUP($C51, 고객정보!$A$2:$E$151, 2, FALSE)</f>
        <v>대구</v>
      </c>
      <c r="N51" t="str">
        <f>VLOOKUP(C51,고객정보!$A$2:$D$151,4,FALSE)</f>
        <v>L3</v>
      </c>
      <c r="O51" t="str">
        <f>VLOOKUP($C51, 고객정보!$A$2:$E$151, 5, FALSE)</f>
        <v>10대</v>
      </c>
      <c r="P51" t="str">
        <f>VLOOKUP(D51,상품정보!$A$2:$E$61,2,FALSE)</f>
        <v>반지</v>
      </c>
      <c r="Q51" t="str">
        <f>VLOOKUP(D51,상품정보!$A$2:$D$151,3,FALSE)</f>
        <v>액세서리</v>
      </c>
      <c r="R51" t="str">
        <f>VLOOKUP(D51,상품정보!$A$2:$D$151,4,FALSE)</f>
        <v>브랜드B</v>
      </c>
    </row>
    <row r="52" spans="1:18" x14ac:dyDescent="0.45">
      <c r="A52" t="s">
        <v>55</v>
      </c>
      <c r="B52" t="s">
        <v>451</v>
      </c>
      <c r="C52" t="s">
        <v>2446</v>
      </c>
      <c r="D52" t="s">
        <v>2562</v>
      </c>
      <c r="E52">
        <v>2</v>
      </c>
      <c r="F52">
        <v>15600</v>
      </c>
      <c r="G52">
        <v>0</v>
      </c>
      <c r="H52">
        <v>4300</v>
      </c>
      <c r="I52" t="s">
        <v>2614</v>
      </c>
      <c r="J52" s="4">
        <f t="shared" si="0"/>
        <v>26900</v>
      </c>
      <c r="K52" s="4" t="str">
        <f t="shared" si="1"/>
        <v>2024-05</v>
      </c>
      <c r="L52" s="4" t="str">
        <f t="shared" si="2"/>
        <v>수</v>
      </c>
      <c r="M52" s="2" t="str">
        <f>VLOOKUP($C52, 고객정보!$A$2:$E$151, 2, FALSE)</f>
        <v>대전</v>
      </c>
      <c r="N52" t="str">
        <f>VLOOKUP(C52,고객정보!$A$2:$D$151,4,FALSE)</f>
        <v>L2</v>
      </c>
      <c r="O52" t="str">
        <f>VLOOKUP($C52, 고객정보!$A$2:$E$151, 5, FALSE)</f>
        <v>50대 이상</v>
      </c>
      <c r="P52" t="str">
        <f>VLOOKUP(D52,상품정보!$A$2:$E$61,2,FALSE)</f>
        <v>반팔 티셔츠</v>
      </c>
      <c r="Q52" t="str">
        <f>VLOOKUP(D52,상품정보!$A$2:$D$151,3,FALSE)</f>
        <v>의류</v>
      </c>
      <c r="R52" t="str">
        <f>VLOOKUP(D52,상품정보!$A$2:$D$151,4,FALSE)</f>
        <v>브랜드E</v>
      </c>
    </row>
    <row r="53" spans="1:18" x14ac:dyDescent="0.45">
      <c r="A53" t="s">
        <v>10</v>
      </c>
      <c r="B53" t="s">
        <v>452</v>
      </c>
      <c r="C53" t="s">
        <v>2441</v>
      </c>
      <c r="D53" t="s">
        <v>2576</v>
      </c>
      <c r="E53">
        <v>5</v>
      </c>
      <c r="F53">
        <v>8800</v>
      </c>
      <c r="G53">
        <v>1500</v>
      </c>
      <c r="H53">
        <v>4400</v>
      </c>
      <c r="I53" t="s">
        <v>2612</v>
      </c>
      <c r="J53" s="4">
        <f t="shared" si="0"/>
        <v>41100</v>
      </c>
      <c r="K53" s="4" t="str">
        <f t="shared" si="1"/>
        <v>2024-08</v>
      </c>
      <c r="L53" s="4" t="str">
        <f t="shared" si="2"/>
        <v>일</v>
      </c>
      <c r="M53" s="2" t="str">
        <f>VLOOKUP($C53, 고객정보!$A$2:$E$151, 2, FALSE)</f>
        <v>부산</v>
      </c>
      <c r="N53" t="str">
        <f>VLOOKUP(C53,고객정보!$A$2:$D$151,4,FALSE)</f>
        <v>L2</v>
      </c>
      <c r="O53" t="str">
        <f>VLOOKUP($C53, 고객정보!$A$2:$E$151, 5, FALSE)</f>
        <v>20대</v>
      </c>
      <c r="P53" t="str">
        <f>VLOOKUP(D53,상품정보!$A$2:$E$61,2,FALSE)</f>
        <v>핸드폰케이스</v>
      </c>
      <c r="Q53" t="str">
        <f>VLOOKUP(D53,상품정보!$A$2:$D$151,3,FALSE)</f>
        <v>액세서리</v>
      </c>
      <c r="R53" t="str">
        <f>VLOOKUP(D53,상품정보!$A$2:$D$151,4,FALSE)</f>
        <v>브랜드D</v>
      </c>
    </row>
    <row r="54" spans="1:18" x14ac:dyDescent="0.45">
      <c r="A54" t="s">
        <v>56</v>
      </c>
      <c r="B54" t="s">
        <v>453</v>
      </c>
      <c r="C54" t="s">
        <v>2447</v>
      </c>
      <c r="D54" t="s">
        <v>2568</v>
      </c>
      <c r="E54">
        <v>5</v>
      </c>
      <c r="F54">
        <v>16800</v>
      </c>
      <c r="G54">
        <v>0</v>
      </c>
      <c r="H54">
        <v>18300</v>
      </c>
      <c r="I54" t="s">
        <v>2611</v>
      </c>
      <c r="J54" s="4">
        <f t="shared" si="0"/>
        <v>65700</v>
      </c>
      <c r="K54" s="4" t="str">
        <f t="shared" si="1"/>
        <v>2025-01</v>
      </c>
      <c r="L54" s="4" t="str">
        <f t="shared" si="2"/>
        <v>화</v>
      </c>
      <c r="M54" s="2" t="str">
        <f>VLOOKUP($C54, 고객정보!$A$2:$E$151, 2, FALSE)</f>
        <v>대구</v>
      </c>
      <c r="N54" t="str">
        <f>VLOOKUP(C54,고객정보!$A$2:$D$151,4,FALSE)</f>
        <v>L1</v>
      </c>
      <c r="O54" t="str">
        <f>VLOOKUP($C54, 고객정보!$A$2:$E$151, 5, FALSE)</f>
        <v>10대</v>
      </c>
      <c r="P54" t="str">
        <f>VLOOKUP(D54,상품정보!$A$2:$E$61,2,FALSE)</f>
        <v>청바지</v>
      </c>
      <c r="Q54" t="str">
        <f>VLOOKUP(D54,상품정보!$A$2:$D$151,3,FALSE)</f>
        <v>의류</v>
      </c>
      <c r="R54" t="str">
        <f>VLOOKUP(D54,상품정보!$A$2:$D$151,4,FALSE)</f>
        <v>브랜드C</v>
      </c>
    </row>
    <row r="55" spans="1:18" x14ac:dyDescent="0.45">
      <c r="A55" t="s">
        <v>57</v>
      </c>
      <c r="B55" t="s">
        <v>454</v>
      </c>
      <c r="C55" t="s">
        <v>2448</v>
      </c>
      <c r="D55" t="s">
        <v>2588</v>
      </c>
      <c r="E55">
        <v>3</v>
      </c>
      <c r="F55">
        <v>7700</v>
      </c>
      <c r="G55">
        <v>0</v>
      </c>
      <c r="H55">
        <v>5600</v>
      </c>
      <c r="I55" t="s">
        <v>2613</v>
      </c>
      <c r="J55" s="4">
        <f t="shared" si="0"/>
        <v>17500</v>
      </c>
      <c r="K55" s="4" t="str">
        <f t="shared" si="1"/>
        <v>2024-07</v>
      </c>
      <c r="L55" s="4" t="str">
        <f t="shared" si="2"/>
        <v>화</v>
      </c>
      <c r="M55" s="2" t="str">
        <f>VLOOKUP($C55, 고객정보!$A$2:$E$151, 2, FALSE)</f>
        <v>광주</v>
      </c>
      <c r="N55" t="str">
        <f>VLOOKUP(C55,고객정보!$A$2:$D$151,4,FALSE)</f>
        <v>L3</v>
      </c>
      <c r="O55" t="str">
        <f>VLOOKUP($C55, 고객정보!$A$2:$E$151, 5, FALSE)</f>
        <v>50대 이상</v>
      </c>
      <c r="P55" t="str">
        <f>VLOOKUP(D55,상품정보!$A$2:$E$61,2,FALSE)</f>
        <v>귀걸이</v>
      </c>
      <c r="Q55" t="str">
        <f>VLOOKUP(D55,상품정보!$A$2:$D$151,3,FALSE)</f>
        <v>액세서리</v>
      </c>
      <c r="R55" t="str">
        <f>VLOOKUP(D55,상품정보!$A$2:$D$151,4,FALSE)</f>
        <v>브랜드D</v>
      </c>
    </row>
    <row r="56" spans="1:18" x14ac:dyDescent="0.45">
      <c r="A56" t="s">
        <v>58</v>
      </c>
      <c r="B56" t="s">
        <v>455</v>
      </c>
      <c r="C56" t="s">
        <v>2440</v>
      </c>
      <c r="D56" t="s">
        <v>2556</v>
      </c>
      <c r="E56">
        <v>5</v>
      </c>
      <c r="F56">
        <v>70100</v>
      </c>
      <c r="G56">
        <v>500</v>
      </c>
      <c r="H56">
        <v>0</v>
      </c>
      <c r="I56" t="s">
        <v>2652</v>
      </c>
      <c r="J56" s="4">
        <f t="shared" si="0"/>
        <v>351000</v>
      </c>
      <c r="K56" s="4" t="str">
        <f t="shared" si="1"/>
        <v>2024-08</v>
      </c>
      <c r="L56" s="4" t="str">
        <f t="shared" si="2"/>
        <v>월</v>
      </c>
      <c r="M56" s="2" t="str">
        <f>VLOOKUP($C56, 고객정보!$A$2:$E$151, 2, FALSE)</f>
        <v>대구</v>
      </c>
      <c r="N56" t="str">
        <f>VLOOKUP(C56,고객정보!$A$2:$D$151,4,FALSE)</f>
        <v>L2</v>
      </c>
      <c r="O56" t="str">
        <f>VLOOKUP($C56, 고객정보!$A$2:$E$151, 5, FALSE)</f>
        <v>10대</v>
      </c>
      <c r="P56" t="str">
        <f>VLOOKUP(D56,상품정보!$A$2:$E$61,2,FALSE)</f>
        <v>핸드폰케이스</v>
      </c>
      <c r="Q56" t="str">
        <f>VLOOKUP(D56,상품정보!$A$2:$D$151,3,FALSE)</f>
        <v>액세서리</v>
      </c>
      <c r="R56" t="str">
        <f>VLOOKUP(D56,상품정보!$A$2:$D$151,4,FALSE)</f>
        <v>브랜드F</v>
      </c>
    </row>
    <row r="57" spans="1:18" x14ac:dyDescent="0.45">
      <c r="A57" t="s">
        <v>59</v>
      </c>
      <c r="B57" t="s">
        <v>456</v>
      </c>
      <c r="C57" t="s">
        <v>2449</v>
      </c>
      <c r="D57" t="s">
        <v>2585</v>
      </c>
      <c r="E57">
        <v>2</v>
      </c>
      <c r="F57">
        <v>14900</v>
      </c>
      <c r="G57">
        <v>0</v>
      </c>
      <c r="H57">
        <v>2000</v>
      </c>
      <c r="I57" t="s">
        <v>2614</v>
      </c>
      <c r="J57" s="4">
        <f t="shared" si="0"/>
        <v>27800</v>
      </c>
      <c r="K57" s="4" t="str">
        <f t="shared" si="1"/>
        <v>2024-02</v>
      </c>
      <c r="L57" s="4" t="str">
        <f t="shared" si="2"/>
        <v>금</v>
      </c>
      <c r="M57" s="2" t="str">
        <f>VLOOKUP($C57, 고객정보!$A$2:$E$151, 2, FALSE)</f>
        <v>대구</v>
      </c>
      <c r="N57" t="str">
        <f>VLOOKUP(C57,고객정보!$A$2:$D$151,4,FALSE)</f>
        <v>L5</v>
      </c>
      <c r="O57" t="str">
        <f>VLOOKUP($C57, 고객정보!$A$2:$E$151, 5, FALSE)</f>
        <v>40대</v>
      </c>
      <c r="P57" t="str">
        <f>VLOOKUP(D57,상품정보!$A$2:$E$61,2,FALSE)</f>
        <v>반팔 티셔츠</v>
      </c>
      <c r="Q57" t="str">
        <f>VLOOKUP(D57,상품정보!$A$2:$D$151,3,FALSE)</f>
        <v>의류</v>
      </c>
      <c r="R57" t="str">
        <f>VLOOKUP(D57,상품정보!$A$2:$D$151,4,FALSE)</f>
        <v>브랜드C</v>
      </c>
    </row>
    <row r="58" spans="1:18" x14ac:dyDescent="0.45">
      <c r="A58" t="s">
        <v>41</v>
      </c>
      <c r="B58" t="s">
        <v>457</v>
      </c>
      <c r="C58" t="s">
        <v>2450</v>
      </c>
      <c r="D58" t="s">
        <v>2551</v>
      </c>
      <c r="E58">
        <v>5</v>
      </c>
      <c r="F58">
        <v>66600</v>
      </c>
      <c r="G58">
        <v>500</v>
      </c>
      <c r="H58">
        <v>0</v>
      </c>
      <c r="I58" t="s">
        <v>2652</v>
      </c>
      <c r="J58" s="4">
        <f t="shared" si="0"/>
        <v>333500</v>
      </c>
      <c r="K58" s="4" t="str">
        <f t="shared" si="1"/>
        <v>2024-10</v>
      </c>
      <c r="L58" s="4" t="str">
        <f t="shared" si="2"/>
        <v>목</v>
      </c>
      <c r="M58" s="2" t="str">
        <f>VLOOKUP($C58, 고객정보!$A$2:$E$151, 2, FALSE)</f>
        <v>인천</v>
      </c>
      <c r="N58" t="str">
        <f>VLOOKUP(C58,고객정보!$A$2:$D$151,4,FALSE)</f>
        <v>L5</v>
      </c>
      <c r="O58" t="str">
        <f>VLOOKUP($C58, 고객정보!$A$2:$E$151, 5, FALSE)</f>
        <v>40대</v>
      </c>
      <c r="P58" t="str">
        <f>VLOOKUP(D58,상품정보!$A$2:$E$61,2,FALSE)</f>
        <v>반지</v>
      </c>
      <c r="Q58" t="str">
        <f>VLOOKUP(D58,상품정보!$A$2:$D$151,3,FALSE)</f>
        <v>액세서리</v>
      </c>
      <c r="R58" t="str">
        <f>VLOOKUP(D58,상품정보!$A$2:$D$151,4,FALSE)</f>
        <v>브랜드B</v>
      </c>
    </row>
    <row r="59" spans="1:18" x14ac:dyDescent="0.45">
      <c r="A59" t="s">
        <v>60</v>
      </c>
      <c r="B59" t="s">
        <v>458</v>
      </c>
      <c r="C59" t="s">
        <v>2451</v>
      </c>
      <c r="D59" t="s">
        <v>2589</v>
      </c>
      <c r="E59">
        <v>2</v>
      </c>
      <c r="F59">
        <v>71400</v>
      </c>
      <c r="G59">
        <v>500</v>
      </c>
      <c r="H59">
        <v>0</v>
      </c>
      <c r="I59" t="s">
        <v>2652</v>
      </c>
      <c r="J59" s="4">
        <f t="shared" si="0"/>
        <v>143300</v>
      </c>
      <c r="K59" s="4" t="str">
        <f t="shared" si="1"/>
        <v>2024-01</v>
      </c>
      <c r="L59" s="4" t="str">
        <f t="shared" si="2"/>
        <v>목</v>
      </c>
      <c r="M59" s="2" t="str">
        <f>VLOOKUP($C59, 고객정보!$A$2:$E$151, 2, FALSE)</f>
        <v>서울</v>
      </c>
      <c r="N59" t="str">
        <f>VLOOKUP(C59,고객정보!$A$2:$D$151,4,FALSE)</f>
        <v>L1</v>
      </c>
      <c r="O59" t="str">
        <f>VLOOKUP($C59, 고객정보!$A$2:$E$151, 5, FALSE)</f>
        <v>30대</v>
      </c>
      <c r="P59" t="str">
        <f>VLOOKUP(D59,상품정보!$A$2:$E$61,2,FALSE)</f>
        <v>셔츠</v>
      </c>
      <c r="Q59" t="str">
        <f>VLOOKUP(D59,상품정보!$A$2:$D$151,3,FALSE)</f>
        <v>의류</v>
      </c>
      <c r="R59" t="str">
        <f>VLOOKUP(D59,상품정보!$A$2:$D$151,4,FALSE)</f>
        <v>브랜드A</v>
      </c>
    </row>
    <row r="60" spans="1:18" x14ac:dyDescent="0.45">
      <c r="A60" t="s">
        <v>31</v>
      </c>
      <c r="B60" t="s">
        <v>459</v>
      </c>
      <c r="C60" t="s">
        <v>2421</v>
      </c>
      <c r="D60" t="s">
        <v>2588</v>
      </c>
      <c r="E60">
        <v>1</v>
      </c>
      <c r="F60">
        <v>7700</v>
      </c>
      <c r="G60">
        <v>1500</v>
      </c>
      <c r="H60">
        <v>0</v>
      </c>
      <c r="I60" t="s">
        <v>2652</v>
      </c>
      <c r="J60" s="4">
        <f t="shared" si="0"/>
        <v>9200</v>
      </c>
      <c r="K60" s="4" t="str">
        <f t="shared" si="1"/>
        <v>2024-04</v>
      </c>
      <c r="L60" s="4" t="str">
        <f t="shared" si="2"/>
        <v>토</v>
      </c>
      <c r="M60" s="2" t="str">
        <f>VLOOKUP($C60, 고객정보!$A$2:$E$151, 2, FALSE)</f>
        <v>부산</v>
      </c>
      <c r="N60" t="str">
        <f>VLOOKUP(C60,고객정보!$A$2:$D$151,4,FALSE)</f>
        <v>L3</v>
      </c>
      <c r="O60" t="str">
        <f>VLOOKUP($C60, 고객정보!$A$2:$E$151, 5, FALSE)</f>
        <v>30대</v>
      </c>
      <c r="P60" t="str">
        <f>VLOOKUP(D60,상품정보!$A$2:$E$61,2,FALSE)</f>
        <v>귀걸이</v>
      </c>
      <c r="Q60" t="str">
        <f>VLOOKUP(D60,상품정보!$A$2:$D$151,3,FALSE)</f>
        <v>액세서리</v>
      </c>
      <c r="R60" t="str">
        <f>VLOOKUP(D60,상품정보!$A$2:$D$151,4,FALSE)</f>
        <v>브랜드D</v>
      </c>
    </row>
    <row r="61" spans="1:18" x14ac:dyDescent="0.45">
      <c r="A61" t="s">
        <v>61</v>
      </c>
      <c r="B61" t="s">
        <v>460</v>
      </c>
      <c r="C61" t="s">
        <v>2416</v>
      </c>
      <c r="D61" t="s">
        <v>2590</v>
      </c>
      <c r="E61">
        <v>1</v>
      </c>
      <c r="F61">
        <v>68900</v>
      </c>
      <c r="G61">
        <v>500</v>
      </c>
      <c r="H61">
        <v>0</v>
      </c>
      <c r="I61" t="s">
        <v>2652</v>
      </c>
      <c r="J61" s="4">
        <f t="shared" si="0"/>
        <v>69400</v>
      </c>
      <c r="K61" s="4" t="str">
        <f t="shared" si="1"/>
        <v>2024-06</v>
      </c>
      <c r="L61" s="4" t="str">
        <f t="shared" si="2"/>
        <v>화</v>
      </c>
      <c r="M61" s="2" t="str">
        <f>VLOOKUP($C61, 고객정보!$A$2:$E$151, 2, FALSE)</f>
        <v>대구</v>
      </c>
      <c r="N61" t="str">
        <f>VLOOKUP(C61,고객정보!$A$2:$D$151,4,FALSE)</f>
        <v>L3</v>
      </c>
      <c r="O61" t="str">
        <f>VLOOKUP($C61, 고객정보!$A$2:$E$151, 5, FALSE)</f>
        <v>40대</v>
      </c>
      <c r="P61" t="str">
        <f>VLOOKUP(D61,상품정보!$A$2:$E$61,2,FALSE)</f>
        <v>반팔 티셔츠</v>
      </c>
      <c r="Q61" t="str">
        <f>VLOOKUP(D61,상품정보!$A$2:$D$151,3,FALSE)</f>
        <v>의류</v>
      </c>
      <c r="R61" t="str">
        <f>VLOOKUP(D61,상품정보!$A$2:$D$151,4,FALSE)</f>
        <v>브랜드A</v>
      </c>
    </row>
    <row r="62" spans="1:18" x14ac:dyDescent="0.45">
      <c r="A62" t="s">
        <v>14</v>
      </c>
      <c r="B62" t="s">
        <v>461</v>
      </c>
      <c r="C62" t="s">
        <v>2421</v>
      </c>
      <c r="D62" t="s">
        <v>2554</v>
      </c>
      <c r="E62">
        <v>2</v>
      </c>
      <c r="F62">
        <v>12100</v>
      </c>
      <c r="G62">
        <v>0</v>
      </c>
      <c r="H62">
        <v>0</v>
      </c>
      <c r="I62" t="s">
        <v>2652</v>
      </c>
      <c r="J62" s="4">
        <f t="shared" si="0"/>
        <v>24200</v>
      </c>
      <c r="K62" s="4" t="str">
        <f t="shared" si="1"/>
        <v>2024-05</v>
      </c>
      <c r="L62" s="4" t="str">
        <f t="shared" si="2"/>
        <v>수</v>
      </c>
      <c r="M62" s="2" t="str">
        <f>VLOOKUP($C62, 고객정보!$A$2:$E$151, 2, FALSE)</f>
        <v>부산</v>
      </c>
      <c r="N62" t="str">
        <f>VLOOKUP(C62,고객정보!$A$2:$D$151,4,FALSE)</f>
        <v>L3</v>
      </c>
      <c r="O62" t="str">
        <f>VLOOKUP($C62, 고객정보!$A$2:$E$151, 5, FALSE)</f>
        <v>30대</v>
      </c>
      <c r="P62" t="str">
        <f>VLOOKUP(D62,상품정보!$A$2:$E$61,2,FALSE)</f>
        <v>귀걸이</v>
      </c>
      <c r="Q62" t="str">
        <f>VLOOKUP(D62,상품정보!$A$2:$D$151,3,FALSE)</f>
        <v>액세서리</v>
      </c>
      <c r="R62" t="str">
        <f>VLOOKUP(D62,상품정보!$A$2:$D$151,4,FALSE)</f>
        <v>브랜드D</v>
      </c>
    </row>
    <row r="63" spans="1:18" x14ac:dyDescent="0.45">
      <c r="A63" t="s">
        <v>62</v>
      </c>
      <c r="B63" t="s">
        <v>462</v>
      </c>
      <c r="C63" t="s">
        <v>2452</v>
      </c>
      <c r="D63" t="s">
        <v>2572</v>
      </c>
      <c r="E63">
        <v>5</v>
      </c>
      <c r="F63">
        <v>61700</v>
      </c>
      <c r="G63">
        <v>2000</v>
      </c>
      <c r="H63">
        <v>0</v>
      </c>
      <c r="I63" t="s">
        <v>2652</v>
      </c>
      <c r="J63" s="4">
        <f t="shared" si="0"/>
        <v>310500</v>
      </c>
      <c r="K63" s="4" t="str">
        <f t="shared" si="1"/>
        <v>2024-03</v>
      </c>
      <c r="L63" s="4" t="str">
        <f t="shared" si="2"/>
        <v>금</v>
      </c>
      <c r="M63" s="2" t="str">
        <f>VLOOKUP($C63, 고객정보!$A$2:$E$151, 2, FALSE)</f>
        <v>서울</v>
      </c>
      <c r="N63" t="str">
        <f>VLOOKUP(C63,고객정보!$A$2:$D$151,4,FALSE)</f>
        <v>L3</v>
      </c>
      <c r="O63" t="str">
        <f>VLOOKUP($C63, 고객정보!$A$2:$E$151, 5, FALSE)</f>
        <v>30대</v>
      </c>
      <c r="P63" t="str">
        <f>VLOOKUP(D63,상품정보!$A$2:$E$61,2,FALSE)</f>
        <v>반팔 티셔츠</v>
      </c>
      <c r="Q63" t="str">
        <f>VLOOKUP(D63,상품정보!$A$2:$D$151,3,FALSE)</f>
        <v>의류</v>
      </c>
      <c r="R63" t="str">
        <f>VLOOKUP(D63,상품정보!$A$2:$D$151,4,FALSE)</f>
        <v>브랜드F</v>
      </c>
    </row>
    <row r="64" spans="1:18" x14ac:dyDescent="0.45">
      <c r="A64" t="s">
        <v>63</v>
      </c>
      <c r="B64" t="s">
        <v>463</v>
      </c>
      <c r="C64" t="s">
        <v>2453</v>
      </c>
      <c r="D64" t="s">
        <v>2563</v>
      </c>
      <c r="E64">
        <v>4</v>
      </c>
      <c r="F64">
        <v>6900</v>
      </c>
      <c r="G64">
        <v>500</v>
      </c>
      <c r="H64">
        <v>300</v>
      </c>
      <c r="I64" t="s">
        <v>2613</v>
      </c>
      <c r="J64" s="4">
        <f t="shared" si="0"/>
        <v>27800</v>
      </c>
      <c r="K64" s="4" t="str">
        <f t="shared" si="1"/>
        <v>2024-05</v>
      </c>
      <c r="L64" s="4" t="str">
        <f t="shared" si="2"/>
        <v>토</v>
      </c>
      <c r="M64" s="2" t="str">
        <f>VLOOKUP($C64, 고객정보!$A$2:$E$151, 2, FALSE)</f>
        <v>대구</v>
      </c>
      <c r="N64" t="str">
        <f>VLOOKUP(C64,고객정보!$A$2:$D$151,4,FALSE)</f>
        <v>L5</v>
      </c>
      <c r="O64" t="str">
        <f>VLOOKUP($C64, 고객정보!$A$2:$E$151, 5, FALSE)</f>
        <v>50대 이상</v>
      </c>
      <c r="P64" t="str">
        <f>VLOOKUP(D64,상품정보!$A$2:$E$61,2,FALSE)</f>
        <v>귀걸이</v>
      </c>
      <c r="Q64" t="str">
        <f>VLOOKUP(D64,상품정보!$A$2:$D$151,3,FALSE)</f>
        <v>액세서리</v>
      </c>
      <c r="R64" t="str">
        <f>VLOOKUP(D64,상품정보!$A$2:$D$151,4,FALSE)</f>
        <v>브랜드D</v>
      </c>
    </row>
    <row r="65" spans="1:18" x14ac:dyDescent="0.45">
      <c r="A65" t="s">
        <v>64</v>
      </c>
      <c r="B65" t="s">
        <v>464</v>
      </c>
      <c r="C65" t="s">
        <v>2446</v>
      </c>
      <c r="D65" t="s">
        <v>2570</v>
      </c>
      <c r="E65">
        <v>4</v>
      </c>
      <c r="F65">
        <v>73900</v>
      </c>
      <c r="G65">
        <v>0</v>
      </c>
      <c r="H65">
        <v>0</v>
      </c>
      <c r="I65" t="s">
        <v>2652</v>
      </c>
      <c r="J65" s="4">
        <f t="shared" si="0"/>
        <v>295600</v>
      </c>
      <c r="K65" s="4" t="str">
        <f t="shared" si="1"/>
        <v>2024-04</v>
      </c>
      <c r="L65" s="4" t="str">
        <f t="shared" si="2"/>
        <v>일</v>
      </c>
      <c r="M65" s="2" t="str">
        <f>VLOOKUP($C65, 고객정보!$A$2:$E$151, 2, FALSE)</f>
        <v>대전</v>
      </c>
      <c r="N65" t="str">
        <f>VLOOKUP(C65,고객정보!$A$2:$D$151,4,FALSE)</f>
        <v>L2</v>
      </c>
      <c r="O65" t="str">
        <f>VLOOKUP($C65, 고객정보!$A$2:$E$151, 5, FALSE)</f>
        <v>50대 이상</v>
      </c>
      <c r="P65" t="str">
        <f>VLOOKUP(D65,상품정보!$A$2:$E$61,2,FALSE)</f>
        <v>반지</v>
      </c>
      <c r="Q65" t="str">
        <f>VLOOKUP(D65,상품정보!$A$2:$D$151,3,FALSE)</f>
        <v>액세서리</v>
      </c>
      <c r="R65" t="str">
        <f>VLOOKUP(D65,상품정보!$A$2:$D$151,4,FALSE)</f>
        <v>브랜드B</v>
      </c>
    </row>
    <row r="66" spans="1:18" x14ac:dyDescent="0.45">
      <c r="A66" t="s">
        <v>26</v>
      </c>
      <c r="B66" t="s">
        <v>465</v>
      </c>
      <c r="C66" t="s">
        <v>2454</v>
      </c>
      <c r="D66" t="s">
        <v>2591</v>
      </c>
      <c r="E66">
        <v>4</v>
      </c>
      <c r="F66">
        <v>69200</v>
      </c>
      <c r="G66">
        <v>1000</v>
      </c>
      <c r="H66">
        <v>0</v>
      </c>
      <c r="I66" t="s">
        <v>2652</v>
      </c>
      <c r="J66" s="4">
        <f t="shared" si="0"/>
        <v>277800</v>
      </c>
      <c r="K66" s="4" t="str">
        <f t="shared" si="1"/>
        <v>2024-06</v>
      </c>
      <c r="L66" s="4" t="str">
        <f t="shared" si="2"/>
        <v>일</v>
      </c>
      <c r="M66" s="2" t="str">
        <f>VLOOKUP($C66, 고객정보!$A$2:$E$151, 2, FALSE)</f>
        <v>부산</v>
      </c>
      <c r="N66" t="str">
        <f>VLOOKUP(C66,고객정보!$A$2:$D$151,4,FALSE)</f>
        <v>L3</v>
      </c>
      <c r="O66" t="str">
        <f>VLOOKUP($C66, 고객정보!$A$2:$E$151, 5, FALSE)</f>
        <v>40대</v>
      </c>
      <c r="P66" t="str">
        <f>VLOOKUP(D66,상품정보!$A$2:$E$61,2,FALSE)</f>
        <v>셔츠</v>
      </c>
      <c r="Q66" t="str">
        <f>VLOOKUP(D66,상품정보!$A$2:$D$151,3,FALSE)</f>
        <v>의류</v>
      </c>
      <c r="R66" t="str">
        <f>VLOOKUP(D66,상품정보!$A$2:$D$151,4,FALSE)</f>
        <v>브랜드F</v>
      </c>
    </row>
    <row r="67" spans="1:18" x14ac:dyDescent="0.45">
      <c r="A67" t="s">
        <v>65</v>
      </c>
      <c r="B67" t="s">
        <v>466</v>
      </c>
      <c r="C67" t="s">
        <v>2409</v>
      </c>
      <c r="D67" t="s">
        <v>2592</v>
      </c>
      <c r="E67">
        <v>4</v>
      </c>
      <c r="F67">
        <v>72700</v>
      </c>
      <c r="G67">
        <v>0</v>
      </c>
      <c r="H67">
        <v>0</v>
      </c>
      <c r="I67" t="s">
        <v>2652</v>
      </c>
      <c r="J67" s="4">
        <f t="shared" ref="J67:J130" si="3">E67*F67+G67-H67</f>
        <v>290800</v>
      </c>
      <c r="K67" s="4" t="str">
        <f t="shared" ref="K67:K130" si="4">LEFT(A67,7)</f>
        <v>2025-01</v>
      </c>
      <c r="L67" s="4" t="str">
        <f t="shared" ref="L67:L130" si="5">TEXT(WEEKDAY(A67),"aaa")</f>
        <v>수</v>
      </c>
      <c r="M67" s="2" t="str">
        <f>VLOOKUP($C67, 고객정보!$A$2:$E$151, 2, FALSE)</f>
        <v>서울</v>
      </c>
      <c r="N67" t="str">
        <f>VLOOKUP(C67,고객정보!$A$2:$D$151,4,FALSE)</f>
        <v>L3</v>
      </c>
      <c r="O67" t="str">
        <f>VLOOKUP($C67, 고객정보!$A$2:$E$151, 5, FALSE)</f>
        <v>50대 이상</v>
      </c>
      <c r="P67" t="str">
        <f>VLOOKUP(D67,상품정보!$A$2:$E$61,2,FALSE)</f>
        <v>귀걸이</v>
      </c>
      <c r="Q67" t="str">
        <f>VLOOKUP(D67,상품정보!$A$2:$D$151,3,FALSE)</f>
        <v>액세서리</v>
      </c>
      <c r="R67" t="str">
        <f>VLOOKUP(D67,상품정보!$A$2:$D$151,4,FALSE)</f>
        <v>브랜드A</v>
      </c>
    </row>
    <row r="68" spans="1:18" x14ac:dyDescent="0.45">
      <c r="A68" t="s">
        <v>66</v>
      </c>
      <c r="B68" t="s">
        <v>467</v>
      </c>
      <c r="C68" t="s">
        <v>2455</v>
      </c>
      <c r="D68" t="s">
        <v>2579</v>
      </c>
      <c r="E68">
        <v>1</v>
      </c>
      <c r="F68">
        <v>51000</v>
      </c>
      <c r="G68">
        <v>500</v>
      </c>
      <c r="H68">
        <v>0</v>
      </c>
      <c r="I68" t="s">
        <v>2652</v>
      </c>
      <c r="J68" s="4">
        <f t="shared" si="3"/>
        <v>51500</v>
      </c>
      <c r="K68" s="4" t="str">
        <f t="shared" si="4"/>
        <v>2024-02</v>
      </c>
      <c r="L68" s="4" t="str">
        <f t="shared" si="5"/>
        <v>목</v>
      </c>
      <c r="M68" s="2" t="str">
        <f>VLOOKUP($C68, 고객정보!$A$2:$E$151, 2, FALSE)</f>
        <v>서울</v>
      </c>
      <c r="N68" t="str">
        <f>VLOOKUP(C68,고객정보!$A$2:$D$151,4,FALSE)</f>
        <v>L5</v>
      </c>
      <c r="O68" t="str">
        <f>VLOOKUP($C68, 고객정보!$A$2:$E$151, 5, FALSE)</f>
        <v>20대</v>
      </c>
      <c r="P68" t="str">
        <f>VLOOKUP(D68,상품정보!$A$2:$E$61,2,FALSE)</f>
        <v>핸드폰케이스</v>
      </c>
      <c r="Q68" t="str">
        <f>VLOOKUP(D68,상품정보!$A$2:$D$151,3,FALSE)</f>
        <v>액세서리</v>
      </c>
      <c r="R68" t="str">
        <f>VLOOKUP(D68,상품정보!$A$2:$D$151,4,FALSE)</f>
        <v>브랜드F</v>
      </c>
    </row>
    <row r="69" spans="1:18" x14ac:dyDescent="0.45">
      <c r="A69" t="s">
        <v>67</v>
      </c>
      <c r="B69" t="s">
        <v>468</v>
      </c>
      <c r="C69" t="s">
        <v>2456</v>
      </c>
      <c r="D69" t="s">
        <v>2586</v>
      </c>
      <c r="E69">
        <v>3</v>
      </c>
      <c r="F69">
        <v>73000</v>
      </c>
      <c r="G69">
        <v>0</v>
      </c>
      <c r="H69">
        <v>4900</v>
      </c>
      <c r="I69" t="s">
        <v>2611</v>
      </c>
      <c r="J69" s="4">
        <f t="shared" si="3"/>
        <v>214100</v>
      </c>
      <c r="K69" s="4" t="str">
        <f t="shared" si="4"/>
        <v>2024-02</v>
      </c>
      <c r="L69" s="4" t="str">
        <f t="shared" si="5"/>
        <v>일</v>
      </c>
      <c r="M69" s="2" t="str">
        <f>VLOOKUP($C69, 고객정보!$A$2:$E$151, 2, FALSE)</f>
        <v>대구</v>
      </c>
      <c r="N69" t="str">
        <f>VLOOKUP(C69,고객정보!$A$2:$D$151,4,FALSE)</f>
        <v>L3</v>
      </c>
      <c r="O69" t="str">
        <f>VLOOKUP($C69, 고객정보!$A$2:$E$151, 5, FALSE)</f>
        <v>30대</v>
      </c>
      <c r="P69" t="str">
        <f>VLOOKUP(D69,상품정보!$A$2:$E$61,2,FALSE)</f>
        <v>귀걸이</v>
      </c>
      <c r="Q69" t="str">
        <f>VLOOKUP(D69,상품정보!$A$2:$D$151,3,FALSE)</f>
        <v>액세서리</v>
      </c>
      <c r="R69" t="str">
        <f>VLOOKUP(D69,상품정보!$A$2:$D$151,4,FALSE)</f>
        <v>브랜드B</v>
      </c>
    </row>
    <row r="70" spans="1:18" x14ac:dyDescent="0.45">
      <c r="A70" t="s">
        <v>68</v>
      </c>
      <c r="B70" t="s">
        <v>469</v>
      </c>
      <c r="C70" t="s">
        <v>2427</v>
      </c>
      <c r="D70" t="s">
        <v>2555</v>
      </c>
      <c r="E70">
        <v>2</v>
      </c>
      <c r="F70">
        <v>8300</v>
      </c>
      <c r="G70">
        <v>500</v>
      </c>
      <c r="H70">
        <v>0</v>
      </c>
      <c r="I70" t="s">
        <v>2652</v>
      </c>
      <c r="J70" s="4">
        <f t="shared" si="3"/>
        <v>17100</v>
      </c>
      <c r="K70" s="4" t="str">
        <f t="shared" si="4"/>
        <v>2024-10</v>
      </c>
      <c r="L70" s="4" t="str">
        <f t="shared" si="5"/>
        <v>화</v>
      </c>
      <c r="M70" s="2" t="str">
        <f>VLOOKUP($C70, 고객정보!$A$2:$E$151, 2, FALSE)</f>
        <v>부산</v>
      </c>
      <c r="N70" t="str">
        <f>VLOOKUP(C70,고객정보!$A$2:$D$151,4,FALSE)</f>
        <v>L4</v>
      </c>
      <c r="O70" t="str">
        <f>VLOOKUP($C70, 고객정보!$A$2:$E$151, 5, FALSE)</f>
        <v>20대</v>
      </c>
      <c r="P70" t="str">
        <f>VLOOKUP(D70,상품정보!$A$2:$E$61,2,FALSE)</f>
        <v>청바지</v>
      </c>
      <c r="Q70" t="str">
        <f>VLOOKUP(D70,상품정보!$A$2:$D$151,3,FALSE)</f>
        <v>의류</v>
      </c>
      <c r="R70" t="str">
        <f>VLOOKUP(D70,상품정보!$A$2:$D$151,4,FALSE)</f>
        <v>브랜드E</v>
      </c>
    </row>
    <row r="71" spans="1:18" x14ac:dyDescent="0.45">
      <c r="A71" t="s">
        <v>69</v>
      </c>
      <c r="B71" t="s">
        <v>470</v>
      </c>
      <c r="C71" t="s">
        <v>2457</v>
      </c>
      <c r="D71" t="s">
        <v>2552</v>
      </c>
      <c r="E71">
        <v>4</v>
      </c>
      <c r="F71">
        <v>13300</v>
      </c>
      <c r="G71">
        <v>0</v>
      </c>
      <c r="H71">
        <v>600</v>
      </c>
      <c r="I71" t="s">
        <v>2611</v>
      </c>
      <c r="J71" s="4">
        <f t="shared" si="3"/>
        <v>52600</v>
      </c>
      <c r="K71" s="4" t="str">
        <f t="shared" si="4"/>
        <v>2024-04</v>
      </c>
      <c r="L71" s="4" t="str">
        <f t="shared" si="5"/>
        <v>수</v>
      </c>
      <c r="M71" s="2" t="str">
        <f>VLOOKUP($C71, 고객정보!$A$2:$E$151, 2, FALSE)</f>
        <v>인천</v>
      </c>
      <c r="N71" t="str">
        <f>VLOOKUP(C71,고객정보!$A$2:$D$151,4,FALSE)</f>
        <v>L4</v>
      </c>
      <c r="O71" t="str">
        <f>VLOOKUP($C71, 고객정보!$A$2:$E$151, 5, FALSE)</f>
        <v>50대 이상</v>
      </c>
      <c r="P71" t="str">
        <f>VLOOKUP(D71,상품정보!$A$2:$E$61,2,FALSE)</f>
        <v>셔츠</v>
      </c>
      <c r="Q71" t="str">
        <f>VLOOKUP(D71,상품정보!$A$2:$D$151,3,FALSE)</f>
        <v>의류</v>
      </c>
      <c r="R71" t="str">
        <f>VLOOKUP(D71,상품정보!$A$2:$D$151,4,FALSE)</f>
        <v>브랜드E</v>
      </c>
    </row>
    <row r="72" spans="1:18" x14ac:dyDescent="0.45">
      <c r="A72" t="s">
        <v>70</v>
      </c>
      <c r="B72" t="s">
        <v>471</v>
      </c>
      <c r="C72" t="s">
        <v>2458</v>
      </c>
      <c r="D72" t="s">
        <v>2581</v>
      </c>
      <c r="E72">
        <v>2</v>
      </c>
      <c r="F72">
        <v>72900</v>
      </c>
      <c r="G72">
        <v>0</v>
      </c>
      <c r="H72">
        <v>500</v>
      </c>
      <c r="I72" t="s">
        <v>2613</v>
      </c>
      <c r="J72" s="4">
        <f t="shared" si="3"/>
        <v>145300</v>
      </c>
      <c r="K72" s="4" t="str">
        <f t="shared" si="4"/>
        <v>2024-02</v>
      </c>
      <c r="L72" s="4" t="str">
        <f t="shared" si="5"/>
        <v>목</v>
      </c>
      <c r="M72" s="2" t="str">
        <f>VLOOKUP($C72, 고객정보!$A$2:$E$151, 2, FALSE)</f>
        <v>서울</v>
      </c>
      <c r="N72" t="str">
        <f>VLOOKUP(C72,고객정보!$A$2:$D$151,4,FALSE)</f>
        <v>L1</v>
      </c>
      <c r="O72" t="str">
        <f>VLOOKUP($C72, 고객정보!$A$2:$E$151, 5, FALSE)</f>
        <v>20대</v>
      </c>
      <c r="P72" t="str">
        <f>VLOOKUP(D72,상품정보!$A$2:$E$61,2,FALSE)</f>
        <v>귀걸이</v>
      </c>
      <c r="Q72" t="str">
        <f>VLOOKUP(D72,상품정보!$A$2:$D$151,3,FALSE)</f>
        <v>액세서리</v>
      </c>
      <c r="R72" t="str">
        <f>VLOOKUP(D72,상품정보!$A$2:$D$151,4,FALSE)</f>
        <v>브랜드F</v>
      </c>
    </row>
    <row r="73" spans="1:18" x14ac:dyDescent="0.45">
      <c r="A73" t="s">
        <v>71</v>
      </c>
      <c r="B73" t="s">
        <v>472</v>
      </c>
      <c r="C73" t="s">
        <v>2459</v>
      </c>
      <c r="D73" t="s">
        <v>2570</v>
      </c>
      <c r="E73">
        <v>5</v>
      </c>
      <c r="F73">
        <v>73900</v>
      </c>
      <c r="G73">
        <v>500</v>
      </c>
      <c r="H73">
        <v>0</v>
      </c>
      <c r="I73" t="s">
        <v>2652</v>
      </c>
      <c r="J73" s="4">
        <f t="shared" si="3"/>
        <v>370000</v>
      </c>
      <c r="K73" s="4" t="str">
        <f t="shared" si="4"/>
        <v>2024-02</v>
      </c>
      <c r="L73" s="4" t="str">
        <f t="shared" si="5"/>
        <v>화</v>
      </c>
      <c r="M73" s="2" t="str">
        <f>VLOOKUP($C73, 고객정보!$A$2:$E$151, 2, FALSE)</f>
        <v>광주</v>
      </c>
      <c r="N73" t="str">
        <f>VLOOKUP(C73,고객정보!$A$2:$D$151,4,FALSE)</f>
        <v>L4</v>
      </c>
      <c r="O73" t="str">
        <f>VLOOKUP($C73, 고객정보!$A$2:$E$151, 5, FALSE)</f>
        <v>50대 이상</v>
      </c>
      <c r="P73" t="str">
        <f>VLOOKUP(D73,상품정보!$A$2:$E$61,2,FALSE)</f>
        <v>반지</v>
      </c>
      <c r="Q73" t="str">
        <f>VLOOKUP(D73,상품정보!$A$2:$D$151,3,FALSE)</f>
        <v>액세서리</v>
      </c>
      <c r="R73" t="str">
        <f>VLOOKUP(D73,상품정보!$A$2:$D$151,4,FALSE)</f>
        <v>브랜드B</v>
      </c>
    </row>
    <row r="74" spans="1:18" x14ac:dyDescent="0.45">
      <c r="A74" t="s">
        <v>72</v>
      </c>
      <c r="B74" t="s">
        <v>473</v>
      </c>
      <c r="C74" t="s">
        <v>2431</v>
      </c>
      <c r="D74" t="s">
        <v>2593</v>
      </c>
      <c r="E74">
        <v>5</v>
      </c>
      <c r="F74">
        <v>74600</v>
      </c>
      <c r="G74">
        <v>500</v>
      </c>
      <c r="H74">
        <v>0</v>
      </c>
      <c r="I74" t="s">
        <v>2652</v>
      </c>
      <c r="J74" s="4">
        <f t="shared" si="3"/>
        <v>373500</v>
      </c>
      <c r="K74" s="4" t="str">
        <f t="shared" si="4"/>
        <v>2024-01</v>
      </c>
      <c r="L74" s="4" t="str">
        <f t="shared" si="5"/>
        <v>월</v>
      </c>
      <c r="M74" s="2" t="str">
        <f>VLOOKUP($C74, 고객정보!$A$2:$E$151, 2, FALSE)</f>
        <v>광주</v>
      </c>
      <c r="N74" t="str">
        <f>VLOOKUP(C74,고객정보!$A$2:$D$151,4,FALSE)</f>
        <v>L3</v>
      </c>
      <c r="O74" t="str">
        <f>VLOOKUP($C74, 고객정보!$A$2:$E$151, 5, FALSE)</f>
        <v>40대</v>
      </c>
      <c r="P74" t="str">
        <f>VLOOKUP(D74,상품정보!$A$2:$E$61,2,FALSE)</f>
        <v>반팔 티셔츠</v>
      </c>
      <c r="Q74" t="str">
        <f>VLOOKUP(D74,상품정보!$A$2:$D$151,3,FALSE)</f>
        <v>의류</v>
      </c>
      <c r="R74" t="str">
        <f>VLOOKUP(D74,상품정보!$A$2:$D$151,4,FALSE)</f>
        <v>브랜드B</v>
      </c>
    </row>
    <row r="75" spans="1:18" x14ac:dyDescent="0.45">
      <c r="A75" t="s">
        <v>73</v>
      </c>
      <c r="B75" t="s">
        <v>474</v>
      </c>
      <c r="C75" t="s">
        <v>2411</v>
      </c>
      <c r="D75" t="s">
        <v>2568</v>
      </c>
      <c r="E75">
        <v>2</v>
      </c>
      <c r="F75">
        <v>16800</v>
      </c>
      <c r="G75">
        <v>500</v>
      </c>
      <c r="H75">
        <v>1400</v>
      </c>
      <c r="I75" t="s">
        <v>2611</v>
      </c>
      <c r="J75" s="4">
        <f t="shared" si="3"/>
        <v>32700</v>
      </c>
      <c r="K75" s="4" t="str">
        <f t="shared" si="4"/>
        <v>2024-03</v>
      </c>
      <c r="L75" s="4" t="str">
        <f t="shared" si="5"/>
        <v>화</v>
      </c>
      <c r="M75" s="2" t="str">
        <f>VLOOKUP($C75, 고객정보!$A$2:$E$151, 2, FALSE)</f>
        <v>부산</v>
      </c>
      <c r="N75" t="str">
        <f>VLOOKUP(C75,고객정보!$A$2:$D$151,4,FALSE)</f>
        <v>L5</v>
      </c>
      <c r="O75" t="str">
        <f>VLOOKUP($C75, 고객정보!$A$2:$E$151, 5, FALSE)</f>
        <v>30대</v>
      </c>
      <c r="P75" t="str">
        <f>VLOOKUP(D75,상품정보!$A$2:$E$61,2,FALSE)</f>
        <v>청바지</v>
      </c>
      <c r="Q75" t="str">
        <f>VLOOKUP(D75,상품정보!$A$2:$D$151,3,FALSE)</f>
        <v>의류</v>
      </c>
      <c r="R75" t="str">
        <f>VLOOKUP(D75,상품정보!$A$2:$D$151,4,FALSE)</f>
        <v>브랜드C</v>
      </c>
    </row>
    <row r="76" spans="1:18" x14ac:dyDescent="0.45">
      <c r="A76" t="s">
        <v>74</v>
      </c>
      <c r="B76" t="s">
        <v>475</v>
      </c>
      <c r="C76" t="s">
        <v>2460</v>
      </c>
      <c r="D76" t="s">
        <v>2583</v>
      </c>
      <c r="E76">
        <v>4</v>
      </c>
      <c r="F76">
        <v>6600</v>
      </c>
      <c r="G76">
        <v>0</v>
      </c>
      <c r="H76">
        <v>15900</v>
      </c>
      <c r="I76" t="s">
        <v>2614</v>
      </c>
      <c r="J76" s="4">
        <f t="shared" si="3"/>
        <v>10500</v>
      </c>
      <c r="K76" s="4" t="str">
        <f t="shared" si="4"/>
        <v>2024-04</v>
      </c>
      <c r="L76" s="4" t="str">
        <f t="shared" si="5"/>
        <v>금</v>
      </c>
      <c r="M76" s="2" t="str">
        <f>VLOOKUP($C76, 고객정보!$A$2:$E$151, 2, FALSE)</f>
        <v>대전</v>
      </c>
      <c r="N76" t="str">
        <f>VLOOKUP(C76,고객정보!$A$2:$D$151,4,FALSE)</f>
        <v>L4</v>
      </c>
      <c r="O76" t="str">
        <f>VLOOKUP($C76, 고객정보!$A$2:$E$151, 5, FALSE)</f>
        <v>20대</v>
      </c>
      <c r="P76" t="str">
        <f>VLOOKUP(D76,상품정보!$A$2:$E$61,2,FALSE)</f>
        <v>셔츠</v>
      </c>
      <c r="Q76" t="str">
        <f>VLOOKUP(D76,상품정보!$A$2:$D$151,3,FALSE)</f>
        <v>의류</v>
      </c>
      <c r="R76" t="str">
        <f>VLOOKUP(D76,상품정보!$A$2:$D$151,4,FALSE)</f>
        <v>브랜드E</v>
      </c>
    </row>
    <row r="77" spans="1:18" x14ac:dyDescent="0.45">
      <c r="A77" t="s">
        <v>75</v>
      </c>
      <c r="B77" t="s">
        <v>476</v>
      </c>
      <c r="C77" t="s">
        <v>2461</v>
      </c>
      <c r="D77" t="s">
        <v>2590</v>
      </c>
      <c r="E77">
        <v>1</v>
      </c>
      <c r="F77">
        <v>68900</v>
      </c>
      <c r="G77">
        <v>0</v>
      </c>
      <c r="H77">
        <v>1900</v>
      </c>
      <c r="I77" t="s">
        <v>2613</v>
      </c>
      <c r="J77" s="4">
        <f t="shared" si="3"/>
        <v>67000</v>
      </c>
      <c r="K77" s="4" t="str">
        <f t="shared" si="4"/>
        <v>2024-03</v>
      </c>
      <c r="L77" s="4" t="str">
        <f t="shared" si="5"/>
        <v>월</v>
      </c>
      <c r="M77" s="2" t="str">
        <f>VLOOKUP($C77, 고객정보!$A$2:$E$151, 2, FALSE)</f>
        <v>부산</v>
      </c>
      <c r="N77" t="str">
        <f>VLOOKUP(C77,고객정보!$A$2:$D$151,4,FALSE)</f>
        <v>L2</v>
      </c>
      <c r="O77" t="str">
        <f>VLOOKUP($C77, 고객정보!$A$2:$E$151, 5, FALSE)</f>
        <v>40대</v>
      </c>
      <c r="P77" t="str">
        <f>VLOOKUP(D77,상품정보!$A$2:$E$61,2,FALSE)</f>
        <v>반팔 티셔츠</v>
      </c>
      <c r="Q77" t="str">
        <f>VLOOKUP(D77,상품정보!$A$2:$D$151,3,FALSE)</f>
        <v>의류</v>
      </c>
      <c r="R77" t="str">
        <f>VLOOKUP(D77,상품정보!$A$2:$D$151,4,FALSE)</f>
        <v>브랜드A</v>
      </c>
    </row>
    <row r="78" spans="1:18" x14ac:dyDescent="0.45">
      <c r="A78" t="s">
        <v>55</v>
      </c>
      <c r="B78" t="s">
        <v>477</v>
      </c>
      <c r="C78" t="s">
        <v>2418</v>
      </c>
      <c r="D78" t="s">
        <v>2594</v>
      </c>
      <c r="E78">
        <v>4</v>
      </c>
      <c r="F78">
        <v>73000</v>
      </c>
      <c r="G78">
        <v>1500</v>
      </c>
      <c r="H78">
        <v>21500</v>
      </c>
      <c r="I78" t="s">
        <v>2611</v>
      </c>
      <c r="J78" s="4">
        <f t="shared" si="3"/>
        <v>272000</v>
      </c>
      <c r="K78" s="4" t="str">
        <f t="shared" si="4"/>
        <v>2024-05</v>
      </c>
      <c r="L78" s="4" t="str">
        <f t="shared" si="5"/>
        <v>수</v>
      </c>
      <c r="M78" s="2" t="str">
        <f>VLOOKUP($C78, 고객정보!$A$2:$E$151, 2, FALSE)</f>
        <v>부산</v>
      </c>
      <c r="N78" t="str">
        <f>VLOOKUP(C78,고객정보!$A$2:$D$151,4,FALSE)</f>
        <v>L5</v>
      </c>
      <c r="O78" t="str">
        <f>VLOOKUP($C78, 고객정보!$A$2:$E$151, 5, FALSE)</f>
        <v>30대</v>
      </c>
      <c r="P78" t="str">
        <f>VLOOKUP(D78,상품정보!$A$2:$E$61,2,FALSE)</f>
        <v>자켓</v>
      </c>
      <c r="Q78" t="str">
        <f>VLOOKUP(D78,상품정보!$A$2:$D$151,3,FALSE)</f>
        <v>의류</v>
      </c>
      <c r="R78" t="str">
        <f>VLOOKUP(D78,상품정보!$A$2:$D$151,4,FALSE)</f>
        <v>브랜드A</v>
      </c>
    </row>
    <row r="79" spans="1:18" x14ac:dyDescent="0.45">
      <c r="A79" t="s">
        <v>76</v>
      </c>
      <c r="B79" t="s">
        <v>478</v>
      </c>
      <c r="C79" t="s">
        <v>2462</v>
      </c>
      <c r="D79" t="s">
        <v>2595</v>
      </c>
      <c r="E79">
        <v>4</v>
      </c>
      <c r="F79">
        <v>12700</v>
      </c>
      <c r="G79">
        <v>0</v>
      </c>
      <c r="H79">
        <v>0</v>
      </c>
      <c r="I79" t="s">
        <v>2652</v>
      </c>
      <c r="J79" s="4">
        <f t="shared" si="3"/>
        <v>50800</v>
      </c>
      <c r="K79" s="4" t="str">
        <f t="shared" si="4"/>
        <v>2024-12</v>
      </c>
      <c r="L79" s="4" t="str">
        <f t="shared" si="5"/>
        <v>일</v>
      </c>
      <c r="M79" s="2" t="str">
        <f>VLOOKUP($C79, 고객정보!$A$2:$E$151, 2, FALSE)</f>
        <v>광주</v>
      </c>
      <c r="N79" t="str">
        <f>VLOOKUP(C79,고객정보!$A$2:$D$151,4,FALSE)</f>
        <v>L5</v>
      </c>
      <c r="O79" t="str">
        <f>VLOOKUP($C79, 고객정보!$A$2:$E$151, 5, FALSE)</f>
        <v>50대 이상</v>
      </c>
      <c r="P79" t="str">
        <f>VLOOKUP(D79,상품정보!$A$2:$E$61,2,FALSE)</f>
        <v>반지</v>
      </c>
      <c r="Q79" t="str">
        <f>VLOOKUP(D79,상품정보!$A$2:$D$151,3,FALSE)</f>
        <v>액세서리</v>
      </c>
      <c r="R79" t="str">
        <f>VLOOKUP(D79,상품정보!$A$2:$D$151,4,FALSE)</f>
        <v>브랜드C</v>
      </c>
    </row>
    <row r="80" spans="1:18" x14ac:dyDescent="0.45">
      <c r="A80" t="s">
        <v>16</v>
      </c>
      <c r="B80" t="s">
        <v>479</v>
      </c>
      <c r="C80" t="s">
        <v>2463</v>
      </c>
      <c r="D80" t="s">
        <v>2567</v>
      </c>
      <c r="E80">
        <v>4</v>
      </c>
      <c r="F80">
        <v>58600</v>
      </c>
      <c r="G80">
        <v>0</v>
      </c>
      <c r="H80">
        <v>0</v>
      </c>
      <c r="I80" t="s">
        <v>2652</v>
      </c>
      <c r="J80" s="4">
        <f t="shared" si="3"/>
        <v>234400</v>
      </c>
      <c r="K80" s="4" t="str">
        <f t="shared" si="4"/>
        <v>2024-03</v>
      </c>
      <c r="L80" s="4" t="str">
        <f t="shared" si="5"/>
        <v>수</v>
      </c>
      <c r="M80" s="2" t="str">
        <f>VLOOKUP($C80, 고객정보!$A$2:$E$151, 2, FALSE)</f>
        <v>대구</v>
      </c>
      <c r="N80" t="str">
        <f>VLOOKUP(C80,고객정보!$A$2:$D$151,4,FALSE)</f>
        <v>L4</v>
      </c>
      <c r="O80" t="str">
        <f>VLOOKUP($C80, 고객정보!$A$2:$E$151, 5, FALSE)</f>
        <v>20대</v>
      </c>
      <c r="P80" t="str">
        <f>VLOOKUP(D80,상품정보!$A$2:$E$61,2,FALSE)</f>
        <v>귀걸이</v>
      </c>
      <c r="Q80" t="str">
        <f>VLOOKUP(D80,상품정보!$A$2:$D$151,3,FALSE)</f>
        <v>액세서리</v>
      </c>
      <c r="R80" t="str">
        <f>VLOOKUP(D80,상품정보!$A$2:$D$151,4,FALSE)</f>
        <v>브랜드B</v>
      </c>
    </row>
    <row r="81" spans="1:18" x14ac:dyDescent="0.45">
      <c r="A81" t="s">
        <v>77</v>
      </c>
      <c r="B81" t="s">
        <v>480</v>
      </c>
      <c r="C81" t="s">
        <v>2464</v>
      </c>
      <c r="D81" t="s">
        <v>2595</v>
      </c>
      <c r="E81">
        <v>2</v>
      </c>
      <c r="F81">
        <v>12700</v>
      </c>
      <c r="G81">
        <v>1000</v>
      </c>
      <c r="H81">
        <v>0</v>
      </c>
      <c r="I81" t="s">
        <v>2652</v>
      </c>
      <c r="J81" s="4">
        <f t="shared" si="3"/>
        <v>26400</v>
      </c>
      <c r="K81" s="4" t="str">
        <f t="shared" si="4"/>
        <v>2024-01</v>
      </c>
      <c r="L81" s="4" t="str">
        <f t="shared" si="5"/>
        <v>화</v>
      </c>
      <c r="M81" s="2" t="str">
        <f>VLOOKUP($C81, 고객정보!$A$2:$E$151, 2, FALSE)</f>
        <v>대구</v>
      </c>
      <c r="N81" t="str">
        <f>VLOOKUP(C81,고객정보!$A$2:$D$151,4,FALSE)</f>
        <v>L1</v>
      </c>
      <c r="O81" t="str">
        <f>VLOOKUP($C81, 고객정보!$A$2:$E$151, 5, FALSE)</f>
        <v>20대</v>
      </c>
      <c r="P81" t="str">
        <f>VLOOKUP(D81,상품정보!$A$2:$E$61,2,FALSE)</f>
        <v>반지</v>
      </c>
      <c r="Q81" t="str">
        <f>VLOOKUP(D81,상품정보!$A$2:$D$151,3,FALSE)</f>
        <v>액세서리</v>
      </c>
      <c r="R81" t="str">
        <f>VLOOKUP(D81,상품정보!$A$2:$D$151,4,FALSE)</f>
        <v>브랜드C</v>
      </c>
    </row>
    <row r="82" spans="1:18" x14ac:dyDescent="0.45">
      <c r="A82" t="s">
        <v>66</v>
      </c>
      <c r="B82" t="s">
        <v>481</v>
      </c>
      <c r="C82" t="s">
        <v>2465</v>
      </c>
      <c r="D82" t="s">
        <v>2574</v>
      </c>
      <c r="E82">
        <v>5</v>
      </c>
      <c r="F82">
        <v>8600</v>
      </c>
      <c r="G82">
        <v>0</v>
      </c>
      <c r="H82">
        <v>1400</v>
      </c>
      <c r="I82" t="s">
        <v>2613</v>
      </c>
      <c r="J82" s="4">
        <f t="shared" si="3"/>
        <v>41600</v>
      </c>
      <c r="K82" s="4" t="str">
        <f t="shared" si="4"/>
        <v>2024-02</v>
      </c>
      <c r="L82" s="4" t="str">
        <f t="shared" si="5"/>
        <v>목</v>
      </c>
      <c r="M82" s="2" t="str">
        <f>VLOOKUP($C82, 고객정보!$A$2:$E$151, 2, FALSE)</f>
        <v>서울</v>
      </c>
      <c r="N82" t="str">
        <f>VLOOKUP(C82,고객정보!$A$2:$D$151,4,FALSE)</f>
        <v>L1</v>
      </c>
      <c r="O82" t="str">
        <f>VLOOKUP($C82, 고객정보!$A$2:$E$151, 5, FALSE)</f>
        <v>20대</v>
      </c>
      <c r="P82" t="str">
        <f>VLOOKUP(D82,상품정보!$A$2:$E$61,2,FALSE)</f>
        <v>셔츠</v>
      </c>
      <c r="Q82" t="str">
        <f>VLOOKUP(D82,상품정보!$A$2:$D$151,3,FALSE)</f>
        <v>의류</v>
      </c>
      <c r="R82" t="str">
        <f>VLOOKUP(D82,상품정보!$A$2:$D$151,4,FALSE)</f>
        <v>브랜드D</v>
      </c>
    </row>
    <row r="83" spans="1:18" x14ac:dyDescent="0.45">
      <c r="A83" t="s">
        <v>78</v>
      </c>
      <c r="B83" t="s">
        <v>482</v>
      </c>
      <c r="C83" t="s">
        <v>2426</v>
      </c>
      <c r="D83" t="s">
        <v>2596</v>
      </c>
      <c r="E83">
        <v>1</v>
      </c>
      <c r="F83">
        <v>59700</v>
      </c>
      <c r="G83">
        <v>1500</v>
      </c>
      <c r="H83">
        <v>0</v>
      </c>
      <c r="I83" t="s">
        <v>2652</v>
      </c>
      <c r="J83" s="4">
        <f t="shared" si="3"/>
        <v>61200</v>
      </c>
      <c r="K83" s="4" t="str">
        <f t="shared" si="4"/>
        <v>2024-10</v>
      </c>
      <c r="L83" s="4" t="str">
        <f t="shared" si="5"/>
        <v>토</v>
      </c>
      <c r="M83" s="2" t="str">
        <f>VLOOKUP($C83, 고객정보!$A$2:$E$151, 2, FALSE)</f>
        <v>대전</v>
      </c>
      <c r="N83" t="str">
        <f>VLOOKUP(C83,고객정보!$A$2:$D$151,4,FALSE)</f>
        <v>L5</v>
      </c>
      <c r="O83" t="str">
        <f>VLOOKUP($C83, 고객정보!$A$2:$E$151, 5, FALSE)</f>
        <v>30대</v>
      </c>
      <c r="P83" t="str">
        <f>VLOOKUP(D83,상품정보!$A$2:$E$61,2,FALSE)</f>
        <v>청바지</v>
      </c>
      <c r="Q83" t="str">
        <f>VLOOKUP(D83,상품정보!$A$2:$D$151,3,FALSE)</f>
        <v>의류</v>
      </c>
      <c r="R83" t="str">
        <f>VLOOKUP(D83,상품정보!$A$2:$D$151,4,FALSE)</f>
        <v>브랜드A</v>
      </c>
    </row>
    <row r="84" spans="1:18" x14ac:dyDescent="0.45">
      <c r="A84" t="s">
        <v>79</v>
      </c>
      <c r="B84" t="s">
        <v>483</v>
      </c>
      <c r="C84" t="s">
        <v>2466</v>
      </c>
      <c r="D84" t="s">
        <v>2554</v>
      </c>
      <c r="E84">
        <v>5</v>
      </c>
      <c r="F84">
        <v>12100</v>
      </c>
      <c r="G84">
        <v>0</v>
      </c>
      <c r="H84">
        <v>0</v>
      </c>
      <c r="I84" t="s">
        <v>2652</v>
      </c>
      <c r="J84" s="4">
        <f t="shared" si="3"/>
        <v>60500</v>
      </c>
      <c r="K84" s="4" t="str">
        <f t="shared" si="4"/>
        <v>2024-03</v>
      </c>
      <c r="L84" s="4" t="str">
        <f t="shared" si="5"/>
        <v>목</v>
      </c>
      <c r="M84" s="2" t="str">
        <f>VLOOKUP($C84, 고객정보!$A$2:$E$151, 2, FALSE)</f>
        <v>부산</v>
      </c>
      <c r="N84" t="str">
        <f>VLOOKUP(C84,고객정보!$A$2:$D$151,4,FALSE)</f>
        <v>L2</v>
      </c>
      <c r="O84" t="str">
        <f>VLOOKUP($C84, 고객정보!$A$2:$E$151, 5, FALSE)</f>
        <v>50대 이상</v>
      </c>
      <c r="P84" t="str">
        <f>VLOOKUP(D84,상품정보!$A$2:$E$61,2,FALSE)</f>
        <v>귀걸이</v>
      </c>
      <c r="Q84" t="str">
        <f>VLOOKUP(D84,상품정보!$A$2:$D$151,3,FALSE)</f>
        <v>액세서리</v>
      </c>
      <c r="R84" t="str">
        <f>VLOOKUP(D84,상품정보!$A$2:$D$151,4,FALSE)</f>
        <v>브랜드D</v>
      </c>
    </row>
    <row r="85" spans="1:18" x14ac:dyDescent="0.45">
      <c r="A85" t="s">
        <v>80</v>
      </c>
      <c r="B85" t="s">
        <v>484</v>
      </c>
      <c r="C85" t="s">
        <v>2443</v>
      </c>
      <c r="D85" t="s">
        <v>2554</v>
      </c>
      <c r="E85">
        <v>1</v>
      </c>
      <c r="F85">
        <v>12100</v>
      </c>
      <c r="G85">
        <v>0</v>
      </c>
      <c r="H85">
        <v>0</v>
      </c>
      <c r="I85" t="s">
        <v>2652</v>
      </c>
      <c r="J85" s="4">
        <f t="shared" si="3"/>
        <v>12100</v>
      </c>
      <c r="K85" s="4" t="str">
        <f t="shared" si="4"/>
        <v>2024-04</v>
      </c>
      <c r="L85" s="4" t="str">
        <f t="shared" si="5"/>
        <v>금</v>
      </c>
      <c r="M85" s="2" t="str">
        <f>VLOOKUP($C85, 고객정보!$A$2:$E$151, 2, FALSE)</f>
        <v>서울</v>
      </c>
      <c r="N85" t="str">
        <f>VLOOKUP(C85,고객정보!$A$2:$D$151,4,FALSE)</f>
        <v>L4</v>
      </c>
      <c r="O85" t="str">
        <f>VLOOKUP($C85, 고객정보!$A$2:$E$151, 5, FALSE)</f>
        <v>30대</v>
      </c>
      <c r="P85" t="str">
        <f>VLOOKUP(D85,상품정보!$A$2:$E$61,2,FALSE)</f>
        <v>귀걸이</v>
      </c>
      <c r="Q85" t="str">
        <f>VLOOKUP(D85,상품정보!$A$2:$D$151,3,FALSE)</f>
        <v>액세서리</v>
      </c>
      <c r="R85" t="str">
        <f>VLOOKUP(D85,상품정보!$A$2:$D$151,4,FALSE)</f>
        <v>브랜드D</v>
      </c>
    </row>
    <row r="86" spans="1:18" x14ac:dyDescent="0.45">
      <c r="A86" t="s">
        <v>81</v>
      </c>
      <c r="B86" t="s">
        <v>485</v>
      </c>
      <c r="C86" t="s">
        <v>2416</v>
      </c>
      <c r="D86" t="s">
        <v>2560</v>
      </c>
      <c r="E86">
        <v>1</v>
      </c>
      <c r="F86">
        <v>60600</v>
      </c>
      <c r="G86">
        <v>0</v>
      </c>
      <c r="H86">
        <v>0</v>
      </c>
      <c r="I86" t="s">
        <v>2652</v>
      </c>
      <c r="J86" s="4">
        <f t="shared" si="3"/>
        <v>60600</v>
      </c>
      <c r="K86" s="4" t="str">
        <f t="shared" si="4"/>
        <v>2024-12</v>
      </c>
      <c r="L86" s="4" t="str">
        <f t="shared" si="5"/>
        <v>수</v>
      </c>
      <c r="M86" s="2" t="str">
        <f>VLOOKUP($C86, 고객정보!$A$2:$E$151, 2, FALSE)</f>
        <v>대구</v>
      </c>
      <c r="N86" t="str">
        <f>VLOOKUP(C86,고객정보!$A$2:$D$151,4,FALSE)</f>
        <v>L3</v>
      </c>
      <c r="O86" t="str">
        <f>VLOOKUP($C86, 고객정보!$A$2:$E$151, 5, FALSE)</f>
        <v>40대</v>
      </c>
      <c r="P86" t="str">
        <f>VLOOKUP(D86,상품정보!$A$2:$E$61,2,FALSE)</f>
        <v>반팔 티셔츠</v>
      </c>
      <c r="Q86" t="str">
        <f>VLOOKUP(D86,상품정보!$A$2:$D$151,3,FALSE)</f>
        <v>의류</v>
      </c>
      <c r="R86" t="str">
        <f>VLOOKUP(D86,상품정보!$A$2:$D$151,4,FALSE)</f>
        <v>브랜드F</v>
      </c>
    </row>
    <row r="87" spans="1:18" x14ac:dyDescent="0.45">
      <c r="A87" t="s">
        <v>82</v>
      </c>
      <c r="B87" t="s">
        <v>486</v>
      </c>
      <c r="C87" t="s">
        <v>2467</v>
      </c>
      <c r="D87" t="s">
        <v>2575</v>
      </c>
      <c r="E87">
        <v>1</v>
      </c>
      <c r="F87">
        <v>7200</v>
      </c>
      <c r="G87">
        <v>0</v>
      </c>
      <c r="H87">
        <v>0</v>
      </c>
      <c r="I87" t="s">
        <v>2652</v>
      </c>
      <c r="J87" s="4">
        <f t="shared" si="3"/>
        <v>7200</v>
      </c>
      <c r="K87" s="4" t="str">
        <f t="shared" si="4"/>
        <v>2024-10</v>
      </c>
      <c r="L87" s="4" t="str">
        <f t="shared" si="5"/>
        <v>금</v>
      </c>
      <c r="M87" s="2" t="str">
        <f>VLOOKUP($C87, 고객정보!$A$2:$E$151, 2, FALSE)</f>
        <v>부산</v>
      </c>
      <c r="N87" t="str">
        <f>VLOOKUP(C87,고객정보!$A$2:$D$151,4,FALSE)</f>
        <v>L4</v>
      </c>
      <c r="O87" t="str">
        <f>VLOOKUP($C87, 고객정보!$A$2:$E$151, 5, FALSE)</f>
        <v>20대</v>
      </c>
      <c r="P87" t="str">
        <f>VLOOKUP(D87,상품정보!$A$2:$E$61,2,FALSE)</f>
        <v>반지</v>
      </c>
      <c r="Q87" t="str">
        <f>VLOOKUP(D87,상품정보!$A$2:$D$151,3,FALSE)</f>
        <v>액세서리</v>
      </c>
      <c r="R87" t="str">
        <f>VLOOKUP(D87,상품정보!$A$2:$D$151,4,FALSE)</f>
        <v>브랜드E</v>
      </c>
    </row>
    <row r="88" spans="1:18" x14ac:dyDescent="0.45">
      <c r="A88" t="s">
        <v>83</v>
      </c>
      <c r="B88" t="s">
        <v>487</v>
      </c>
      <c r="C88" t="s">
        <v>2427</v>
      </c>
      <c r="D88" t="s">
        <v>2589</v>
      </c>
      <c r="E88">
        <v>5</v>
      </c>
      <c r="F88">
        <v>71400</v>
      </c>
      <c r="G88">
        <v>1000</v>
      </c>
      <c r="H88">
        <v>19800</v>
      </c>
      <c r="I88" t="s">
        <v>2614</v>
      </c>
      <c r="J88" s="4">
        <f t="shared" si="3"/>
        <v>338200</v>
      </c>
      <c r="K88" s="4" t="str">
        <f t="shared" si="4"/>
        <v>2024-01</v>
      </c>
      <c r="L88" s="4" t="str">
        <f t="shared" si="5"/>
        <v>일</v>
      </c>
      <c r="M88" s="2" t="str">
        <f>VLOOKUP($C88, 고객정보!$A$2:$E$151, 2, FALSE)</f>
        <v>부산</v>
      </c>
      <c r="N88" t="str">
        <f>VLOOKUP(C88,고객정보!$A$2:$D$151,4,FALSE)</f>
        <v>L4</v>
      </c>
      <c r="O88" t="str">
        <f>VLOOKUP($C88, 고객정보!$A$2:$E$151, 5, FALSE)</f>
        <v>20대</v>
      </c>
      <c r="P88" t="str">
        <f>VLOOKUP(D88,상품정보!$A$2:$E$61,2,FALSE)</f>
        <v>셔츠</v>
      </c>
      <c r="Q88" t="str">
        <f>VLOOKUP(D88,상품정보!$A$2:$D$151,3,FALSE)</f>
        <v>의류</v>
      </c>
      <c r="R88" t="str">
        <f>VLOOKUP(D88,상품정보!$A$2:$D$151,4,FALSE)</f>
        <v>브랜드A</v>
      </c>
    </row>
    <row r="89" spans="1:18" x14ac:dyDescent="0.45">
      <c r="A89" t="s">
        <v>84</v>
      </c>
      <c r="B89" t="s">
        <v>488</v>
      </c>
      <c r="C89" t="s">
        <v>2414</v>
      </c>
      <c r="D89" t="s">
        <v>2592</v>
      </c>
      <c r="E89">
        <v>5</v>
      </c>
      <c r="F89">
        <v>72700</v>
      </c>
      <c r="G89">
        <v>500</v>
      </c>
      <c r="H89">
        <v>0</v>
      </c>
      <c r="I89" t="s">
        <v>2652</v>
      </c>
      <c r="J89" s="4">
        <f t="shared" si="3"/>
        <v>364000</v>
      </c>
      <c r="K89" s="4" t="str">
        <f t="shared" si="4"/>
        <v>2024-10</v>
      </c>
      <c r="L89" s="4" t="str">
        <f t="shared" si="5"/>
        <v>수</v>
      </c>
      <c r="M89" s="2" t="str">
        <f>VLOOKUP($C89, 고객정보!$A$2:$E$151, 2, FALSE)</f>
        <v>대구</v>
      </c>
      <c r="N89" t="str">
        <f>VLOOKUP(C89,고객정보!$A$2:$D$151,4,FALSE)</f>
        <v>L3</v>
      </c>
      <c r="O89" t="str">
        <f>VLOOKUP($C89, 고객정보!$A$2:$E$151, 5, FALSE)</f>
        <v>30대</v>
      </c>
      <c r="P89" t="str">
        <f>VLOOKUP(D89,상품정보!$A$2:$E$61,2,FALSE)</f>
        <v>귀걸이</v>
      </c>
      <c r="Q89" t="str">
        <f>VLOOKUP(D89,상품정보!$A$2:$D$151,3,FALSE)</f>
        <v>액세서리</v>
      </c>
      <c r="R89" t="str">
        <f>VLOOKUP(D89,상품정보!$A$2:$D$151,4,FALSE)</f>
        <v>브랜드A</v>
      </c>
    </row>
    <row r="90" spans="1:18" x14ac:dyDescent="0.45">
      <c r="A90" t="s">
        <v>85</v>
      </c>
      <c r="B90" t="s">
        <v>489</v>
      </c>
      <c r="C90" t="s">
        <v>2468</v>
      </c>
      <c r="D90" t="s">
        <v>2597</v>
      </c>
      <c r="E90">
        <v>3</v>
      </c>
      <c r="F90">
        <v>65300</v>
      </c>
      <c r="G90">
        <v>0</v>
      </c>
      <c r="H90">
        <v>2000</v>
      </c>
      <c r="I90" t="s">
        <v>2611</v>
      </c>
      <c r="J90" s="4">
        <f t="shared" si="3"/>
        <v>193900</v>
      </c>
      <c r="K90" s="4" t="str">
        <f t="shared" si="4"/>
        <v>2024-04</v>
      </c>
      <c r="L90" s="4" t="str">
        <f t="shared" si="5"/>
        <v>일</v>
      </c>
      <c r="M90" s="2" t="str">
        <f>VLOOKUP($C90, 고객정보!$A$2:$E$151, 2, FALSE)</f>
        <v>부산</v>
      </c>
      <c r="N90" t="str">
        <f>VLOOKUP(C90,고객정보!$A$2:$D$151,4,FALSE)</f>
        <v>L5</v>
      </c>
      <c r="O90" t="str">
        <f>VLOOKUP($C90, 고객정보!$A$2:$E$151, 5, FALSE)</f>
        <v>20대</v>
      </c>
      <c r="P90" t="str">
        <f>VLOOKUP(D90,상품정보!$A$2:$E$61,2,FALSE)</f>
        <v>반지</v>
      </c>
      <c r="Q90" t="str">
        <f>VLOOKUP(D90,상품정보!$A$2:$D$151,3,FALSE)</f>
        <v>액세서리</v>
      </c>
      <c r="R90" t="str">
        <f>VLOOKUP(D90,상품정보!$A$2:$D$151,4,FALSE)</f>
        <v>브랜드F</v>
      </c>
    </row>
    <row r="91" spans="1:18" x14ac:dyDescent="0.45">
      <c r="A91" t="s">
        <v>34</v>
      </c>
      <c r="B91" t="s">
        <v>490</v>
      </c>
      <c r="C91" t="s">
        <v>2426</v>
      </c>
      <c r="D91" t="s">
        <v>2585</v>
      </c>
      <c r="E91">
        <v>3</v>
      </c>
      <c r="F91">
        <v>14900</v>
      </c>
      <c r="G91">
        <v>500</v>
      </c>
      <c r="H91">
        <v>0</v>
      </c>
      <c r="I91" t="s">
        <v>2652</v>
      </c>
      <c r="J91" s="4">
        <f t="shared" si="3"/>
        <v>45200</v>
      </c>
      <c r="K91" s="4" t="str">
        <f t="shared" si="4"/>
        <v>2024-07</v>
      </c>
      <c r="L91" s="4" t="str">
        <f t="shared" si="5"/>
        <v>일</v>
      </c>
      <c r="M91" s="2" t="str">
        <f>VLOOKUP($C91, 고객정보!$A$2:$E$151, 2, FALSE)</f>
        <v>대전</v>
      </c>
      <c r="N91" t="str">
        <f>VLOOKUP(C91,고객정보!$A$2:$D$151,4,FALSE)</f>
        <v>L5</v>
      </c>
      <c r="O91" t="str">
        <f>VLOOKUP($C91, 고객정보!$A$2:$E$151, 5, FALSE)</f>
        <v>30대</v>
      </c>
      <c r="P91" t="str">
        <f>VLOOKUP(D91,상품정보!$A$2:$E$61,2,FALSE)</f>
        <v>반팔 티셔츠</v>
      </c>
      <c r="Q91" t="str">
        <f>VLOOKUP(D91,상품정보!$A$2:$D$151,3,FALSE)</f>
        <v>의류</v>
      </c>
      <c r="R91" t="str">
        <f>VLOOKUP(D91,상품정보!$A$2:$D$151,4,FALSE)</f>
        <v>브랜드C</v>
      </c>
    </row>
    <row r="92" spans="1:18" x14ac:dyDescent="0.45">
      <c r="A92" t="s">
        <v>86</v>
      </c>
      <c r="B92" t="s">
        <v>491</v>
      </c>
      <c r="C92" t="s">
        <v>2469</v>
      </c>
      <c r="D92" t="s">
        <v>2567</v>
      </c>
      <c r="E92">
        <v>3</v>
      </c>
      <c r="F92">
        <v>58600</v>
      </c>
      <c r="G92">
        <v>0</v>
      </c>
      <c r="H92">
        <v>0</v>
      </c>
      <c r="I92" t="s">
        <v>2652</v>
      </c>
      <c r="J92" s="4">
        <f t="shared" si="3"/>
        <v>175800</v>
      </c>
      <c r="K92" s="4" t="str">
        <f t="shared" si="4"/>
        <v>2024-08</v>
      </c>
      <c r="L92" s="4" t="str">
        <f t="shared" si="5"/>
        <v>목</v>
      </c>
      <c r="M92" s="2" t="str">
        <f>VLOOKUP($C92, 고객정보!$A$2:$E$151, 2, FALSE)</f>
        <v>수원</v>
      </c>
      <c r="N92" t="str">
        <f>VLOOKUP(C92,고객정보!$A$2:$D$151,4,FALSE)</f>
        <v>L5</v>
      </c>
      <c r="O92" t="str">
        <f>VLOOKUP($C92, 고객정보!$A$2:$E$151, 5, FALSE)</f>
        <v>20대</v>
      </c>
      <c r="P92" t="str">
        <f>VLOOKUP(D92,상품정보!$A$2:$E$61,2,FALSE)</f>
        <v>귀걸이</v>
      </c>
      <c r="Q92" t="str">
        <f>VLOOKUP(D92,상품정보!$A$2:$D$151,3,FALSE)</f>
        <v>액세서리</v>
      </c>
      <c r="R92" t="str">
        <f>VLOOKUP(D92,상품정보!$A$2:$D$151,4,FALSE)</f>
        <v>브랜드B</v>
      </c>
    </row>
    <row r="93" spans="1:18" x14ac:dyDescent="0.45">
      <c r="A93" t="s">
        <v>87</v>
      </c>
      <c r="B93" t="s">
        <v>492</v>
      </c>
      <c r="C93" t="s">
        <v>2426</v>
      </c>
      <c r="D93" t="s">
        <v>2568</v>
      </c>
      <c r="E93">
        <v>1</v>
      </c>
      <c r="F93">
        <v>16800</v>
      </c>
      <c r="G93">
        <v>0</v>
      </c>
      <c r="H93">
        <v>4100</v>
      </c>
      <c r="I93" t="s">
        <v>2614</v>
      </c>
      <c r="J93" s="4">
        <f t="shared" si="3"/>
        <v>12700</v>
      </c>
      <c r="K93" s="4" t="str">
        <f t="shared" si="4"/>
        <v>2024-01</v>
      </c>
      <c r="L93" s="4" t="str">
        <f t="shared" si="5"/>
        <v>금</v>
      </c>
      <c r="M93" s="2" t="str">
        <f>VLOOKUP($C93, 고객정보!$A$2:$E$151, 2, FALSE)</f>
        <v>대전</v>
      </c>
      <c r="N93" t="str">
        <f>VLOOKUP(C93,고객정보!$A$2:$D$151,4,FALSE)</f>
        <v>L5</v>
      </c>
      <c r="O93" t="str">
        <f>VLOOKUP($C93, 고객정보!$A$2:$E$151, 5, FALSE)</f>
        <v>30대</v>
      </c>
      <c r="P93" t="str">
        <f>VLOOKUP(D93,상품정보!$A$2:$E$61,2,FALSE)</f>
        <v>청바지</v>
      </c>
      <c r="Q93" t="str">
        <f>VLOOKUP(D93,상품정보!$A$2:$D$151,3,FALSE)</f>
        <v>의류</v>
      </c>
      <c r="R93" t="str">
        <f>VLOOKUP(D93,상품정보!$A$2:$D$151,4,FALSE)</f>
        <v>브랜드C</v>
      </c>
    </row>
    <row r="94" spans="1:18" x14ac:dyDescent="0.45">
      <c r="A94" t="s">
        <v>24</v>
      </c>
      <c r="B94" t="s">
        <v>493</v>
      </c>
      <c r="C94" t="s">
        <v>2413</v>
      </c>
      <c r="D94" t="s">
        <v>2598</v>
      </c>
      <c r="E94">
        <v>5</v>
      </c>
      <c r="F94">
        <v>77300</v>
      </c>
      <c r="G94">
        <v>0</v>
      </c>
      <c r="H94">
        <v>15300</v>
      </c>
      <c r="I94" t="s">
        <v>2611</v>
      </c>
      <c r="J94" s="4">
        <f t="shared" si="3"/>
        <v>371200</v>
      </c>
      <c r="K94" s="4" t="str">
        <f t="shared" si="4"/>
        <v>2024-02</v>
      </c>
      <c r="L94" s="4" t="str">
        <f t="shared" si="5"/>
        <v>수</v>
      </c>
      <c r="M94" s="2" t="str">
        <f>VLOOKUP($C94, 고객정보!$A$2:$E$151, 2, FALSE)</f>
        <v>서울</v>
      </c>
      <c r="N94" t="str">
        <f>VLOOKUP(C94,고객정보!$A$2:$D$151,4,FALSE)</f>
        <v>L5</v>
      </c>
      <c r="O94" t="str">
        <f>VLOOKUP($C94, 고객정보!$A$2:$E$151, 5, FALSE)</f>
        <v>30대</v>
      </c>
      <c r="P94" t="str">
        <f>VLOOKUP(D94,상품정보!$A$2:$E$61,2,FALSE)</f>
        <v>청바지</v>
      </c>
      <c r="Q94" t="str">
        <f>VLOOKUP(D94,상품정보!$A$2:$D$151,3,FALSE)</f>
        <v>의류</v>
      </c>
      <c r="R94" t="str">
        <f>VLOOKUP(D94,상품정보!$A$2:$D$151,4,FALSE)</f>
        <v>브랜드F</v>
      </c>
    </row>
    <row r="95" spans="1:18" x14ac:dyDescent="0.45">
      <c r="A95" t="s">
        <v>46</v>
      </c>
      <c r="B95" t="s">
        <v>494</v>
      </c>
      <c r="C95" t="s">
        <v>2421</v>
      </c>
      <c r="D95" t="s">
        <v>2561</v>
      </c>
      <c r="E95">
        <v>2</v>
      </c>
      <c r="F95">
        <v>63300</v>
      </c>
      <c r="G95">
        <v>1500</v>
      </c>
      <c r="H95">
        <v>0</v>
      </c>
      <c r="I95" t="s">
        <v>2652</v>
      </c>
      <c r="J95" s="4">
        <f t="shared" si="3"/>
        <v>128100</v>
      </c>
      <c r="K95" s="4" t="str">
        <f t="shared" si="4"/>
        <v>2024-09</v>
      </c>
      <c r="L95" s="4" t="str">
        <f t="shared" si="5"/>
        <v>월</v>
      </c>
      <c r="M95" s="2" t="str">
        <f>VLOOKUP($C95, 고객정보!$A$2:$E$151, 2, FALSE)</f>
        <v>부산</v>
      </c>
      <c r="N95" t="str">
        <f>VLOOKUP(C95,고객정보!$A$2:$D$151,4,FALSE)</f>
        <v>L3</v>
      </c>
      <c r="O95" t="str">
        <f>VLOOKUP($C95, 고객정보!$A$2:$E$151, 5, FALSE)</f>
        <v>30대</v>
      </c>
      <c r="P95" t="str">
        <f>VLOOKUP(D95,상품정보!$A$2:$E$61,2,FALSE)</f>
        <v>귀걸이</v>
      </c>
      <c r="Q95" t="str">
        <f>VLOOKUP(D95,상품정보!$A$2:$D$151,3,FALSE)</f>
        <v>액세서리</v>
      </c>
      <c r="R95" t="str">
        <f>VLOOKUP(D95,상품정보!$A$2:$D$151,4,FALSE)</f>
        <v>브랜드B</v>
      </c>
    </row>
    <row r="96" spans="1:18" x14ac:dyDescent="0.45">
      <c r="A96" t="s">
        <v>53</v>
      </c>
      <c r="B96" t="s">
        <v>495</v>
      </c>
      <c r="C96" t="s">
        <v>2428</v>
      </c>
      <c r="D96" t="s">
        <v>2552</v>
      </c>
      <c r="E96">
        <v>3</v>
      </c>
      <c r="F96">
        <v>13300</v>
      </c>
      <c r="G96">
        <v>0</v>
      </c>
      <c r="H96">
        <v>10700</v>
      </c>
      <c r="I96" t="s">
        <v>2612</v>
      </c>
      <c r="J96" s="4">
        <f t="shared" si="3"/>
        <v>29200</v>
      </c>
      <c r="K96" s="4" t="str">
        <f t="shared" si="4"/>
        <v>2024-02</v>
      </c>
      <c r="L96" s="4" t="str">
        <f t="shared" si="5"/>
        <v>월</v>
      </c>
      <c r="M96" s="2" t="str">
        <f>VLOOKUP($C96, 고객정보!$A$2:$E$151, 2, FALSE)</f>
        <v>광주</v>
      </c>
      <c r="N96" t="str">
        <f>VLOOKUP(C96,고객정보!$A$2:$D$151,4,FALSE)</f>
        <v>L4</v>
      </c>
      <c r="O96" t="str">
        <f>VLOOKUP($C96, 고객정보!$A$2:$E$151, 5, FALSE)</f>
        <v>10대</v>
      </c>
      <c r="P96" t="str">
        <f>VLOOKUP(D96,상품정보!$A$2:$E$61,2,FALSE)</f>
        <v>셔츠</v>
      </c>
      <c r="Q96" t="str">
        <f>VLOOKUP(D96,상품정보!$A$2:$D$151,3,FALSE)</f>
        <v>의류</v>
      </c>
      <c r="R96" t="str">
        <f>VLOOKUP(D96,상품정보!$A$2:$D$151,4,FALSE)</f>
        <v>브랜드E</v>
      </c>
    </row>
    <row r="97" spans="1:18" x14ac:dyDescent="0.45">
      <c r="A97" t="s">
        <v>79</v>
      </c>
      <c r="B97" t="s">
        <v>496</v>
      </c>
      <c r="C97" t="s">
        <v>2422</v>
      </c>
      <c r="D97" t="s">
        <v>2599</v>
      </c>
      <c r="E97">
        <v>3</v>
      </c>
      <c r="F97">
        <v>73800</v>
      </c>
      <c r="G97">
        <v>0</v>
      </c>
      <c r="H97">
        <v>0</v>
      </c>
      <c r="I97" t="s">
        <v>2652</v>
      </c>
      <c r="J97" s="4">
        <f t="shared" si="3"/>
        <v>221400</v>
      </c>
      <c r="K97" s="4" t="str">
        <f t="shared" si="4"/>
        <v>2024-03</v>
      </c>
      <c r="L97" s="4" t="str">
        <f t="shared" si="5"/>
        <v>목</v>
      </c>
      <c r="M97" s="2" t="str">
        <f>VLOOKUP($C97, 고객정보!$A$2:$E$151, 2, FALSE)</f>
        <v>광주</v>
      </c>
      <c r="N97" t="str">
        <f>VLOOKUP(C97,고객정보!$A$2:$D$151,4,FALSE)</f>
        <v>L5</v>
      </c>
      <c r="O97" t="str">
        <f>VLOOKUP($C97, 고객정보!$A$2:$E$151, 5, FALSE)</f>
        <v>30대</v>
      </c>
      <c r="P97" t="str">
        <f>VLOOKUP(D97,상품정보!$A$2:$E$61,2,FALSE)</f>
        <v>핸드폰케이스</v>
      </c>
      <c r="Q97" t="str">
        <f>VLOOKUP(D97,상품정보!$A$2:$D$151,3,FALSE)</f>
        <v>액세서리</v>
      </c>
      <c r="R97" t="str">
        <f>VLOOKUP(D97,상품정보!$A$2:$D$151,4,FALSE)</f>
        <v>브랜드F</v>
      </c>
    </row>
    <row r="98" spans="1:18" x14ac:dyDescent="0.45">
      <c r="A98" t="s">
        <v>22</v>
      </c>
      <c r="B98" t="s">
        <v>497</v>
      </c>
      <c r="C98" t="s">
        <v>2470</v>
      </c>
      <c r="D98" t="s">
        <v>2569</v>
      </c>
      <c r="E98">
        <v>5</v>
      </c>
      <c r="F98">
        <v>11400</v>
      </c>
      <c r="G98">
        <v>2000</v>
      </c>
      <c r="H98">
        <v>0</v>
      </c>
      <c r="I98" t="s">
        <v>2652</v>
      </c>
      <c r="J98" s="4">
        <f t="shared" si="3"/>
        <v>59000</v>
      </c>
      <c r="K98" s="4" t="str">
        <f t="shared" si="4"/>
        <v>2024-12</v>
      </c>
      <c r="L98" s="4" t="str">
        <f t="shared" si="5"/>
        <v>목</v>
      </c>
      <c r="M98" s="2" t="str">
        <f>VLOOKUP($C98, 고객정보!$A$2:$E$151, 2, FALSE)</f>
        <v>대전</v>
      </c>
      <c r="N98" t="str">
        <f>VLOOKUP(C98,고객정보!$A$2:$D$151,4,FALSE)</f>
        <v>L5</v>
      </c>
      <c r="O98" t="str">
        <f>VLOOKUP($C98, 고객정보!$A$2:$E$151, 5, FALSE)</f>
        <v>20대</v>
      </c>
      <c r="P98" t="str">
        <f>VLOOKUP(D98,상품정보!$A$2:$E$61,2,FALSE)</f>
        <v>귀걸이</v>
      </c>
      <c r="Q98" t="str">
        <f>VLOOKUP(D98,상품정보!$A$2:$D$151,3,FALSE)</f>
        <v>액세서리</v>
      </c>
      <c r="R98" t="str">
        <f>VLOOKUP(D98,상품정보!$A$2:$D$151,4,FALSE)</f>
        <v>브랜드E</v>
      </c>
    </row>
    <row r="99" spans="1:18" x14ac:dyDescent="0.45">
      <c r="A99" t="s">
        <v>87</v>
      </c>
      <c r="B99" t="s">
        <v>498</v>
      </c>
      <c r="C99" t="s">
        <v>2471</v>
      </c>
      <c r="D99" t="s">
        <v>2598</v>
      </c>
      <c r="E99">
        <v>5</v>
      </c>
      <c r="F99">
        <v>77300</v>
      </c>
      <c r="G99">
        <v>0</v>
      </c>
      <c r="H99">
        <v>0</v>
      </c>
      <c r="I99" t="s">
        <v>2652</v>
      </c>
      <c r="J99" s="4">
        <f t="shared" si="3"/>
        <v>386500</v>
      </c>
      <c r="K99" s="4" t="str">
        <f t="shared" si="4"/>
        <v>2024-01</v>
      </c>
      <c r="L99" s="4" t="str">
        <f t="shared" si="5"/>
        <v>금</v>
      </c>
      <c r="M99" s="2" t="str">
        <f>VLOOKUP($C99, 고객정보!$A$2:$E$151, 2, FALSE)</f>
        <v>서울</v>
      </c>
      <c r="N99" t="str">
        <f>VLOOKUP(C99,고객정보!$A$2:$D$151,4,FALSE)</f>
        <v>L5</v>
      </c>
      <c r="O99" t="str">
        <f>VLOOKUP($C99, 고객정보!$A$2:$E$151, 5, FALSE)</f>
        <v>40대</v>
      </c>
      <c r="P99" t="str">
        <f>VLOOKUP(D99,상품정보!$A$2:$E$61,2,FALSE)</f>
        <v>청바지</v>
      </c>
      <c r="Q99" t="str">
        <f>VLOOKUP(D99,상품정보!$A$2:$D$151,3,FALSE)</f>
        <v>의류</v>
      </c>
      <c r="R99" t="str">
        <f>VLOOKUP(D99,상품정보!$A$2:$D$151,4,FALSE)</f>
        <v>브랜드F</v>
      </c>
    </row>
    <row r="100" spans="1:18" x14ac:dyDescent="0.45">
      <c r="A100" t="s">
        <v>88</v>
      </c>
      <c r="B100" t="s">
        <v>499</v>
      </c>
      <c r="C100" t="s">
        <v>2472</v>
      </c>
      <c r="D100" t="s">
        <v>2600</v>
      </c>
      <c r="E100">
        <v>1</v>
      </c>
      <c r="F100">
        <v>10900</v>
      </c>
      <c r="G100">
        <v>0</v>
      </c>
      <c r="H100">
        <v>0</v>
      </c>
      <c r="I100" t="s">
        <v>2652</v>
      </c>
      <c r="J100" s="4">
        <f t="shared" si="3"/>
        <v>10900</v>
      </c>
      <c r="K100" s="4" t="str">
        <f t="shared" si="4"/>
        <v>2024-03</v>
      </c>
      <c r="L100" s="4" t="str">
        <f t="shared" si="5"/>
        <v>토</v>
      </c>
      <c r="M100" s="2" t="str">
        <f>VLOOKUP($C100, 고객정보!$A$2:$E$151, 2, FALSE)</f>
        <v>서울</v>
      </c>
      <c r="N100" t="str">
        <f>VLOOKUP(C100,고객정보!$A$2:$D$151,4,FALSE)</f>
        <v>L1</v>
      </c>
      <c r="O100" t="str">
        <f>VLOOKUP($C100, 고객정보!$A$2:$E$151, 5, FALSE)</f>
        <v>20대</v>
      </c>
      <c r="P100" t="str">
        <f>VLOOKUP(D100,상품정보!$A$2:$E$61,2,FALSE)</f>
        <v>셔츠</v>
      </c>
      <c r="Q100" t="str">
        <f>VLOOKUP(D100,상품정보!$A$2:$D$151,3,FALSE)</f>
        <v>의류</v>
      </c>
      <c r="R100" t="str">
        <f>VLOOKUP(D100,상품정보!$A$2:$D$151,4,FALSE)</f>
        <v>브랜드E</v>
      </c>
    </row>
    <row r="101" spans="1:18" x14ac:dyDescent="0.45">
      <c r="A101" t="s">
        <v>89</v>
      </c>
      <c r="B101" t="s">
        <v>500</v>
      </c>
      <c r="C101" t="s">
        <v>2428</v>
      </c>
      <c r="D101" t="s">
        <v>2580</v>
      </c>
      <c r="E101">
        <v>1</v>
      </c>
      <c r="F101">
        <v>77800</v>
      </c>
      <c r="G101">
        <v>1500</v>
      </c>
      <c r="H101">
        <v>0</v>
      </c>
      <c r="I101" t="s">
        <v>2652</v>
      </c>
      <c r="J101" s="4">
        <f t="shared" si="3"/>
        <v>79300</v>
      </c>
      <c r="K101" s="4" t="str">
        <f t="shared" si="4"/>
        <v>2025-01</v>
      </c>
      <c r="L101" s="4" t="str">
        <f t="shared" si="5"/>
        <v>수</v>
      </c>
      <c r="M101" s="2" t="str">
        <f>VLOOKUP($C101, 고객정보!$A$2:$E$151, 2, FALSE)</f>
        <v>광주</v>
      </c>
      <c r="N101" t="str">
        <f>VLOOKUP(C101,고객정보!$A$2:$D$151,4,FALSE)</f>
        <v>L4</v>
      </c>
      <c r="O101" t="str">
        <f>VLOOKUP($C101, 고객정보!$A$2:$E$151, 5, FALSE)</f>
        <v>10대</v>
      </c>
      <c r="P101" t="str">
        <f>VLOOKUP(D101,상품정보!$A$2:$E$61,2,FALSE)</f>
        <v>청바지</v>
      </c>
      <c r="Q101" t="str">
        <f>VLOOKUP(D101,상품정보!$A$2:$D$151,3,FALSE)</f>
        <v>의류</v>
      </c>
      <c r="R101" t="str">
        <f>VLOOKUP(D101,상품정보!$A$2:$D$151,4,FALSE)</f>
        <v>브랜드A</v>
      </c>
    </row>
    <row r="102" spans="1:18" x14ac:dyDescent="0.45">
      <c r="A102" t="s">
        <v>90</v>
      </c>
      <c r="B102" t="s">
        <v>501</v>
      </c>
      <c r="C102" t="s">
        <v>2472</v>
      </c>
      <c r="D102" t="s">
        <v>2573</v>
      </c>
      <c r="E102">
        <v>3</v>
      </c>
      <c r="F102">
        <v>6400</v>
      </c>
      <c r="G102">
        <v>0</v>
      </c>
      <c r="H102">
        <v>0</v>
      </c>
      <c r="I102" t="s">
        <v>2652</v>
      </c>
      <c r="J102" s="4">
        <f t="shared" si="3"/>
        <v>19200</v>
      </c>
      <c r="K102" s="4" t="str">
        <f t="shared" si="4"/>
        <v>2024-05</v>
      </c>
      <c r="L102" s="4" t="str">
        <f t="shared" si="5"/>
        <v>금</v>
      </c>
      <c r="M102" s="2" t="str">
        <f>VLOOKUP($C102, 고객정보!$A$2:$E$151, 2, FALSE)</f>
        <v>서울</v>
      </c>
      <c r="N102" t="str">
        <f>VLOOKUP(C102,고객정보!$A$2:$D$151,4,FALSE)</f>
        <v>L1</v>
      </c>
      <c r="O102" t="str">
        <f>VLOOKUP($C102, 고객정보!$A$2:$E$151, 5, FALSE)</f>
        <v>20대</v>
      </c>
      <c r="P102" t="str">
        <f>VLOOKUP(D102,상품정보!$A$2:$E$61,2,FALSE)</f>
        <v>귀걸이</v>
      </c>
      <c r="Q102" t="str">
        <f>VLOOKUP(D102,상품정보!$A$2:$D$151,3,FALSE)</f>
        <v>액세서리</v>
      </c>
      <c r="R102" t="str">
        <f>VLOOKUP(D102,상품정보!$A$2:$D$151,4,FALSE)</f>
        <v>브랜드E</v>
      </c>
    </row>
    <row r="103" spans="1:18" x14ac:dyDescent="0.45">
      <c r="A103" t="s">
        <v>85</v>
      </c>
      <c r="B103" t="s">
        <v>502</v>
      </c>
      <c r="C103" t="s">
        <v>2420</v>
      </c>
      <c r="D103" t="s">
        <v>2588</v>
      </c>
      <c r="E103">
        <v>3</v>
      </c>
      <c r="F103">
        <v>7700</v>
      </c>
      <c r="G103">
        <v>0</v>
      </c>
      <c r="H103">
        <v>0</v>
      </c>
      <c r="I103" t="s">
        <v>2652</v>
      </c>
      <c r="J103" s="4">
        <f t="shared" si="3"/>
        <v>23100</v>
      </c>
      <c r="K103" s="4" t="str">
        <f t="shared" si="4"/>
        <v>2024-04</v>
      </c>
      <c r="L103" s="4" t="str">
        <f t="shared" si="5"/>
        <v>일</v>
      </c>
      <c r="M103" s="2" t="str">
        <f>VLOOKUP($C103, 고객정보!$A$2:$E$151, 2, FALSE)</f>
        <v>대전</v>
      </c>
      <c r="N103" t="str">
        <f>VLOOKUP(C103,고객정보!$A$2:$D$151,4,FALSE)</f>
        <v>L3</v>
      </c>
      <c r="O103" t="str">
        <f>VLOOKUP($C103, 고객정보!$A$2:$E$151, 5, FALSE)</f>
        <v>30대</v>
      </c>
      <c r="P103" t="str">
        <f>VLOOKUP(D103,상품정보!$A$2:$E$61,2,FALSE)</f>
        <v>귀걸이</v>
      </c>
      <c r="Q103" t="str">
        <f>VLOOKUP(D103,상품정보!$A$2:$D$151,3,FALSE)</f>
        <v>액세서리</v>
      </c>
      <c r="R103" t="str">
        <f>VLOOKUP(D103,상품정보!$A$2:$D$151,4,FALSE)</f>
        <v>브랜드D</v>
      </c>
    </row>
    <row r="104" spans="1:18" x14ac:dyDescent="0.45">
      <c r="A104" t="s">
        <v>91</v>
      </c>
      <c r="B104" t="s">
        <v>503</v>
      </c>
      <c r="C104" t="s">
        <v>2428</v>
      </c>
      <c r="D104" t="s">
        <v>2554</v>
      </c>
      <c r="E104">
        <v>4</v>
      </c>
      <c r="F104">
        <v>12100</v>
      </c>
      <c r="G104">
        <v>1000</v>
      </c>
      <c r="H104">
        <v>0</v>
      </c>
      <c r="I104" t="s">
        <v>2652</v>
      </c>
      <c r="J104" s="4">
        <f t="shared" si="3"/>
        <v>49400</v>
      </c>
      <c r="K104" s="4" t="str">
        <f t="shared" si="4"/>
        <v>2024-05</v>
      </c>
      <c r="L104" s="4" t="str">
        <f t="shared" si="5"/>
        <v>수</v>
      </c>
      <c r="M104" s="2" t="str">
        <f>VLOOKUP($C104, 고객정보!$A$2:$E$151, 2, FALSE)</f>
        <v>광주</v>
      </c>
      <c r="N104" t="str">
        <f>VLOOKUP(C104,고객정보!$A$2:$D$151,4,FALSE)</f>
        <v>L4</v>
      </c>
      <c r="O104" t="str">
        <f>VLOOKUP($C104, 고객정보!$A$2:$E$151, 5, FALSE)</f>
        <v>10대</v>
      </c>
      <c r="P104" t="str">
        <f>VLOOKUP(D104,상품정보!$A$2:$E$61,2,FALSE)</f>
        <v>귀걸이</v>
      </c>
      <c r="Q104" t="str">
        <f>VLOOKUP(D104,상품정보!$A$2:$D$151,3,FALSE)</f>
        <v>액세서리</v>
      </c>
      <c r="R104" t="str">
        <f>VLOOKUP(D104,상품정보!$A$2:$D$151,4,FALSE)</f>
        <v>브랜드D</v>
      </c>
    </row>
    <row r="105" spans="1:18" x14ac:dyDescent="0.45">
      <c r="A105" t="s">
        <v>92</v>
      </c>
      <c r="B105" t="s">
        <v>504</v>
      </c>
      <c r="C105" t="s">
        <v>2455</v>
      </c>
      <c r="D105" t="s">
        <v>2553</v>
      </c>
      <c r="E105">
        <v>4</v>
      </c>
      <c r="F105">
        <v>63400</v>
      </c>
      <c r="G105">
        <v>0</v>
      </c>
      <c r="H105">
        <v>0</v>
      </c>
      <c r="I105" t="s">
        <v>2652</v>
      </c>
      <c r="J105" s="4">
        <f t="shared" si="3"/>
        <v>253600</v>
      </c>
      <c r="K105" s="4" t="str">
        <f t="shared" si="4"/>
        <v>2024-05</v>
      </c>
      <c r="L105" s="4" t="str">
        <f t="shared" si="5"/>
        <v>화</v>
      </c>
      <c r="M105" s="2" t="str">
        <f>VLOOKUP($C105, 고객정보!$A$2:$E$151, 2, FALSE)</f>
        <v>서울</v>
      </c>
      <c r="N105" t="str">
        <f>VLOOKUP(C105,고객정보!$A$2:$D$151,4,FALSE)</f>
        <v>L5</v>
      </c>
      <c r="O105" t="str">
        <f>VLOOKUP($C105, 고객정보!$A$2:$E$151, 5, FALSE)</f>
        <v>20대</v>
      </c>
      <c r="P105" t="str">
        <f>VLOOKUP(D105,상품정보!$A$2:$E$61,2,FALSE)</f>
        <v>귀걸이</v>
      </c>
      <c r="Q105" t="str">
        <f>VLOOKUP(D105,상품정보!$A$2:$D$151,3,FALSE)</f>
        <v>액세서리</v>
      </c>
      <c r="R105" t="str">
        <f>VLOOKUP(D105,상품정보!$A$2:$D$151,4,FALSE)</f>
        <v>브랜드F</v>
      </c>
    </row>
    <row r="106" spans="1:18" x14ac:dyDescent="0.45">
      <c r="A106" t="s">
        <v>93</v>
      </c>
      <c r="B106" t="s">
        <v>505</v>
      </c>
      <c r="C106" t="s">
        <v>2473</v>
      </c>
      <c r="D106" t="s">
        <v>2594</v>
      </c>
      <c r="E106">
        <v>3</v>
      </c>
      <c r="F106">
        <v>73000</v>
      </c>
      <c r="G106">
        <v>0</v>
      </c>
      <c r="H106">
        <v>11900</v>
      </c>
      <c r="I106" t="s">
        <v>2611</v>
      </c>
      <c r="J106" s="4">
        <f t="shared" si="3"/>
        <v>207100</v>
      </c>
      <c r="K106" s="4" t="str">
        <f t="shared" si="4"/>
        <v>2025-01</v>
      </c>
      <c r="L106" s="4" t="str">
        <f t="shared" si="5"/>
        <v>수</v>
      </c>
      <c r="M106" s="2" t="str">
        <f>VLOOKUP($C106, 고객정보!$A$2:$E$151, 2, FALSE)</f>
        <v>수원</v>
      </c>
      <c r="N106" t="str">
        <f>VLOOKUP(C106,고객정보!$A$2:$D$151,4,FALSE)</f>
        <v>L3</v>
      </c>
      <c r="O106" t="str">
        <f>VLOOKUP($C106, 고객정보!$A$2:$E$151, 5, FALSE)</f>
        <v>50대 이상</v>
      </c>
      <c r="P106" t="str">
        <f>VLOOKUP(D106,상품정보!$A$2:$E$61,2,FALSE)</f>
        <v>자켓</v>
      </c>
      <c r="Q106" t="str">
        <f>VLOOKUP(D106,상품정보!$A$2:$D$151,3,FALSE)</f>
        <v>의류</v>
      </c>
      <c r="R106" t="str">
        <f>VLOOKUP(D106,상품정보!$A$2:$D$151,4,FALSE)</f>
        <v>브랜드A</v>
      </c>
    </row>
    <row r="107" spans="1:18" x14ac:dyDescent="0.45">
      <c r="A107" t="s">
        <v>94</v>
      </c>
      <c r="B107" t="s">
        <v>506</v>
      </c>
      <c r="C107" t="s">
        <v>2469</v>
      </c>
      <c r="D107" t="s">
        <v>2601</v>
      </c>
      <c r="E107">
        <v>3</v>
      </c>
      <c r="F107">
        <v>17000</v>
      </c>
      <c r="G107">
        <v>0</v>
      </c>
      <c r="H107">
        <v>0</v>
      </c>
      <c r="I107" t="s">
        <v>2652</v>
      </c>
      <c r="J107" s="4">
        <f t="shared" si="3"/>
        <v>51000</v>
      </c>
      <c r="K107" s="4" t="str">
        <f t="shared" si="4"/>
        <v>2024-03</v>
      </c>
      <c r="L107" s="4" t="str">
        <f t="shared" si="5"/>
        <v>토</v>
      </c>
      <c r="M107" s="2" t="str">
        <f>VLOOKUP($C107, 고객정보!$A$2:$E$151, 2, FALSE)</f>
        <v>수원</v>
      </c>
      <c r="N107" t="str">
        <f>VLOOKUP(C107,고객정보!$A$2:$D$151,4,FALSE)</f>
        <v>L5</v>
      </c>
      <c r="O107" t="str">
        <f>VLOOKUP($C107, 고객정보!$A$2:$E$151, 5, FALSE)</f>
        <v>20대</v>
      </c>
      <c r="P107" t="str">
        <f>VLOOKUP(D107,상품정보!$A$2:$E$61,2,FALSE)</f>
        <v>자켓</v>
      </c>
      <c r="Q107" t="str">
        <f>VLOOKUP(D107,상품정보!$A$2:$D$151,3,FALSE)</f>
        <v>의류</v>
      </c>
      <c r="R107" t="str">
        <f>VLOOKUP(D107,상품정보!$A$2:$D$151,4,FALSE)</f>
        <v>브랜드E</v>
      </c>
    </row>
    <row r="108" spans="1:18" x14ac:dyDescent="0.45">
      <c r="A108" t="s">
        <v>95</v>
      </c>
      <c r="B108" t="s">
        <v>507</v>
      </c>
      <c r="C108" t="s">
        <v>2459</v>
      </c>
      <c r="D108" t="s">
        <v>2562</v>
      </c>
      <c r="E108">
        <v>4</v>
      </c>
      <c r="F108">
        <v>15600</v>
      </c>
      <c r="G108">
        <v>0</v>
      </c>
      <c r="H108">
        <v>0</v>
      </c>
      <c r="I108" t="s">
        <v>2652</v>
      </c>
      <c r="J108" s="4">
        <f t="shared" si="3"/>
        <v>62400</v>
      </c>
      <c r="K108" s="4" t="str">
        <f t="shared" si="4"/>
        <v>2024-10</v>
      </c>
      <c r="L108" s="4" t="str">
        <f t="shared" si="5"/>
        <v>월</v>
      </c>
      <c r="M108" s="2" t="str">
        <f>VLOOKUP($C108, 고객정보!$A$2:$E$151, 2, FALSE)</f>
        <v>광주</v>
      </c>
      <c r="N108" t="str">
        <f>VLOOKUP(C108,고객정보!$A$2:$D$151,4,FALSE)</f>
        <v>L4</v>
      </c>
      <c r="O108" t="str">
        <f>VLOOKUP($C108, 고객정보!$A$2:$E$151, 5, FALSE)</f>
        <v>50대 이상</v>
      </c>
      <c r="P108" t="str">
        <f>VLOOKUP(D108,상품정보!$A$2:$E$61,2,FALSE)</f>
        <v>반팔 티셔츠</v>
      </c>
      <c r="Q108" t="str">
        <f>VLOOKUP(D108,상품정보!$A$2:$D$151,3,FALSE)</f>
        <v>의류</v>
      </c>
      <c r="R108" t="str">
        <f>VLOOKUP(D108,상품정보!$A$2:$D$151,4,FALSE)</f>
        <v>브랜드E</v>
      </c>
    </row>
    <row r="109" spans="1:18" x14ac:dyDescent="0.45">
      <c r="A109" t="s">
        <v>96</v>
      </c>
      <c r="B109" t="s">
        <v>508</v>
      </c>
      <c r="C109" t="s">
        <v>2435</v>
      </c>
      <c r="D109" t="s">
        <v>2580</v>
      </c>
      <c r="E109">
        <v>1</v>
      </c>
      <c r="F109">
        <v>77800</v>
      </c>
      <c r="G109">
        <v>1500</v>
      </c>
      <c r="H109">
        <v>1300</v>
      </c>
      <c r="I109" t="s">
        <v>2613</v>
      </c>
      <c r="J109" s="4">
        <f t="shared" si="3"/>
        <v>78000</v>
      </c>
      <c r="K109" s="4" t="str">
        <f t="shared" si="4"/>
        <v>2024-12</v>
      </c>
      <c r="L109" s="4" t="str">
        <f t="shared" si="5"/>
        <v>목</v>
      </c>
      <c r="M109" s="2" t="str">
        <f>VLOOKUP($C109, 고객정보!$A$2:$E$151, 2, FALSE)</f>
        <v>인천</v>
      </c>
      <c r="N109" t="str">
        <f>VLOOKUP(C109,고객정보!$A$2:$D$151,4,FALSE)</f>
        <v>L5</v>
      </c>
      <c r="O109" t="str">
        <f>VLOOKUP($C109, 고객정보!$A$2:$E$151, 5, FALSE)</f>
        <v>30대</v>
      </c>
      <c r="P109" t="str">
        <f>VLOOKUP(D109,상품정보!$A$2:$E$61,2,FALSE)</f>
        <v>청바지</v>
      </c>
      <c r="Q109" t="str">
        <f>VLOOKUP(D109,상품정보!$A$2:$D$151,3,FALSE)</f>
        <v>의류</v>
      </c>
      <c r="R109" t="str">
        <f>VLOOKUP(D109,상품정보!$A$2:$D$151,4,FALSE)</f>
        <v>브랜드A</v>
      </c>
    </row>
    <row r="110" spans="1:18" x14ac:dyDescent="0.45">
      <c r="A110" t="s">
        <v>97</v>
      </c>
      <c r="B110" t="s">
        <v>509</v>
      </c>
      <c r="C110" t="s">
        <v>2474</v>
      </c>
      <c r="D110" t="s">
        <v>2561</v>
      </c>
      <c r="E110">
        <v>1</v>
      </c>
      <c r="F110">
        <v>63300</v>
      </c>
      <c r="G110">
        <v>0</v>
      </c>
      <c r="H110">
        <v>0</v>
      </c>
      <c r="I110" t="s">
        <v>2652</v>
      </c>
      <c r="J110" s="4">
        <f t="shared" si="3"/>
        <v>63300</v>
      </c>
      <c r="K110" s="4" t="str">
        <f t="shared" si="4"/>
        <v>2024-07</v>
      </c>
      <c r="L110" s="4" t="str">
        <f t="shared" si="5"/>
        <v>월</v>
      </c>
      <c r="M110" s="2" t="str">
        <f>VLOOKUP($C110, 고객정보!$A$2:$E$151, 2, FALSE)</f>
        <v>인천</v>
      </c>
      <c r="N110" t="str">
        <f>VLOOKUP(C110,고객정보!$A$2:$D$151,4,FALSE)</f>
        <v>L2</v>
      </c>
      <c r="O110" t="str">
        <f>VLOOKUP($C110, 고객정보!$A$2:$E$151, 5, FALSE)</f>
        <v>10대</v>
      </c>
      <c r="P110" t="str">
        <f>VLOOKUP(D110,상품정보!$A$2:$E$61,2,FALSE)</f>
        <v>귀걸이</v>
      </c>
      <c r="Q110" t="str">
        <f>VLOOKUP(D110,상품정보!$A$2:$D$151,3,FALSE)</f>
        <v>액세서리</v>
      </c>
      <c r="R110" t="str">
        <f>VLOOKUP(D110,상품정보!$A$2:$D$151,4,FALSE)</f>
        <v>브랜드B</v>
      </c>
    </row>
    <row r="111" spans="1:18" x14ac:dyDescent="0.45">
      <c r="A111" t="s">
        <v>98</v>
      </c>
      <c r="B111" t="s">
        <v>510</v>
      </c>
      <c r="C111" t="s">
        <v>2429</v>
      </c>
      <c r="D111" t="s">
        <v>2562</v>
      </c>
      <c r="E111">
        <v>2</v>
      </c>
      <c r="F111">
        <v>15600</v>
      </c>
      <c r="G111">
        <v>1000</v>
      </c>
      <c r="H111">
        <v>0</v>
      </c>
      <c r="I111" t="s">
        <v>2652</v>
      </c>
      <c r="J111" s="4">
        <f t="shared" si="3"/>
        <v>32200</v>
      </c>
      <c r="K111" s="4" t="str">
        <f t="shared" si="4"/>
        <v>2024-08</v>
      </c>
      <c r="L111" s="4" t="str">
        <f t="shared" si="5"/>
        <v>목</v>
      </c>
      <c r="M111" s="2" t="str">
        <f>VLOOKUP($C111, 고객정보!$A$2:$E$151, 2, FALSE)</f>
        <v>서울</v>
      </c>
      <c r="N111" t="str">
        <f>VLOOKUP(C111,고객정보!$A$2:$D$151,4,FALSE)</f>
        <v>L1</v>
      </c>
      <c r="O111" t="str">
        <f>VLOOKUP($C111, 고객정보!$A$2:$E$151, 5, FALSE)</f>
        <v>10대</v>
      </c>
      <c r="P111" t="str">
        <f>VLOOKUP(D111,상품정보!$A$2:$E$61,2,FALSE)</f>
        <v>반팔 티셔츠</v>
      </c>
      <c r="Q111" t="str">
        <f>VLOOKUP(D111,상품정보!$A$2:$D$151,3,FALSE)</f>
        <v>의류</v>
      </c>
      <c r="R111" t="str">
        <f>VLOOKUP(D111,상품정보!$A$2:$D$151,4,FALSE)</f>
        <v>브랜드E</v>
      </c>
    </row>
    <row r="112" spans="1:18" x14ac:dyDescent="0.45">
      <c r="A112" t="s">
        <v>99</v>
      </c>
      <c r="B112" t="s">
        <v>511</v>
      </c>
      <c r="C112" t="s">
        <v>2475</v>
      </c>
      <c r="D112" t="s">
        <v>2564</v>
      </c>
      <c r="E112">
        <v>3</v>
      </c>
      <c r="F112">
        <v>66600</v>
      </c>
      <c r="G112">
        <v>0</v>
      </c>
      <c r="H112">
        <v>0</v>
      </c>
      <c r="I112" t="s">
        <v>2652</v>
      </c>
      <c r="J112" s="4">
        <f t="shared" si="3"/>
        <v>199800</v>
      </c>
      <c r="K112" s="4" t="str">
        <f t="shared" si="4"/>
        <v>2024-07</v>
      </c>
      <c r="L112" s="4" t="str">
        <f t="shared" si="5"/>
        <v>금</v>
      </c>
      <c r="M112" s="2" t="str">
        <f>VLOOKUP($C112, 고객정보!$A$2:$E$151, 2, FALSE)</f>
        <v>서울</v>
      </c>
      <c r="N112" t="str">
        <f>VLOOKUP(C112,고객정보!$A$2:$D$151,4,FALSE)</f>
        <v>L2</v>
      </c>
      <c r="O112" t="str">
        <f>VLOOKUP($C112, 고객정보!$A$2:$E$151, 5, FALSE)</f>
        <v>10대</v>
      </c>
      <c r="P112" t="str">
        <f>VLOOKUP(D112,상품정보!$A$2:$E$61,2,FALSE)</f>
        <v>청바지</v>
      </c>
      <c r="Q112" t="str">
        <f>VLOOKUP(D112,상품정보!$A$2:$D$151,3,FALSE)</f>
        <v>의류</v>
      </c>
      <c r="R112" t="str">
        <f>VLOOKUP(D112,상품정보!$A$2:$D$151,4,FALSE)</f>
        <v>브랜드B</v>
      </c>
    </row>
    <row r="113" spans="1:18" x14ac:dyDescent="0.45">
      <c r="A113" t="s">
        <v>100</v>
      </c>
      <c r="B113" t="s">
        <v>512</v>
      </c>
      <c r="C113" t="s">
        <v>2476</v>
      </c>
      <c r="D113" t="s">
        <v>2590</v>
      </c>
      <c r="E113">
        <v>3</v>
      </c>
      <c r="F113">
        <v>68900</v>
      </c>
      <c r="G113">
        <v>1000</v>
      </c>
      <c r="H113">
        <v>0</v>
      </c>
      <c r="I113" t="s">
        <v>2652</v>
      </c>
      <c r="J113" s="4">
        <f t="shared" si="3"/>
        <v>207700</v>
      </c>
      <c r="K113" s="4" t="str">
        <f t="shared" si="4"/>
        <v>2024-04</v>
      </c>
      <c r="L113" s="4" t="str">
        <f t="shared" si="5"/>
        <v>수</v>
      </c>
      <c r="M113" s="2" t="str">
        <f>VLOOKUP($C113, 고객정보!$A$2:$E$151, 2, FALSE)</f>
        <v>서울</v>
      </c>
      <c r="N113" t="str">
        <f>VLOOKUP(C113,고객정보!$A$2:$D$151,4,FALSE)</f>
        <v>L2</v>
      </c>
      <c r="O113" t="str">
        <f>VLOOKUP($C113, 고객정보!$A$2:$E$151, 5, FALSE)</f>
        <v>10대</v>
      </c>
      <c r="P113" t="str">
        <f>VLOOKUP(D113,상품정보!$A$2:$E$61,2,FALSE)</f>
        <v>반팔 티셔츠</v>
      </c>
      <c r="Q113" t="str">
        <f>VLOOKUP(D113,상품정보!$A$2:$D$151,3,FALSE)</f>
        <v>의류</v>
      </c>
      <c r="R113" t="str">
        <f>VLOOKUP(D113,상품정보!$A$2:$D$151,4,FALSE)</f>
        <v>브랜드A</v>
      </c>
    </row>
    <row r="114" spans="1:18" x14ac:dyDescent="0.45">
      <c r="A114" t="s">
        <v>26</v>
      </c>
      <c r="B114" t="s">
        <v>513</v>
      </c>
      <c r="C114" t="s">
        <v>2427</v>
      </c>
      <c r="D114" t="s">
        <v>2567</v>
      </c>
      <c r="E114">
        <v>1</v>
      </c>
      <c r="F114">
        <v>58600</v>
      </c>
      <c r="G114">
        <v>0</v>
      </c>
      <c r="H114">
        <v>2400</v>
      </c>
      <c r="I114" t="s">
        <v>2611</v>
      </c>
      <c r="J114" s="4">
        <f t="shared" si="3"/>
        <v>56200</v>
      </c>
      <c r="K114" s="4" t="str">
        <f t="shared" si="4"/>
        <v>2024-06</v>
      </c>
      <c r="L114" s="4" t="str">
        <f t="shared" si="5"/>
        <v>일</v>
      </c>
      <c r="M114" s="2" t="str">
        <f>VLOOKUP($C114, 고객정보!$A$2:$E$151, 2, FALSE)</f>
        <v>부산</v>
      </c>
      <c r="N114" t="str">
        <f>VLOOKUP(C114,고객정보!$A$2:$D$151,4,FALSE)</f>
        <v>L4</v>
      </c>
      <c r="O114" t="str">
        <f>VLOOKUP($C114, 고객정보!$A$2:$E$151, 5, FALSE)</f>
        <v>20대</v>
      </c>
      <c r="P114" t="str">
        <f>VLOOKUP(D114,상품정보!$A$2:$E$61,2,FALSE)</f>
        <v>귀걸이</v>
      </c>
      <c r="Q114" t="str">
        <f>VLOOKUP(D114,상품정보!$A$2:$D$151,3,FALSE)</f>
        <v>액세서리</v>
      </c>
      <c r="R114" t="str">
        <f>VLOOKUP(D114,상품정보!$A$2:$D$151,4,FALSE)</f>
        <v>브랜드B</v>
      </c>
    </row>
    <row r="115" spans="1:18" x14ac:dyDescent="0.45">
      <c r="A115" t="s">
        <v>101</v>
      </c>
      <c r="B115" t="s">
        <v>514</v>
      </c>
      <c r="C115" t="s">
        <v>2406</v>
      </c>
      <c r="D115" t="s">
        <v>2584</v>
      </c>
      <c r="E115">
        <v>4</v>
      </c>
      <c r="F115">
        <v>59700</v>
      </c>
      <c r="G115">
        <v>500</v>
      </c>
      <c r="H115">
        <v>3600</v>
      </c>
      <c r="I115" t="s">
        <v>2614</v>
      </c>
      <c r="J115" s="4">
        <f t="shared" si="3"/>
        <v>235700</v>
      </c>
      <c r="K115" s="4" t="str">
        <f t="shared" si="4"/>
        <v>2024-11</v>
      </c>
      <c r="L115" s="4" t="str">
        <f t="shared" si="5"/>
        <v>수</v>
      </c>
      <c r="M115" s="2" t="str">
        <f>VLOOKUP($C115, 고객정보!$A$2:$E$151, 2, FALSE)</f>
        <v>부산</v>
      </c>
      <c r="N115" t="str">
        <f>VLOOKUP(C115,고객정보!$A$2:$D$151,4,FALSE)</f>
        <v>L5</v>
      </c>
      <c r="O115" t="str">
        <f>VLOOKUP($C115, 고객정보!$A$2:$E$151, 5, FALSE)</f>
        <v>30대</v>
      </c>
      <c r="P115" t="str">
        <f>VLOOKUP(D115,상품정보!$A$2:$E$61,2,FALSE)</f>
        <v>목걸이</v>
      </c>
      <c r="Q115" t="str">
        <f>VLOOKUP(D115,상품정보!$A$2:$D$151,3,FALSE)</f>
        <v>액세서리</v>
      </c>
      <c r="R115" t="str">
        <f>VLOOKUP(D115,상품정보!$A$2:$D$151,4,FALSE)</f>
        <v>브랜드B</v>
      </c>
    </row>
    <row r="116" spans="1:18" x14ac:dyDescent="0.45">
      <c r="A116" t="s">
        <v>102</v>
      </c>
      <c r="B116" t="s">
        <v>515</v>
      </c>
      <c r="C116" t="s">
        <v>2477</v>
      </c>
      <c r="D116" t="s">
        <v>2568</v>
      </c>
      <c r="E116">
        <v>2</v>
      </c>
      <c r="F116">
        <v>16800</v>
      </c>
      <c r="G116">
        <v>0</v>
      </c>
      <c r="H116">
        <v>0</v>
      </c>
      <c r="I116" t="s">
        <v>2652</v>
      </c>
      <c r="J116" s="4">
        <f t="shared" si="3"/>
        <v>33600</v>
      </c>
      <c r="K116" s="4" t="str">
        <f t="shared" si="4"/>
        <v>2024-03</v>
      </c>
      <c r="L116" s="4" t="str">
        <f t="shared" si="5"/>
        <v>일</v>
      </c>
      <c r="M116" s="2" t="str">
        <f>VLOOKUP($C116, 고객정보!$A$2:$E$151, 2, FALSE)</f>
        <v>부산</v>
      </c>
      <c r="N116" t="str">
        <f>VLOOKUP(C116,고객정보!$A$2:$D$151,4,FALSE)</f>
        <v>L4</v>
      </c>
      <c r="O116" t="str">
        <f>VLOOKUP($C116, 고객정보!$A$2:$E$151, 5, FALSE)</f>
        <v>20대</v>
      </c>
      <c r="P116" t="str">
        <f>VLOOKUP(D116,상품정보!$A$2:$E$61,2,FALSE)</f>
        <v>청바지</v>
      </c>
      <c r="Q116" t="str">
        <f>VLOOKUP(D116,상품정보!$A$2:$D$151,3,FALSE)</f>
        <v>의류</v>
      </c>
      <c r="R116" t="str">
        <f>VLOOKUP(D116,상품정보!$A$2:$D$151,4,FALSE)</f>
        <v>브랜드C</v>
      </c>
    </row>
    <row r="117" spans="1:18" x14ac:dyDescent="0.45">
      <c r="A117" t="s">
        <v>103</v>
      </c>
      <c r="B117" t="s">
        <v>516</v>
      </c>
      <c r="C117" t="s">
        <v>2478</v>
      </c>
      <c r="D117" t="s">
        <v>2584</v>
      </c>
      <c r="E117">
        <v>4</v>
      </c>
      <c r="F117">
        <v>59700</v>
      </c>
      <c r="G117">
        <v>2000</v>
      </c>
      <c r="H117">
        <v>2000</v>
      </c>
      <c r="I117" t="s">
        <v>2614</v>
      </c>
      <c r="J117" s="4">
        <f t="shared" si="3"/>
        <v>238800</v>
      </c>
      <c r="K117" s="4" t="str">
        <f t="shared" si="4"/>
        <v>2024-01</v>
      </c>
      <c r="L117" s="4" t="str">
        <f t="shared" si="5"/>
        <v>토</v>
      </c>
      <c r="M117" s="2" t="str">
        <f>VLOOKUP($C117, 고객정보!$A$2:$E$151, 2, FALSE)</f>
        <v>인천</v>
      </c>
      <c r="N117" t="str">
        <f>VLOOKUP(C117,고객정보!$A$2:$D$151,4,FALSE)</f>
        <v>L1</v>
      </c>
      <c r="O117" t="str">
        <f>VLOOKUP($C117, 고객정보!$A$2:$E$151, 5, FALSE)</f>
        <v>40대</v>
      </c>
      <c r="P117" t="str">
        <f>VLOOKUP(D117,상품정보!$A$2:$E$61,2,FALSE)</f>
        <v>목걸이</v>
      </c>
      <c r="Q117" t="str">
        <f>VLOOKUP(D117,상품정보!$A$2:$D$151,3,FALSE)</f>
        <v>액세서리</v>
      </c>
      <c r="R117" t="str">
        <f>VLOOKUP(D117,상품정보!$A$2:$D$151,4,FALSE)</f>
        <v>브랜드B</v>
      </c>
    </row>
    <row r="118" spans="1:18" x14ac:dyDescent="0.45">
      <c r="A118" t="s">
        <v>104</v>
      </c>
      <c r="B118" t="s">
        <v>517</v>
      </c>
      <c r="C118" t="s">
        <v>2478</v>
      </c>
      <c r="D118" t="s">
        <v>2574</v>
      </c>
      <c r="E118">
        <v>3</v>
      </c>
      <c r="F118">
        <v>8600</v>
      </c>
      <c r="G118">
        <v>0</v>
      </c>
      <c r="H118">
        <v>1700</v>
      </c>
      <c r="I118" t="s">
        <v>2611</v>
      </c>
      <c r="J118" s="4">
        <f t="shared" si="3"/>
        <v>24100</v>
      </c>
      <c r="K118" s="4" t="str">
        <f t="shared" si="4"/>
        <v>2024-07</v>
      </c>
      <c r="L118" s="4" t="str">
        <f t="shared" si="5"/>
        <v>월</v>
      </c>
      <c r="M118" s="2" t="str">
        <f>VLOOKUP($C118, 고객정보!$A$2:$E$151, 2, FALSE)</f>
        <v>인천</v>
      </c>
      <c r="N118" t="str">
        <f>VLOOKUP(C118,고객정보!$A$2:$D$151,4,FALSE)</f>
        <v>L1</v>
      </c>
      <c r="O118" t="str">
        <f>VLOOKUP($C118, 고객정보!$A$2:$E$151, 5, FALSE)</f>
        <v>40대</v>
      </c>
      <c r="P118" t="str">
        <f>VLOOKUP(D118,상품정보!$A$2:$E$61,2,FALSE)</f>
        <v>셔츠</v>
      </c>
      <c r="Q118" t="str">
        <f>VLOOKUP(D118,상품정보!$A$2:$D$151,3,FALSE)</f>
        <v>의류</v>
      </c>
      <c r="R118" t="str">
        <f>VLOOKUP(D118,상품정보!$A$2:$D$151,4,FALSE)</f>
        <v>브랜드D</v>
      </c>
    </row>
    <row r="119" spans="1:18" x14ac:dyDescent="0.45">
      <c r="A119" t="s">
        <v>27</v>
      </c>
      <c r="B119" t="s">
        <v>518</v>
      </c>
      <c r="C119" t="s">
        <v>2427</v>
      </c>
      <c r="D119" t="s">
        <v>2565</v>
      </c>
      <c r="E119">
        <v>2</v>
      </c>
      <c r="F119">
        <v>50000</v>
      </c>
      <c r="G119">
        <v>1500</v>
      </c>
      <c r="H119">
        <v>0</v>
      </c>
      <c r="I119" t="s">
        <v>2652</v>
      </c>
      <c r="J119" s="4">
        <f t="shared" si="3"/>
        <v>101500</v>
      </c>
      <c r="K119" s="4" t="str">
        <f t="shared" si="4"/>
        <v>2024-12</v>
      </c>
      <c r="L119" s="4" t="str">
        <f t="shared" si="5"/>
        <v>수</v>
      </c>
      <c r="M119" s="2" t="str">
        <f>VLOOKUP($C119, 고객정보!$A$2:$E$151, 2, FALSE)</f>
        <v>부산</v>
      </c>
      <c r="N119" t="str">
        <f>VLOOKUP(C119,고객정보!$A$2:$D$151,4,FALSE)</f>
        <v>L4</v>
      </c>
      <c r="O119" t="str">
        <f>VLOOKUP($C119, 고객정보!$A$2:$E$151, 5, FALSE)</f>
        <v>20대</v>
      </c>
      <c r="P119" t="str">
        <f>VLOOKUP(D119,상품정보!$A$2:$E$61,2,FALSE)</f>
        <v>핸드폰케이스</v>
      </c>
      <c r="Q119" t="str">
        <f>VLOOKUP(D119,상품정보!$A$2:$D$151,3,FALSE)</f>
        <v>액세서리</v>
      </c>
      <c r="R119" t="str">
        <f>VLOOKUP(D119,상품정보!$A$2:$D$151,4,FALSE)</f>
        <v>브랜드B</v>
      </c>
    </row>
    <row r="120" spans="1:18" x14ac:dyDescent="0.45">
      <c r="A120" t="s">
        <v>105</v>
      </c>
      <c r="B120" t="s">
        <v>519</v>
      </c>
      <c r="C120" t="s">
        <v>2438</v>
      </c>
      <c r="D120" t="s">
        <v>2559</v>
      </c>
      <c r="E120">
        <v>1</v>
      </c>
      <c r="F120">
        <v>5400</v>
      </c>
      <c r="G120">
        <v>0</v>
      </c>
      <c r="H120">
        <v>400</v>
      </c>
      <c r="I120" t="s">
        <v>2613</v>
      </c>
      <c r="J120" s="4">
        <f t="shared" si="3"/>
        <v>5000</v>
      </c>
      <c r="K120" s="4" t="str">
        <f t="shared" si="4"/>
        <v>2024-08</v>
      </c>
      <c r="L120" s="4" t="str">
        <f t="shared" si="5"/>
        <v>수</v>
      </c>
      <c r="M120" s="2" t="str">
        <f>VLOOKUP($C120, 고객정보!$A$2:$E$151, 2, FALSE)</f>
        <v>대구</v>
      </c>
      <c r="N120" t="str">
        <f>VLOOKUP(C120,고객정보!$A$2:$D$151,4,FALSE)</f>
        <v>L4</v>
      </c>
      <c r="O120" t="str">
        <f>VLOOKUP($C120, 고객정보!$A$2:$E$151, 5, FALSE)</f>
        <v>30대</v>
      </c>
      <c r="P120" t="str">
        <f>VLOOKUP(D120,상품정보!$A$2:$E$61,2,FALSE)</f>
        <v>반지</v>
      </c>
      <c r="Q120" t="str">
        <f>VLOOKUP(D120,상품정보!$A$2:$D$151,3,FALSE)</f>
        <v>액세서리</v>
      </c>
      <c r="R120" t="str">
        <f>VLOOKUP(D120,상품정보!$A$2:$D$151,4,FALSE)</f>
        <v>브랜드D</v>
      </c>
    </row>
    <row r="121" spans="1:18" x14ac:dyDescent="0.45">
      <c r="A121" t="s">
        <v>106</v>
      </c>
      <c r="B121" t="s">
        <v>520</v>
      </c>
      <c r="C121" t="s">
        <v>2407</v>
      </c>
      <c r="D121" t="s">
        <v>2555</v>
      </c>
      <c r="E121">
        <v>4</v>
      </c>
      <c r="F121">
        <v>8300</v>
      </c>
      <c r="G121">
        <v>500</v>
      </c>
      <c r="H121">
        <v>0</v>
      </c>
      <c r="I121" t="s">
        <v>2652</v>
      </c>
      <c r="J121" s="4">
        <f t="shared" si="3"/>
        <v>33700</v>
      </c>
      <c r="K121" s="4" t="str">
        <f t="shared" si="4"/>
        <v>2024-06</v>
      </c>
      <c r="L121" s="4" t="str">
        <f t="shared" si="5"/>
        <v>금</v>
      </c>
      <c r="M121" s="2" t="str">
        <f>VLOOKUP($C121, 고객정보!$A$2:$E$151, 2, FALSE)</f>
        <v>서울</v>
      </c>
      <c r="N121" t="str">
        <f>VLOOKUP(C121,고객정보!$A$2:$D$151,4,FALSE)</f>
        <v>L5</v>
      </c>
      <c r="O121" t="str">
        <f>VLOOKUP($C121, 고객정보!$A$2:$E$151, 5, FALSE)</f>
        <v>30대</v>
      </c>
      <c r="P121" t="str">
        <f>VLOOKUP(D121,상품정보!$A$2:$E$61,2,FALSE)</f>
        <v>청바지</v>
      </c>
      <c r="Q121" t="str">
        <f>VLOOKUP(D121,상품정보!$A$2:$D$151,3,FALSE)</f>
        <v>의류</v>
      </c>
      <c r="R121" t="str">
        <f>VLOOKUP(D121,상품정보!$A$2:$D$151,4,FALSE)</f>
        <v>브랜드E</v>
      </c>
    </row>
    <row r="122" spans="1:18" x14ac:dyDescent="0.45">
      <c r="A122" t="s">
        <v>107</v>
      </c>
      <c r="B122" t="s">
        <v>521</v>
      </c>
      <c r="C122" t="s">
        <v>2479</v>
      </c>
      <c r="D122" t="s">
        <v>2602</v>
      </c>
      <c r="E122">
        <v>2</v>
      </c>
      <c r="F122">
        <v>59900</v>
      </c>
      <c r="G122">
        <v>0</v>
      </c>
      <c r="H122">
        <v>200</v>
      </c>
      <c r="I122" t="s">
        <v>2612</v>
      </c>
      <c r="J122" s="4">
        <f t="shared" si="3"/>
        <v>119600</v>
      </c>
      <c r="K122" s="4" t="str">
        <f t="shared" si="4"/>
        <v>2024-04</v>
      </c>
      <c r="L122" s="4" t="str">
        <f t="shared" si="5"/>
        <v>수</v>
      </c>
      <c r="M122" s="2" t="str">
        <f>VLOOKUP($C122, 고객정보!$A$2:$E$151, 2, FALSE)</f>
        <v>부산</v>
      </c>
      <c r="N122" t="str">
        <f>VLOOKUP(C122,고객정보!$A$2:$D$151,4,FALSE)</f>
        <v>L2</v>
      </c>
      <c r="O122" t="str">
        <f>VLOOKUP($C122, 고객정보!$A$2:$E$151, 5, FALSE)</f>
        <v>10대</v>
      </c>
      <c r="P122" t="str">
        <f>VLOOKUP(D122,상품정보!$A$2:$E$61,2,FALSE)</f>
        <v>셔츠</v>
      </c>
      <c r="Q122" t="str">
        <f>VLOOKUP(D122,상품정보!$A$2:$D$151,3,FALSE)</f>
        <v>의류</v>
      </c>
      <c r="R122" t="str">
        <f>VLOOKUP(D122,상품정보!$A$2:$D$151,4,FALSE)</f>
        <v>브랜드A</v>
      </c>
    </row>
    <row r="123" spans="1:18" x14ac:dyDescent="0.45">
      <c r="A123" t="s">
        <v>57</v>
      </c>
      <c r="B123" t="s">
        <v>522</v>
      </c>
      <c r="C123" t="s">
        <v>2480</v>
      </c>
      <c r="D123" t="s">
        <v>2567</v>
      </c>
      <c r="E123">
        <v>2</v>
      </c>
      <c r="F123">
        <v>58600</v>
      </c>
      <c r="G123">
        <v>0</v>
      </c>
      <c r="H123">
        <v>2200</v>
      </c>
      <c r="I123" t="s">
        <v>2613</v>
      </c>
      <c r="J123" s="4">
        <f t="shared" si="3"/>
        <v>115000</v>
      </c>
      <c r="K123" s="4" t="str">
        <f t="shared" si="4"/>
        <v>2024-07</v>
      </c>
      <c r="L123" s="4" t="str">
        <f t="shared" si="5"/>
        <v>화</v>
      </c>
      <c r="M123" s="2" t="str">
        <f>VLOOKUP($C123, 고객정보!$A$2:$E$151, 2, FALSE)</f>
        <v>서울</v>
      </c>
      <c r="N123" t="str">
        <f>VLOOKUP(C123,고객정보!$A$2:$D$151,4,FALSE)</f>
        <v>L1</v>
      </c>
      <c r="O123" t="str">
        <f>VLOOKUP($C123, 고객정보!$A$2:$E$151, 5, FALSE)</f>
        <v>20대</v>
      </c>
      <c r="P123" t="str">
        <f>VLOOKUP(D123,상품정보!$A$2:$E$61,2,FALSE)</f>
        <v>귀걸이</v>
      </c>
      <c r="Q123" t="str">
        <f>VLOOKUP(D123,상품정보!$A$2:$D$151,3,FALSE)</f>
        <v>액세서리</v>
      </c>
      <c r="R123" t="str">
        <f>VLOOKUP(D123,상품정보!$A$2:$D$151,4,FALSE)</f>
        <v>브랜드B</v>
      </c>
    </row>
    <row r="124" spans="1:18" x14ac:dyDescent="0.45">
      <c r="A124" t="s">
        <v>23</v>
      </c>
      <c r="B124" t="s">
        <v>523</v>
      </c>
      <c r="C124" t="s">
        <v>2481</v>
      </c>
      <c r="D124" t="s">
        <v>2565</v>
      </c>
      <c r="E124">
        <v>1</v>
      </c>
      <c r="F124">
        <v>50000</v>
      </c>
      <c r="G124">
        <v>0</v>
      </c>
      <c r="H124">
        <v>0</v>
      </c>
      <c r="I124" t="s">
        <v>2652</v>
      </c>
      <c r="J124" s="4">
        <f t="shared" si="3"/>
        <v>50000</v>
      </c>
      <c r="K124" s="4" t="str">
        <f t="shared" si="4"/>
        <v>2025-01</v>
      </c>
      <c r="L124" s="4" t="str">
        <f t="shared" si="5"/>
        <v>목</v>
      </c>
      <c r="M124" s="2" t="str">
        <f>VLOOKUP($C124, 고객정보!$A$2:$E$151, 2, FALSE)</f>
        <v>부산</v>
      </c>
      <c r="N124" t="str">
        <f>VLOOKUP(C124,고객정보!$A$2:$D$151,4,FALSE)</f>
        <v>L5</v>
      </c>
      <c r="O124" t="str">
        <f>VLOOKUP($C124, 고객정보!$A$2:$E$151, 5, FALSE)</f>
        <v>20대</v>
      </c>
      <c r="P124" t="str">
        <f>VLOOKUP(D124,상품정보!$A$2:$E$61,2,FALSE)</f>
        <v>핸드폰케이스</v>
      </c>
      <c r="Q124" t="str">
        <f>VLOOKUP(D124,상품정보!$A$2:$D$151,3,FALSE)</f>
        <v>액세서리</v>
      </c>
      <c r="R124" t="str">
        <f>VLOOKUP(D124,상품정보!$A$2:$D$151,4,FALSE)</f>
        <v>브랜드B</v>
      </c>
    </row>
    <row r="125" spans="1:18" x14ac:dyDescent="0.45">
      <c r="A125" t="s">
        <v>57</v>
      </c>
      <c r="B125" t="s">
        <v>524</v>
      </c>
      <c r="C125" t="s">
        <v>2458</v>
      </c>
      <c r="D125" t="s">
        <v>2603</v>
      </c>
      <c r="E125">
        <v>5</v>
      </c>
      <c r="F125">
        <v>8200</v>
      </c>
      <c r="G125">
        <v>500</v>
      </c>
      <c r="H125">
        <v>0</v>
      </c>
      <c r="I125" t="s">
        <v>2652</v>
      </c>
      <c r="J125" s="4">
        <f t="shared" si="3"/>
        <v>41500</v>
      </c>
      <c r="K125" s="4" t="str">
        <f t="shared" si="4"/>
        <v>2024-07</v>
      </c>
      <c r="L125" s="4" t="str">
        <f t="shared" si="5"/>
        <v>화</v>
      </c>
      <c r="M125" s="2" t="str">
        <f>VLOOKUP($C125, 고객정보!$A$2:$E$151, 2, FALSE)</f>
        <v>서울</v>
      </c>
      <c r="N125" t="str">
        <f>VLOOKUP(C125,고객정보!$A$2:$D$151,4,FALSE)</f>
        <v>L1</v>
      </c>
      <c r="O125" t="str">
        <f>VLOOKUP($C125, 고객정보!$A$2:$E$151, 5, FALSE)</f>
        <v>20대</v>
      </c>
      <c r="P125" t="str">
        <f>VLOOKUP(D125,상품정보!$A$2:$E$61,2,FALSE)</f>
        <v>목걸이</v>
      </c>
      <c r="Q125" t="str">
        <f>VLOOKUP(D125,상품정보!$A$2:$D$151,3,FALSE)</f>
        <v>액세서리</v>
      </c>
      <c r="R125" t="str">
        <f>VLOOKUP(D125,상품정보!$A$2:$D$151,4,FALSE)</f>
        <v>브랜드E</v>
      </c>
    </row>
    <row r="126" spans="1:18" x14ac:dyDescent="0.45">
      <c r="A126" t="s">
        <v>108</v>
      </c>
      <c r="B126" t="s">
        <v>525</v>
      </c>
      <c r="C126" t="s">
        <v>2436</v>
      </c>
      <c r="D126" t="s">
        <v>2558</v>
      </c>
      <c r="E126">
        <v>1</v>
      </c>
      <c r="F126">
        <v>63700</v>
      </c>
      <c r="G126">
        <v>1500</v>
      </c>
      <c r="H126">
        <v>0</v>
      </c>
      <c r="I126" t="s">
        <v>2652</v>
      </c>
      <c r="J126" s="4">
        <f t="shared" si="3"/>
        <v>65200</v>
      </c>
      <c r="K126" s="4" t="str">
        <f t="shared" si="4"/>
        <v>2024-02</v>
      </c>
      <c r="L126" s="4" t="str">
        <f t="shared" si="5"/>
        <v>목</v>
      </c>
      <c r="M126" s="2" t="str">
        <f>VLOOKUP($C126, 고객정보!$A$2:$E$151, 2, FALSE)</f>
        <v>인천</v>
      </c>
      <c r="N126" t="str">
        <f>VLOOKUP(C126,고객정보!$A$2:$D$151,4,FALSE)</f>
        <v>L4</v>
      </c>
      <c r="O126" t="str">
        <f>VLOOKUP($C126, 고객정보!$A$2:$E$151, 5, FALSE)</f>
        <v>10대</v>
      </c>
      <c r="P126" t="str">
        <f>VLOOKUP(D126,상품정보!$A$2:$E$61,2,FALSE)</f>
        <v>셔츠</v>
      </c>
      <c r="Q126" t="str">
        <f>VLOOKUP(D126,상품정보!$A$2:$D$151,3,FALSE)</f>
        <v>의류</v>
      </c>
      <c r="R126" t="str">
        <f>VLOOKUP(D126,상품정보!$A$2:$D$151,4,FALSE)</f>
        <v>브랜드A</v>
      </c>
    </row>
    <row r="127" spans="1:18" x14ac:dyDescent="0.45">
      <c r="A127" t="s">
        <v>55</v>
      </c>
      <c r="B127" t="s">
        <v>526</v>
      </c>
      <c r="C127" t="s">
        <v>2482</v>
      </c>
      <c r="D127" t="s">
        <v>2604</v>
      </c>
      <c r="E127">
        <v>5</v>
      </c>
      <c r="F127">
        <v>9700</v>
      </c>
      <c r="G127">
        <v>1000</v>
      </c>
      <c r="H127">
        <v>0</v>
      </c>
      <c r="I127" t="s">
        <v>2652</v>
      </c>
      <c r="J127" s="4">
        <f t="shared" si="3"/>
        <v>49500</v>
      </c>
      <c r="K127" s="4" t="str">
        <f t="shared" si="4"/>
        <v>2024-05</v>
      </c>
      <c r="L127" s="4" t="str">
        <f t="shared" si="5"/>
        <v>수</v>
      </c>
      <c r="M127" s="2" t="str">
        <f>VLOOKUP($C127, 고객정보!$A$2:$E$151, 2, FALSE)</f>
        <v>서울</v>
      </c>
      <c r="N127" t="str">
        <f>VLOOKUP(C127,고객정보!$A$2:$D$151,4,FALSE)</f>
        <v>L2</v>
      </c>
      <c r="O127" t="str">
        <f>VLOOKUP($C127, 고객정보!$A$2:$E$151, 5, FALSE)</f>
        <v>30대</v>
      </c>
      <c r="P127" t="str">
        <f>VLOOKUP(D127,상품정보!$A$2:$E$61,2,FALSE)</f>
        <v>반팔 티셔츠</v>
      </c>
      <c r="Q127" t="str">
        <f>VLOOKUP(D127,상품정보!$A$2:$D$151,3,FALSE)</f>
        <v>의류</v>
      </c>
      <c r="R127" t="str">
        <f>VLOOKUP(D127,상품정보!$A$2:$D$151,4,FALSE)</f>
        <v>브랜드E</v>
      </c>
    </row>
    <row r="128" spans="1:18" x14ac:dyDescent="0.45">
      <c r="A128" t="s">
        <v>44</v>
      </c>
      <c r="B128" t="s">
        <v>527</v>
      </c>
      <c r="C128" t="s">
        <v>2483</v>
      </c>
      <c r="D128" t="s">
        <v>2591</v>
      </c>
      <c r="E128">
        <v>5</v>
      </c>
      <c r="F128">
        <v>69200</v>
      </c>
      <c r="G128">
        <v>1000</v>
      </c>
      <c r="H128">
        <v>21700</v>
      </c>
      <c r="I128" t="s">
        <v>2612</v>
      </c>
      <c r="J128" s="4">
        <f t="shared" si="3"/>
        <v>325300</v>
      </c>
      <c r="K128" s="4" t="str">
        <f t="shared" si="4"/>
        <v>2024-08</v>
      </c>
      <c r="L128" s="4" t="str">
        <f t="shared" si="5"/>
        <v>토</v>
      </c>
      <c r="M128" s="2" t="str">
        <f>VLOOKUP($C128, 고객정보!$A$2:$E$151, 2, FALSE)</f>
        <v>인천</v>
      </c>
      <c r="N128" t="str">
        <f>VLOOKUP(C128,고객정보!$A$2:$D$151,4,FALSE)</f>
        <v>L1</v>
      </c>
      <c r="O128" t="str">
        <f>VLOOKUP($C128, 고객정보!$A$2:$E$151, 5, FALSE)</f>
        <v>30대</v>
      </c>
      <c r="P128" t="str">
        <f>VLOOKUP(D128,상품정보!$A$2:$E$61,2,FALSE)</f>
        <v>셔츠</v>
      </c>
      <c r="Q128" t="str">
        <f>VLOOKUP(D128,상품정보!$A$2:$D$151,3,FALSE)</f>
        <v>의류</v>
      </c>
      <c r="R128" t="str">
        <f>VLOOKUP(D128,상품정보!$A$2:$D$151,4,FALSE)</f>
        <v>브랜드F</v>
      </c>
    </row>
    <row r="129" spans="1:18" x14ac:dyDescent="0.45">
      <c r="A129" t="s">
        <v>109</v>
      </c>
      <c r="B129" t="s">
        <v>528</v>
      </c>
      <c r="C129" t="s">
        <v>2412</v>
      </c>
      <c r="D129" t="s">
        <v>2586</v>
      </c>
      <c r="E129">
        <v>3</v>
      </c>
      <c r="F129">
        <v>73000</v>
      </c>
      <c r="G129">
        <v>2000</v>
      </c>
      <c r="H129">
        <v>3600</v>
      </c>
      <c r="I129" t="s">
        <v>2614</v>
      </c>
      <c r="J129" s="4">
        <f t="shared" si="3"/>
        <v>217400</v>
      </c>
      <c r="K129" s="4" t="str">
        <f t="shared" si="4"/>
        <v>2024-08</v>
      </c>
      <c r="L129" s="4" t="str">
        <f t="shared" si="5"/>
        <v>일</v>
      </c>
      <c r="M129" s="2" t="str">
        <f>VLOOKUP($C129, 고객정보!$A$2:$E$151, 2, FALSE)</f>
        <v>대전</v>
      </c>
      <c r="N129" t="str">
        <f>VLOOKUP(C129,고객정보!$A$2:$D$151,4,FALSE)</f>
        <v>L4</v>
      </c>
      <c r="O129" t="str">
        <f>VLOOKUP($C129, 고객정보!$A$2:$E$151, 5, FALSE)</f>
        <v>30대</v>
      </c>
      <c r="P129" t="str">
        <f>VLOOKUP(D129,상품정보!$A$2:$E$61,2,FALSE)</f>
        <v>귀걸이</v>
      </c>
      <c r="Q129" t="str">
        <f>VLOOKUP(D129,상품정보!$A$2:$D$151,3,FALSE)</f>
        <v>액세서리</v>
      </c>
      <c r="R129" t="str">
        <f>VLOOKUP(D129,상품정보!$A$2:$D$151,4,FALSE)</f>
        <v>브랜드B</v>
      </c>
    </row>
    <row r="130" spans="1:18" x14ac:dyDescent="0.45">
      <c r="A130" t="s">
        <v>110</v>
      </c>
      <c r="B130" t="s">
        <v>529</v>
      </c>
      <c r="C130" t="s">
        <v>2484</v>
      </c>
      <c r="D130" t="s">
        <v>2580</v>
      </c>
      <c r="E130">
        <v>4</v>
      </c>
      <c r="F130">
        <v>77800</v>
      </c>
      <c r="G130">
        <v>0</v>
      </c>
      <c r="H130">
        <v>0</v>
      </c>
      <c r="I130" t="s">
        <v>2652</v>
      </c>
      <c r="J130" s="4">
        <f t="shared" si="3"/>
        <v>311200</v>
      </c>
      <c r="K130" s="4" t="str">
        <f t="shared" si="4"/>
        <v>2024-10</v>
      </c>
      <c r="L130" s="4" t="str">
        <f t="shared" si="5"/>
        <v>화</v>
      </c>
      <c r="M130" s="2" t="str">
        <f>VLOOKUP($C130, 고객정보!$A$2:$E$151, 2, FALSE)</f>
        <v>부산</v>
      </c>
      <c r="N130" t="str">
        <f>VLOOKUP(C130,고객정보!$A$2:$D$151,4,FALSE)</f>
        <v>L5</v>
      </c>
      <c r="O130" t="str">
        <f>VLOOKUP($C130, 고객정보!$A$2:$E$151, 5, FALSE)</f>
        <v>20대</v>
      </c>
      <c r="P130" t="str">
        <f>VLOOKUP(D130,상품정보!$A$2:$E$61,2,FALSE)</f>
        <v>청바지</v>
      </c>
      <c r="Q130" t="str">
        <f>VLOOKUP(D130,상품정보!$A$2:$D$151,3,FALSE)</f>
        <v>의류</v>
      </c>
      <c r="R130" t="str">
        <f>VLOOKUP(D130,상품정보!$A$2:$D$151,4,FALSE)</f>
        <v>브랜드A</v>
      </c>
    </row>
    <row r="131" spans="1:18" x14ac:dyDescent="0.45">
      <c r="A131" t="s">
        <v>111</v>
      </c>
      <c r="B131" t="s">
        <v>530</v>
      </c>
      <c r="C131" t="s">
        <v>2464</v>
      </c>
      <c r="D131" t="s">
        <v>2605</v>
      </c>
      <c r="E131">
        <v>1</v>
      </c>
      <c r="F131">
        <v>6800</v>
      </c>
      <c r="G131">
        <v>500</v>
      </c>
      <c r="H131">
        <v>0</v>
      </c>
      <c r="I131" t="s">
        <v>2652</v>
      </c>
      <c r="J131" s="4">
        <f t="shared" ref="J131:J194" si="6">E131*F131+G131-H131</f>
        <v>7300</v>
      </c>
      <c r="K131" s="4" t="str">
        <f t="shared" ref="K131:K194" si="7">LEFT(A131,7)</f>
        <v>2024-12</v>
      </c>
      <c r="L131" s="4" t="str">
        <f t="shared" ref="L131:L194" si="8">TEXT(WEEKDAY(A131),"aaa")</f>
        <v>토</v>
      </c>
      <c r="M131" s="2" t="str">
        <f>VLOOKUP($C131, 고객정보!$A$2:$E$151, 2, FALSE)</f>
        <v>대구</v>
      </c>
      <c r="N131" t="str">
        <f>VLOOKUP(C131,고객정보!$A$2:$D$151,4,FALSE)</f>
        <v>L1</v>
      </c>
      <c r="O131" t="str">
        <f>VLOOKUP($C131, 고객정보!$A$2:$E$151, 5, FALSE)</f>
        <v>20대</v>
      </c>
      <c r="P131" t="str">
        <f>VLOOKUP(D131,상품정보!$A$2:$E$61,2,FALSE)</f>
        <v>핸드폰케이스</v>
      </c>
      <c r="Q131" t="str">
        <f>VLOOKUP(D131,상품정보!$A$2:$D$151,3,FALSE)</f>
        <v>액세서리</v>
      </c>
      <c r="R131" t="str">
        <f>VLOOKUP(D131,상품정보!$A$2:$D$151,4,FALSE)</f>
        <v>브랜드D</v>
      </c>
    </row>
    <row r="132" spans="1:18" x14ac:dyDescent="0.45">
      <c r="A132" t="s">
        <v>36</v>
      </c>
      <c r="B132" t="s">
        <v>531</v>
      </c>
      <c r="C132" t="s">
        <v>2485</v>
      </c>
      <c r="D132" t="s">
        <v>2594</v>
      </c>
      <c r="E132">
        <v>5</v>
      </c>
      <c r="F132">
        <v>73000</v>
      </c>
      <c r="G132">
        <v>0</v>
      </c>
      <c r="H132">
        <v>0</v>
      </c>
      <c r="I132" t="s">
        <v>2652</v>
      </c>
      <c r="J132" s="4">
        <f t="shared" si="6"/>
        <v>365000</v>
      </c>
      <c r="K132" s="4" t="str">
        <f t="shared" si="7"/>
        <v>2024-10</v>
      </c>
      <c r="L132" s="4" t="str">
        <f t="shared" si="8"/>
        <v>수</v>
      </c>
      <c r="M132" s="2" t="str">
        <f>VLOOKUP($C132, 고객정보!$A$2:$E$151, 2, FALSE)</f>
        <v>서울</v>
      </c>
      <c r="N132" t="str">
        <f>VLOOKUP(C132,고객정보!$A$2:$D$151,4,FALSE)</f>
        <v>L4</v>
      </c>
      <c r="O132" t="str">
        <f>VLOOKUP($C132, 고객정보!$A$2:$E$151, 5, FALSE)</f>
        <v>40대</v>
      </c>
      <c r="P132" t="str">
        <f>VLOOKUP(D132,상품정보!$A$2:$E$61,2,FALSE)</f>
        <v>자켓</v>
      </c>
      <c r="Q132" t="str">
        <f>VLOOKUP(D132,상품정보!$A$2:$D$151,3,FALSE)</f>
        <v>의류</v>
      </c>
      <c r="R132" t="str">
        <f>VLOOKUP(D132,상품정보!$A$2:$D$151,4,FALSE)</f>
        <v>브랜드A</v>
      </c>
    </row>
    <row r="133" spans="1:18" x14ac:dyDescent="0.45">
      <c r="A133" t="s">
        <v>53</v>
      </c>
      <c r="B133" t="s">
        <v>532</v>
      </c>
      <c r="C133" t="s">
        <v>2486</v>
      </c>
      <c r="D133" t="s">
        <v>2599</v>
      </c>
      <c r="E133">
        <v>4</v>
      </c>
      <c r="F133">
        <v>73800</v>
      </c>
      <c r="G133">
        <v>0</v>
      </c>
      <c r="H133">
        <v>0</v>
      </c>
      <c r="I133" t="s">
        <v>2652</v>
      </c>
      <c r="J133" s="4">
        <f t="shared" si="6"/>
        <v>295200</v>
      </c>
      <c r="K133" s="4" t="str">
        <f t="shared" si="7"/>
        <v>2024-02</v>
      </c>
      <c r="L133" s="4" t="str">
        <f t="shared" si="8"/>
        <v>월</v>
      </c>
      <c r="M133" s="2" t="str">
        <f>VLOOKUP($C133, 고객정보!$A$2:$E$151, 2, FALSE)</f>
        <v>수원</v>
      </c>
      <c r="N133" t="str">
        <f>VLOOKUP(C133,고객정보!$A$2:$D$151,4,FALSE)</f>
        <v>L1</v>
      </c>
      <c r="O133" t="str">
        <f>VLOOKUP($C133, 고객정보!$A$2:$E$151, 5, FALSE)</f>
        <v>40대</v>
      </c>
      <c r="P133" t="str">
        <f>VLOOKUP(D133,상품정보!$A$2:$E$61,2,FALSE)</f>
        <v>핸드폰케이스</v>
      </c>
      <c r="Q133" t="str">
        <f>VLOOKUP(D133,상품정보!$A$2:$D$151,3,FALSE)</f>
        <v>액세서리</v>
      </c>
      <c r="R133" t="str">
        <f>VLOOKUP(D133,상품정보!$A$2:$D$151,4,FALSE)</f>
        <v>브랜드F</v>
      </c>
    </row>
    <row r="134" spans="1:18" x14ac:dyDescent="0.45">
      <c r="A134" t="s">
        <v>112</v>
      </c>
      <c r="B134" t="s">
        <v>533</v>
      </c>
      <c r="C134" t="s">
        <v>2481</v>
      </c>
      <c r="D134" t="s">
        <v>2598</v>
      </c>
      <c r="E134">
        <v>3</v>
      </c>
      <c r="F134">
        <v>77300</v>
      </c>
      <c r="G134">
        <v>0</v>
      </c>
      <c r="H134">
        <v>0</v>
      </c>
      <c r="I134" t="s">
        <v>2652</v>
      </c>
      <c r="J134" s="4">
        <f t="shared" si="6"/>
        <v>231900</v>
      </c>
      <c r="K134" s="4" t="str">
        <f t="shared" si="7"/>
        <v>2024-12</v>
      </c>
      <c r="L134" s="4" t="str">
        <f t="shared" si="8"/>
        <v>목</v>
      </c>
      <c r="M134" s="2" t="str">
        <f>VLOOKUP($C134, 고객정보!$A$2:$E$151, 2, FALSE)</f>
        <v>부산</v>
      </c>
      <c r="N134" t="str">
        <f>VLOOKUP(C134,고객정보!$A$2:$D$151,4,FALSE)</f>
        <v>L5</v>
      </c>
      <c r="O134" t="str">
        <f>VLOOKUP($C134, 고객정보!$A$2:$E$151, 5, FALSE)</f>
        <v>20대</v>
      </c>
      <c r="P134" t="str">
        <f>VLOOKUP(D134,상품정보!$A$2:$E$61,2,FALSE)</f>
        <v>청바지</v>
      </c>
      <c r="Q134" t="str">
        <f>VLOOKUP(D134,상품정보!$A$2:$D$151,3,FALSE)</f>
        <v>의류</v>
      </c>
      <c r="R134" t="str">
        <f>VLOOKUP(D134,상품정보!$A$2:$D$151,4,FALSE)</f>
        <v>브랜드F</v>
      </c>
    </row>
    <row r="135" spans="1:18" x14ac:dyDescent="0.45">
      <c r="A135" t="s">
        <v>46</v>
      </c>
      <c r="B135" t="s">
        <v>534</v>
      </c>
      <c r="C135" t="s">
        <v>2487</v>
      </c>
      <c r="D135" t="s">
        <v>2586</v>
      </c>
      <c r="E135">
        <v>3</v>
      </c>
      <c r="F135">
        <v>73000</v>
      </c>
      <c r="G135">
        <v>0</v>
      </c>
      <c r="H135">
        <v>0</v>
      </c>
      <c r="I135" t="s">
        <v>2652</v>
      </c>
      <c r="J135" s="4">
        <f t="shared" si="6"/>
        <v>219000</v>
      </c>
      <c r="K135" s="4" t="str">
        <f t="shared" si="7"/>
        <v>2024-09</v>
      </c>
      <c r="L135" s="4" t="str">
        <f t="shared" si="8"/>
        <v>월</v>
      </c>
      <c r="M135" s="2" t="str">
        <f>VLOOKUP($C135, 고객정보!$A$2:$E$151, 2, FALSE)</f>
        <v>서울</v>
      </c>
      <c r="N135" t="str">
        <f>VLOOKUP(C135,고객정보!$A$2:$D$151,4,FALSE)</f>
        <v>L1</v>
      </c>
      <c r="O135" t="str">
        <f>VLOOKUP($C135, 고객정보!$A$2:$E$151, 5, FALSE)</f>
        <v>10대</v>
      </c>
      <c r="P135" t="str">
        <f>VLOOKUP(D135,상품정보!$A$2:$E$61,2,FALSE)</f>
        <v>귀걸이</v>
      </c>
      <c r="Q135" t="str">
        <f>VLOOKUP(D135,상품정보!$A$2:$D$151,3,FALSE)</f>
        <v>액세서리</v>
      </c>
      <c r="R135" t="str">
        <f>VLOOKUP(D135,상품정보!$A$2:$D$151,4,FALSE)</f>
        <v>브랜드B</v>
      </c>
    </row>
    <row r="136" spans="1:18" x14ac:dyDescent="0.45">
      <c r="A136" t="s">
        <v>113</v>
      </c>
      <c r="B136" t="s">
        <v>535</v>
      </c>
      <c r="C136" t="s">
        <v>2488</v>
      </c>
      <c r="D136" t="s">
        <v>2567</v>
      </c>
      <c r="E136">
        <v>4</v>
      </c>
      <c r="F136">
        <v>58600</v>
      </c>
      <c r="G136">
        <v>0</v>
      </c>
      <c r="H136">
        <v>8700</v>
      </c>
      <c r="I136" t="s">
        <v>2613</v>
      </c>
      <c r="J136" s="4">
        <f t="shared" si="6"/>
        <v>225700</v>
      </c>
      <c r="K136" s="4" t="str">
        <f t="shared" si="7"/>
        <v>2024-06</v>
      </c>
      <c r="L136" s="4" t="str">
        <f t="shared" si="8"/>
        <v>일</v>
      </c>
      <c r="M136" s="2" t="str">
        <f>VLOOKUP($C136, 고객정보!$A$2:$E$151, 2, FALSE)</f>
        <v>서울</v>
      </c>
      <c r="N136" t="str">
        <f>VLOOKUP(C136,고객정보!$A$2:$D$151,4,FALSE)</f>
        <v>L3</v>
      </c>
      <c r="O136" t="str">
        <f>VLOOKUP($C136, 고객정보!$A$2:$E$151, 5, FALSE)</f>
        <v>40대</v>
      </c>
      <c r="P136" t="str">
        <f>VLOOKUP(D136,상품정보!$A$2:$E$61,2,FALSE)</f>
        <v>귀걸이</v>
      </c>
      <c r="Q136" t="str">
        <f>VLOOKUP(D136,상품정보!$A$2:$D$151,3,FALSE)</f>
        <v>액세서리</v>
      </c>
      <c r="R136" t="str">
        <f>VLOOKUP(D136,상품정보!$A$2:$D$151,4,FALSE)</f>
        <v>브랜드B</v>
      </c>
    </row>
    <row r="137" spans="1:18" x14ac:dyDescent="0.45">
      <c r="A137" t="s">
        <v>41</v>
      </c>
      <c r="B137" t="s">
        <v>536</v>
      </c>
      <c r="C137" t="s">
        <v>2456</v>
      </c>
      <c r="D137" t="s">
        <v>2606</v>
      </c>
      <c r="E137">
        <v>3</v>
      </c>
      <c r="F137">
        <v>15000</v>
      </c>
      <c r="G137">
        <v>1000</v>
      </c>
      <c r="H137">
        <v>0</v>
      </c>
      <c r="I137" t="s">
        <v>2652</v>
      </c>
      <c r="J137" s="4">
        <f t="shared" si="6"/>
        <v>46000</v>
      </c>
      <c r="K137" s="4" t="str">
        <f t="shared" si="7"/>
        <v>2024-10</v>
      </c>
      <c r="L137" s="4" t="str">
        <f t="shared" si="8"/>
        <v>목</v>
      </c>
      <c r="M137" s="2" t="str">
        <f>VLOOKUP($C137, 고객정보!$A$2:$E$151, 2, FALSE)</f>
        <v>대구</v>
      </c>
      <c r="N137" t="str">
        <f>VLOOKUP(C137,고객정보!$A$2:$D$151,4,FALSE)</f>
        <v>L3</v>
      </c>
      <c r="O137" t="str">
        <f>VLOOKUP($C137, 고객정보!$A$2:$E$151, 5, FALSE)</f>
        <v>30대</v>
      </c>
      <c r="P137" t="str">
        <f>VLOOKUP(D137,상품정보!$A$2:$E$61,2,FALSE)</f>
        <v>귀걸이</v>
      </c>
      <c r="Q137" t="str">
        <f>VLOOKUP(D137,상품정보!$A$2:$D$151,3,FALSE)</f>
        <v>액세서리</v>
      </c>
      <c r="R137" t="str">
        <f>VLOOKUP(D137,상품정보!$A$2:$D$151,4,FALSE)</f>
        <v>브랜드E</v>
      </c>
    </row>
    <row r="138" spans="1:18" x14ac:dyDescent="0.45">
      <c r="A138" t="s">
        <v>114</v>
      </c>
      <c r="B138" t="s">
        <v>537</v>
      </c>
      <c r="C138" t="s">
        <v>2475</v>
      </c>
      <c r="D138" t="s">
        <v>2555</v>
      </c>
      <c r="E138">
        <v>4</v>
      </c>
      <c r="F138">
        <v>8300</v>
      </c>
      <c r="G138">
        <v>0</v>
      </c>
      <c r="H138">
        <v>0</v>
      </c>
      <c r="I138" t="s">
        <v>2652</v>
      </c>
      <c r="J138" s="4">
        <f t="shared" si="6"/>
        <v>33200</v>
      </c>
      <c r="K138" s="4" t="str">
        <f t="shared" si="7"/>
        <v>2024-12</v>
      </c>
      <c r="L138" s="4" t="str">
        <f t="shared" si="8"/>
        <v>금</v>
      </c>
      <c r="M138" s="2" t="str">
        <f>VLOOKUP($C138, 고객정보!$A$2:$E$151, 2, FALSE)</f>
        <v>서울</v>
      </c>
      <c r="N138" t="str">
        <f>VLOOKUP(C138,고객정보!$A$2:$D$151,4,FALSE)</f>
        <v>L2</v>
      </c>
      <c r="O138" t="str">
        <f>VLOOKUP($C138, 고객정보!$A$2:$E$151, 5, FALSE)</f>
        <v>10대</v>
      </c>
      <c r="P138" t="str">
        <f>VLOOKUP(D138,상품정보!$A$2:$E$61,2,FALSE)</f>
        <v>청바지</v>
      </c>
      <c r="Q138" t="str">
        <f>VLOOKUP(D138,상품정보!$A$2:$D$151,3,FALSE)</f>
        <v>의류</v>
      </c>
      <c r="R138" t="str">
        <f>VLOOKUP(D138,상품정보!$A$2:$D$151,4,FALSE)</f>
        <v>브랜드E</v>
      </c>
    </row>
    <row r="139" spans="1:18" x14ac:dyDescent="0.45">
      <c r="A139" t="s">
        <v>115</v>
      </c>
      <c r="B139" t="s">
        <v>538</v>
      </c>
      <c r="C139" t="s">
        <v>2418</v>
      </c>
      <c r="D139" t="s">
        <v>2579</v>
      </c>
      <c r="E139">
        <v>2</v>
      </c>
      <c r="F139">
        <v>51000</v>
      </c>
      <c r="G139">
        <v>0</v>
      </c>
      <c r="H139">
        <v>4800</v>
      </c>
      <c r="I139" t="s">
        <v>2612</v>
      </c>
      <c r="J139" s="4">
        <f t="shared" si="6"/>
        <v>97200</v>
      </c>
      <c r="K139" s="4" t="str">
        <f t="shared" si="7"/>
        <v>2024-11</v>
      </c>
      <c r="L139" s="4" t="str">
        <f t="shared" si="8"/>
        <v>월</v>
      </c>
      <c r="M139" s="2" t="str">
        <f>VLOOKUP($C139, 고객정보!$A$2:$E$151, 2, FALSE)</f>
        <v>부산</v>
      </c>
      <c r="N139" t="str">
        <f>VLOOKUP(C139,고객정보!$A$2:$D$151,4,FALSE)</f>
        <v>L5</v>
      </c>
      <c r="O139" t="str">
        <f>VLOOKUP($C139, 고객정보!$A$2:$E$151, 5, FALSE)</f>
        <v>30대</v>
      </c>
      <c r="P139" t="str">
        <f>VLOOKUP(D139,상품정보!$A$2:$E$61,2,FALSE)</f>
        <v>핸드폰케이스</v>
      </c>
      <c r="Q139" t="str">
        <f>VLOOKUP(D139,상품정보!$A$2:$D$151,3,FALSE)</f>
        <v>액세서리</v>
      </c>
      <c r="R139" t="str">
        <f>VLOOKUP(D139,상품정보!$A$2:$D$151,4,FALSE)</f>
        <v>브랜드F</v>
      </c>
    </row>
    <row r="140" spans="1:18" x14ac:dyDescent="0.45">
      <c r="A140" t="s">
        <v>116</v>
      </c>
      <c r="B140" t="s">
        <v>539</v>
      </c>
      <c r="C140" t="s">
        <v>2489</v>
      </c>
      <c r="D140" t="s">
        <v>2600</v>
      </c>
      <c r="E140">
        <v>4</v>
      </c>
      <c r="F140">
        <v>10900</v>
      </c>
      <c r="G140">
        <v>1500</v>
      </c>
      <c r="H140">
        <v>0</v>
      </c>
      <c r="I140" t="s">
        <v>2652</v>
      </c>
      <c r="J140" s="4">
        <f t="shared" si="6"/>
        <v>45100</v>
      </c>
      <c r="K140" s="4" t="str">
        <f t="shared" si="7"/>
        <v>2024-10</v>
      </c>
      <c r="L140" s="4" t="str">
        <f t="shared" si="8"/>
        <v>월</v>
      </c>
      <c r="M140" s="2" t="str">
        <f>VLOOKUP($C140, 고객정보!$A$2:$E$151, 2, FALSE)</f>
        <v>서울</v>
      </c>
      <c r="N140" t="str">
        <f>VLOOKUP(C140,고객정보!$A$2:$D$151,4,FALSE)</f>
        <v>L3</v>
      </c>
      <c r="O140" t="str">
        <f>VLOOKUP($C140, 고객정보!$A$2:$E$151, 5, FALSE)</f>
        <v>10대</v>
      </c>
      <c r="P140" t="str">
        <f>VLOOKUP(D140,상품정보!$A$2:$E$61,2,FALSE)</f>
        <v>셔츠</v>
      </c>
      <c r="Q140" t="str">
        <f>VLOOKUP(D140,상품정보!$A$2:$D$151,3,FALSE)</f>
        <v>의류</v>
      </c>
      <c r="R140" t="str">
        <f>VLOOKUP(D140,상품정보!$A$2:$D$151,4,FALSE)</f>
        <v>브랜드E</v>
      </c>
    </row>
    <row r="141" spans="1:18" x14ac:dyDescent="0.45">
      <c r="A141" t="s">
        <v>100</v>
      </c>
      <c r="B141" t="s">
        <v>540</v>
      </c>
      <c r="C141" t="s">
        <v>2490</v>
      </c>
      <c r="D141" t="s">
        <v>2600</v>
      </c>
      <c r="E141">
        <v>3</v>
      </c>
      <c r="F141">
        <v>10900</v>
      </c>
      <c r="G141">
        <v>500</v>
      </c>
      <c r="H141">
        <v>14600</v>
      </c>
      <c r="I141" t="s">
        <v>2611</v>
      </c>
      <c r="J141" s="4">
        <f t="shared" si="6"/>
        <v>18600</v>
      </c>
      <c r="K141" s="4" t="str">
        <f t="shared" si="7"/>
        <v>2024-04</v>
      </c>
      <c r="L141" s="4" t="str">
        <f t="shared" si="8"/>
        <v>수</v>
      </c>
      <c r="M141" s="2" t="str">
        <f>VLOOKUP($C141, 고객정보!$A$2:$E$151, 2, FALSE)</f>
        <v>부산</v>
      </c>
      <c r="N141" t="str">
        <f>VLOOKUP(C141,고객정보!$A$2:$D$151,4,FALSE)</f>
        <v>L3</v>
      </c>
      <c r="O141" t="str">
        <f>VLOOKUP($C141, 고객정보!$A$2:$E$151, 5, FALSE)</f>
        <v>20대</v>
      </c>
      <c r="P141" t="str">
        <f>VLOOKUP(D141,상품정보!$A$2:$E$61,2,FALSE)</f>
        <v>셔츠</v>
      </c>
      <c r="Q141" t="str">
        <f>VLOOKUP(D141,상품정보!$A$2:$D$151,3,FALSE)</f>
        <v>의류</v>
      </c>
      <c r="R141" t="str">
        <f>VLOOKUP(D141,상품정보!$A$2:$D$151,4,FALSE)</f>
        <v>브랜드E</v>
      </c>
    </row>
    <row r="142" spans="1:18" x14ac:dyDescent="0.45">
      <c r="A142" t="s">
        <v>117</v>
      </c>
      <c r="B142" t="s">
        <v>541</v>
      </c>
      <c r="C142" t="s">
        <v>2491</v>
      </c>
      <c r="D142" t="s">
        <v>2577</v>
      </c>
      <c r="E142">
        <v>5</v>
      </c>
      <c r="F142">
        <v>10200</v>
      </c>
      <c r="G142">
        <v>0</v>
      </c>
      <c r="H142">
        <v>16000</v>
      </c>
      <c r="I142" t="s">
        <v>2614</v>
      </c>
      <c r="J142" s="4">
        <f t="shared" si="6"/>
        <v>35000</v>
      </c>
      <c r="K142" s="4" t="str">
        <f t="shared" si="7"/>
        <v>2024-11</v>
      </c>
      <c r="L142" s="4" t="str">
        <f t="shared" si="8"/>
        <v>수</v>
      </c>
      <c r="M142" s="2" t="str">
        <f>VLOOKUP($C142, 고객정보!$A$2:$E$151, 2, FALSE)</f>
        <v>서울</v>
      </c>
      <c r="N142" t="str">
        <f>VLOOKUP(C142,고객정보!$A$2:$D$151,4,FALSE)</f>
        <v>L5</v>
      </c>
      <c r="O142" t="str">
        <f>VLOOKUP($C142, 고객정보!$A$2:$E$151, 5, FALSE)</f>
        <v>30대</v>
      </c>
      <c r="P142" t="str">
        <f>VLOOKUP(D142,상품정보!$A$2:$E$61,2,FALSE)</f>
        <v>셔츠</v>
      </c>
      <c r="Q142" t="str">
        <f>VLOOKUP(D142,상품정보!$A$2:$D$151,3,FALSE)</f>
        <v>의류</v>
      </c>
      <c r="R142" t="str">
        <f>VLOOKUP(D142,상품정보!$A$2:$D$151,4,FALSE)</f>
        <v>브랜드C</v>
      </c>
    </row>
    <row r="143" spans="1:18" x14ac:dyDescent="0.45">
      <c r="A143" t="s">
        <v>118</v>
      </c>
      <c r="B143" t="s">
        <v>542</v>
      </c>
      <c r="C143" t="s">
        <v>2442</v>
      </c>
      <c r="D143" t="s">
        <v>2581</v>
      </c>
      <c r="E143">
        <v>4</v>
      </c>
      <c r="F143">
        <v>72900</v>
      </c>
      <c r="G143">
        <v>2000</v>
      </c>
      <c r="H143">
        <v>0</v>
      </c>
      <c r="I143" t="s">
        <v>2652</v>
      </c>
      <c r="J143" s="4">
        <f t="shared" si="6"/>
        <v>293600</v>
      </c>
      <c r="K143" s="4" t="str">
        <f t="shared" si="7"/>
        <v>2024-08</v>
      </c>
      <c r="L143" s="4" t="str">
        <f t="shared" si="8"/>
        <v>수</v>
      </c>
      <c r="M143" s="2" t="str">
        <f>VLOOKUP($C143, 고객정보!$A$2:$E$151, 2, FALSE)</f>
        <v>부산</v>
      </c>
      <c r="N143" t="str">
        <f>VLOOKUP(C143,고객정보!$A$2:$D$151,4,FALSE)</f>
        <v>L1</v>
      </c>
      <c r="O143" t="str">
        <f>VLOOKUP($C143, 고객정보!$A$2:$E$151, 5, FALSE)</f>
        <v>40대</v>
      </c>
      <c r="P143" t="str">
        <f>VLOOKUP(D143,상품정보!$A$2:$E$61,2,FALSE)</f>
        <v>귀걸이</v>
      </c>
      <c r="Q143" t="str">
        <f>VLOOKUP(D143,상품정보!$A$2:$D$151,3,FALSE)</f>
        <v>액세서리</v>
      </c>
      <c r="R143" t="str">
        <f>VLOOKUP(D143,상품정보!$A$2:$D$151,4,FALSE)</f>
        <v>브랜드F</v>
      </c>
    </row>
    <row r="144" spans="1:18" x14ac:dyDescent="0.45">
      <c r="A144" t="s">
        <v>119</v>
      </c>
      <c r="B144" t="s">
        <v>543</v>
      </c>
      <c r="C144" t="s">
        <v>2447</v>
      </c>
      <c r="D144" t="s">
        <v>2554</v>
      </c>
      <c r="E144">
        <v>4</v>
      </c>
      <c r="F144">
        <v>12100</v>
      </c>
      <c r="G144">
        <v>500</v>
      </c>
      <c r="H144">
        <v>0</v>
      </c>
      <c r="I144" t="s">
        <v>2652</v>
      </c>
      <c r="J144" s="4">
        <f t="shared" si="6"/>
        <v>48900</v>
      </c>
      <c r="K144" s="4" t="str">
        <f t="shared" si="7"/>
        <v>2025-01</v>
      </c>
      <c r="L144" s="4" t="str">
        <f t="shared" si="8"/>
        <v>토</v>
      </c>
      <c r="M144" s="2" t="str">
        <f>VLOOKUP($C144, 고객정보!$A$2:$E$151, 2, FALSE)</f>
        <v>대구</v>
      </c>
      <c r="N144" t="str">
        <f>VLOOKUP(C144,고객정보!$A$2:$D$151,4,FALSE)</f>
        <v>L1</v>
      </c>
      <c r="O144" t="str">
        <f>VLOOKUP($C144, 고객정보!$A$2:$E$151, 5, FALSE)</f>
        <v>10대</v>
      </c>
      <c r="P144" t="str">
        <f>VLOOKUP(D144,상품정보!$A$2:$E$61,2,FALSE)</f>
        <v>귀걸이</v>
      </c>
      <c r="Q144" t="str">
        <f>VLOOKUP(D144,상품정보!$A$2:$D$151,3,FALSE)</f>
        <v>액세서리</v>
      </c>
      <c r="R144" t="str">
        <f>VLOOKUP(D144,상품정보!$A$2:$D$151,4,FALSE)</f>
        <v>브랜드D</v>
      </c>
    </row>
    <row r="145" spans="1:18" x14ac:dyDescent="0.45">
      <c r="A145" t="s">
        <v>120</v>
      </c>
      <c r="B145" t="s">
        <v>544</v>
      </c>
      <c r="C145" t="s">
        <v>2492</v>
      </c>
      <c r="D145" t="s">
        <v>2567</v>
      </c>
      <c r="E145">
        <v>1</v>
      </c>
      <c r="F145">
        <v>58600</v>
      </c>
      <c r="G145">
        <v>1000</v>
      </c>
      <c r="H145">
        <v>0</v>
      </c>
      <c r="I145" t="s">
        <v>2652</v>
      </c>
      <c r="J145" s="4">
        <f t="shared" si="6"/>
        <v>59600</v>
      </c>
      <c r="K145" s="4" t="str">
        <f t="shared" si="7"/>
        <v>2024-05</v>
      </c>
      <c r="L145" s="4" t="str">
        <f t="shared" si="8"/>
        <v>토</v>
      </c>
      <c r="M145" s="2" t="str">
        <f>VLOOKUP($C145, 고객정보!$A$2:$E$151, 2, FALSE)</f>
        <v>N/A</v>
      </c>
      <c r="N145" t="str">
        <f>VLOOKUP(C145,고객정보!$A$2:$D$151,4,FALSE)</f>
        <v>L1</v>
      </c>
      <c r="O145" t="str">
        <f>VLOOKUP($C145, 고객정보!$A$2:$E$151, 5, FALSE)</f>
        <v>20대</v>
      </c>
      <c r="P145" t="str">
        <f>VLOOKUP(D145,상품정보!$A$2:$E$61,2,FALSE)</f>
        <v>귀걸이</v>
      </c>
      <c r="Q145" t="str">
        <f>VLOOKUP(D145,상품정보!$A$2:$D$151,3,FALSE)</f>
        <v>액세서리</v>
      </c>
      <c r="R145" t="str">
        <f>VLOOKUP(D145,상품정보!$A$2:$D$151,4,FALSE)</f>
        <v>브랜드B</v>
      </c>
    </row>
    <row r="146" spans="1:18" x14ac:dyDescent="0.45">
      <c r="A146" t="s">
        <v>121</v>
      </c>
      <c r="B146" t="s">
        <v>545</v>
      </c>
      <c r="C146" t="s">
        <v>2493</v>
      </c>
      <c r="D146" t="s">
        <v>2567</v>
      </c>
      <c r="E146">
        <v>5</v>
      </c>
      <c r="F146">
        <v>58600</v>
      </c>
      <c r="G146">
        <v>1000</v>
      </c>
      <c r="H146">
        <v>0</v>
      </c>
      <c r="I146" t="s">
        <v>2652</v>
      </c>
      <c r="J146" s="4">
        <f t="shared" si="6"/>
        <v>294000</v>
      </c>
      <c r="K146" s="4" t="str">
        <f t="shared" si="7"/>
        <v>2024-06</v>
      </c>
      <c r="L146" s="4" t="str">
        <f t="shared" si="8"/>
        <v>목</v>
      </c>
      <c r="M146" s="2" t="str">
        <f>VLOOKUP($C146, 고객정보!$A$2:$E$151, 2, FALSE)</f>
        <v>서울</v>
      </c>
      <c r="N146" t="str">
        <f>VLOOKUP(C146,고객정보!$A$2:$D$151,4,FALSE)</f>
        <v>L1</v>
      </c>
      <c r="O146" t="str">
        <f>VLOOKUP($C146, 고객정보!$A$2:$E$151, 5, FALSE)</f>
        <v>20대</v>
      </c>
      <c r="P146" t="str">
        <f>VLOOKUP(D146,상품정보!$A$2:$E$61,2,FALSE)</f>
        <v>귀걸이</v>
      </c>
      <c r="Q146" t="str">
        <f>VLOOKUP(D146,상품정보!$A$2:$D$151,3,FALSE)</f>
        <v>액세서리</v>
      </c>
      <c r="R146" t="str">
        <f>VLOOKUP(D146,상품정보!$A$2:$D$151,4,FALSE)</f>
        <v>브랜드B</v>
      </c>
    </row>
    <row r="147" spans="1:18" x14ac:dyDescent="0.45">
      <c r="A147" t="s">
        <v>122</v>
      </c>
      <c r="B147" t="s">
        <v>546</v>
      </c>
      <c r="C147" t="s">
        <v>2411</v>
      </c>
      <c r="D147" t="s">
        <v>2602</v>
      </c>
      <c r="E147">
        <v>2</v>
      </c>
      <c r="F147">
        <v>59900</v>
      </c>
      <c r="G147">
        <v>0</v>
      </c>
      <c r="H147">
        <v>0</v>
      </c>
      <c r="I147" t="s">
        <v>2652</v>
      </c>
      <c r="J147" s="4">
        <f t="shared" si="6"/>
        <v>119800</v>
      </c>
      <c r="K147" s="4" t="str">
        <f t="shared" si="7"/>
        <v>2024-12</v>
      </c>
      <c r="L147" s="4" t="str">
        <f t="shared" si="8"/>
        <v>화</v>
      </c>
      <c r="M147" s="2" t="str">
        <f>VLOOKUP($C147, 고객정보!$A$2:$E$151, 2, FALSE)</f>
        <v>부산</v>
      </c>
      <c r="N147" t="str">
        <f>VLOOKUP(C147,고객정보!$A$2:$D$151,4,FALSE)</f>
        <v>L5</v>
      </c>
      <c r="O147" t="str">
        <f>VLOOKUP($C147, 고객정보!$A$2:$E$151, 5, FALSE)</f>
        <v>30대</v>
      </c>
      <c r="P147" t="str">
        <f>VLOOKUP(D147,상품정보!$A$2:$E$61,2,FALSE)</f>
        <v>셔츠</v>
      </c>
      <c r="Q147" t="str">
        <f>VLOOKUP(D147,상품정보!$A$2:$D$151,3,FALSE)</f>
        <v>의류</v>
      </c>
      <c r="R147" t="str">
        <f>VLOOKUP(D147,상품정보!$A$2:$D$151,4,FALSE)</f>
        <v>브랜드A</v>
      </c>
    </row>
    <row r="148" spans="1:18" x14ac:dyDescent="0.45">
      <c r="A148" t="s">
        <v>123</v>
      </c>
      <c r="B148" t="s">
        <v>547</v>
      </c>
      <c r="C148" t="s">
        <v>2488</v>
      </c>
      <c r="D148" t="s">
        <v>2607</v>
      </c>
      <c r="E148">
        <v>2</v>
      </c>
      <c r="F148">
        <v>16000</v>
      </c>
      <c r="G148">
        <v>1000</v>
      </c>
      <c r="H148">
        <v>0</v>
      </c>
      <c r="I148" t="s">
        <v>2652</v>
      </c>
      <c r="J148" s="4">
        <f t="shared" si="6"/>
        <v>33000</v>
      </c>
      <c r="K148" s="4" t="str">
        <f t="shared" si="7"/>
        <v>2024-03</v>
      </c>
      <c r="L148" s="4" t="str">
        <f t="shared" si="8"/>
        <v>토</v>
      </c>
      <c r="M148" s="2" t="str">
        <f>VLOOKUP($C148, 고객정보!$A$2:$E$151, 2, FALSE)</f>
        <v>서울</v>
      </c>
      <c r="N148" t="str">
        <f>VLOOKUP(C148,고객정보!$A$2:$D$151,4,FALSE)</f>
        <v>L3</v>
      </c>
      <c r="O148" t="str">
        <f>VLOOKUP($C148, 고객정보!$A$2:$E$151, 5, FALSE)</f>
        <v>40대</v>
      </c>
      <c r="P148" t="str">
        <f>VLOOKUP(D148,상품정보!$A$2:$E$61,2,FALSE)</f>
        <v>목걸이</v>
      </c>
      <c r="Q148" t="str">
        <f>VLOOKUP(D148,상품정보!$A$2:$D$151,3,FALSE)</f>
        <v>액세서리</v>
      </c>
      <c r="R148" t="str">
        <f>VLOOKUP(D148,상품정보!$A$2:$D$151,4,FALSE)</f>
        <v>브랜드E</v>
      </c>
    </row>
    <row r="149" spans="1:18" x14ac:dyDescent="0.45">
      <c r="A149" t="s">
        <v>124</v>
      </c>
      <c r="B149" t="s">
        <v>548</v>
      </c>
      <c r="C149" t="s">
        <v>2480</v>
      </c>
      <c r="D149" t="s">
        <v>2564</v>
      </c>
      <c r="E149">
        <v>2</v>
      </c>
      <c r="F149">
        <v>66600</v>
      </c>
      <c r="G149">
        <v>0</v>
      </c>
      <c r="H149">
        <v>0</v>
      </c>
      <c r="I149" t="s">
        <v>2652</v>
      </c>
      <c r="J149" s="4">
        <f t="shared" si="6"/>
        <v>133200</v>
      </c>
      <c r="K149" s="4" t="str">
        <f t="shared" si="7"/>
        <v>2024-08</v>
      </c>
      <c r="L149" s="4" t="str">
        <f t="shared" si="8"/>
        <v>토</v>
      </c>
      <c r="M149" s="2" t="str">
        <f>VLOOKUP($C149, 고객정보!$A$2:$E$151, 2, FALSE)</f>
        <v>서울</v>
      </c>
      <c r="N149" t="str">
        <f>VLOOKUP(C149,고객정보!$A$2:$D$151,4,FALSE)</f>
        <v>L1</v>
      </c>
      <c r="O149" t="str">
        <f>VLOOKUP($C149, 고객정보!$A$2:$E$151, 5, FALSE)</f>
        <v>20대</v>
      </c>
      <c r="P149" t="str">
        <f>VLOOKUP(D149,상품정보!$A$2:$E$61,2,FALSE)</f>
        <v>청바지</v>
      </c>
      <c r="Q149" t="str">
        <f>VLOOKUP(D149,상품정보!$A$2:$D$151,3,FALSE)</f>
        <v>의류</v>
      </c>
      <c r="R149" t="str">
        <f>VLOOKUP(D149,상품정보!$A$2:$D$151,4,FALSE)</f>
        <v>브랜드B</v>
      </c>
    </row>
    <row r="150" spans="1:18" x14ac:dyDescent="0.45">
      <c r="A150" t="s">
        <v>125</v>
      </c>
      <c r="B150" t="s">
        <v>549</v>
      </c>
      <c r="C150" t="s">
        <v>2421</v>
      </c>
      <c r="D150" t="s">
        <v>2581</v>
      </c>
      <c r="E150">
        <v>4</v>
      </c>
      <c r="F150">
        <v>72900</v>
      </c>
      <c r="G150">
        <v>500</v>
      </c>
      <c r="H150">
        <v>0</v>
      </c>
      <c r="I150" t="s">
        <v>2652</v>
      </c>
      <c r="J150" s="4">
        <f t="shared" si="6"/>
        <v>292100</v>
      </c>
      <c r="K150" s="4" t="str">
        <f t="shared" si="7"/>
        <v>2024-11</v>
      </c>
      <c r="L150" s="4" t="str">
        <f t="shared" si="8"/>
        <v>월</v>
      </c>
      <c r="M150" s="2" t="str">
        <f>VLOOKUP($C150, 고객정보!$A$2:$E$151, 2, FALSE)</f>
        <v>부산</v>
      </c>
      <c r="N150" t="str">
        <f>VLOOKUP(C150,고객정보!$A$2:$D$151,4,FALSE)</f>
        <v>L3</v>
      </c>
      <c r="O150" t="str">
        <f>VLOOKUP($C150, 고객정보!$A$2:$E$151, 5, FALSE)</f>
        <v>30대</v>
      </c>
      <c r="P150" t="str">
        <f>VLOOKUP(D150,상품정보!$A$2:$E$61,2,FALSE)</f>
        <v>귀걸이</v>
      </c>
      <c r="Q150" t="str">
        <f>VLOOKUP(D150,상품정보!$A$2:$D$151,3,FALSE)</f>
        <v>액세서리</v>
      </c>
      <c r="R150" t="str">
        <f>VLOOKUP(D150,상품정보!$A$2:$D$151,4,FALSE)</f>
        <v>브랜드F</v>
      </c>
    </row>
    <row r="151" spans="1:18" x14ac:dyDescent="0.45">
      <c r="A151" t="s">
        <v>126</v>
      </c>
      <c r="B151" t="s">
        <v>550</v>
      </c>
      <c r="C151" t="s">
        <v>2494</v>
      </c>
      <c r="D151" t="s">
        <v>2555</v>
      </c>
      <c r="E151">
        <v>4</v>
      </c>
      <c r="F151">
        <v>8300</v>
      </c>
      <c r="G151">
        <v>0</v>
      </c>
      <c r="H151">
        <v>0</v>
      </c>
      <c r="I151" t="s">
        <v>2652</v>
      </c>
      <c r="J151" s="4">
        <f t="shared" si="6"/>
        <v>33200</v>
      </c>
      <c r="K151" s="4" t="str">
        <f t="shared" si="7"/>
        <v>2024-09</v>
      </c>
      <c r="L151" s="4" t="str">
        <f t="shared" si="8"/>
        <v>화</v>
      </c>
      <c r="M151" s="2" t="str">
        <f>VLOOKUP($C151, 고객정보!$A$2:$E$151, 2, FALSE)</f>
        <v>대구</v>
      </c>
      <c r="N151" t="str">
        <f>VLOOKUP(C151,고객정보!$A$2:$D$151,4,FALSE)</f>
        <v>L4</v>
      </c>
      <c r="O151" t="str">
        <f>VLOOKUP($C151, 고객정보!$A$2:$E$151, 5, FALSE)</f>
        <v>40대</v>
      </c>
      <c r="P151" t="str">
        <f>VLOOKUP(D151,상품정보!$A$2:$E$61,2,FALSE)</f>
        <v>청바지</v>
      </c>
      <c r="Q151" t="str">
        <f>VLOOKUP(D151,상품정보!$A$2:$D$151,3,FALSE)</f>
        <v>의류</v>
      </c>
      <c r="R151" t="str">
        <f>VLOOKUP(D151,상품정보!$A$2:$D$151,4,FALSE)</f>
        <v>브랜드E</v>
      </c>
    </row>
    <row r="152" spans="1:18" x14ac:dyDescent="0.45">
      <c r="A152" t="s">
        <v>127</v>
      </c>
      <c r="B152" t="s">
        <v>551</v>
      </c>
      <c r="C152" t="s">
        <v>2461</v>
      </c>
      <c r="D152" t="s">
        <v>2585</v>
      </c>
      <c r="E152">
        <v>2</v>
      </c>
      <c r="F152">
        <v>14900</v>
      </c>
      <c r="G152">
        <v>0</v>
      </c>
      <c r="H152">
        <v>11600</v>
      </c>
      <c r="I152" t="s">
        <v>2611</v>
      </c>
      <c r="J152" s="4">
        <f t="shared" si="6"/>
        <v>18200</v>
      </c>
      <c r="K152" s="4" t="str">
        <f t="shared" si="7"/>
        <v>2024-12</v>
      </c>
      <c r="L152" s="4" t="str">
        <f t="shared" si="8"/>
        <v>일</v>
      </c>
      <c r="M152" s="2" t="str">
        <f>VLOOKUP($C152, 고객정보!$A$2:$E$151, 2, FALSE)</f>
        <v>부산</v>
      </c>
      <c r="N152" t="str">
        <f>VLOOKUP(C152,고객정보!$A$2:$D$151,4,FALSE)</f>
        <v>L2</v>
      </c>
      <c r="O152" t="str">
        <f>VLOOKUP($C152, 고객정보!$A$2:$E$151, 5, FALSE)</f>
        <v>40대</v>
      </c>
      <c r="P152" t="str">
        <f>VLOOKUP(D152,상품정보!$A$2:$E$61,2,FALSE)</f>
        <v>반팔 티셔츠</v>
      </c>
      <c r="Q152" t="str">
        <f>VLOOKUP(D152,상품정보!$A$2:$D$151,3,FALSE)</f>
        <v>의류</v>
      </c>
      <c r="R152" t="str">
        <f>VLOOKUP(D152,상품정보!$A$2:$D$151,4,FALSE)</f>
        <v>브랜드C</v>
      </c>
    </row>
    <row r="153" spans="1:18" x14ac:dyDescent="0.45">
      <c r="A153" t="s">
        <v>128</v>
      </c>
      <c r="B153" t="s">
        <v>552</v>
      </c>
      <c r="C153" t="s">
        <v>2408</v>
      </c>
      <c r="D153" t="s">
        <v>2590</v>
      </c>
      <c r="E153">
        <v>1</v>
      </c>
      <c r="F153">
        <v>68900</v>
      </c>
      <c r="G153">
        <v>0</v>
      </c>
      <c r="H153">
        <v>0</v>
      </c>
      <c r="I153" t="s">
        <v>2652</v>
      </c>
      <c r="J153" s="4">
        <f t="shared" si="6"/>
        <v>68900</v>
      </c>
      <c r="K153" s="4" t="str">
        <f t="shared" si="7"/>
        <v>2024-08</v>
      </c>
      <c r="L153" s="4" t="str">
        <f t="shared" si="8"/>
        <v>월</v>
      </c>
      <c r="M153" s="2" t="str">
        <f>VLOOKUP($C153, 고객정보!$A$2:$E$151, 2, FALSE)</f>
        <v>수원</v>
      </c>
      <c r="N153" t="str">
        <f>VLOOKUP(C153,고객정보!$A$2:$D$151,4,FALSE)</f>
        <v>L5</v>
      </c>
      <c r="O153" t="str">
        <f>VLOOKUP($C153, 고객정보!$A$2:$E$151, 5, FALSE)</f>
        <v>20대</v>
      </c>
      <c r="P153" t="str">
        <f>VLOOKUP(D153,상품정보!$A$2:$E$61,2,FALSE)</f>
        <v>반팔 티셔츠</v>
      </c>
      <c r="Q153" t="str">
        <f>VLOOKUP(D153,상품정보!$A$2:$D$151,3,FALSE)</f>
        <v>의류</v>
      </c>
      <c r="R153" t="str">
        <f>VLOOKUP(D153,상품정보!$A$2:$D$151,4,FALSE)</f>
        <v>브랜드A</v>
      </c>
    </row>
    <row r="154" spans="1:18" x14ac:dyDescent="0.45">
      <c r="A154" t="s">
        <v>129</v>
      </c>
      <c r="B154" t="s">
        <v>553</v>
      </c>
      <c r="C154" t="s">
        <v>2407</v>
      </c>
      <c r="D154" t="s">
        <v>2604</v>
      </c>
      <c r="E154">
        <v>5</v>
      </c>
      <c r="F154">
        <v>9700</v>
      </c>
      <c r="G154">
        <v>0</v>
      </c>
      <c r="H154">
        <v>0</v>
      </c>
      <c r="I154" t="s">
        <v>2652</v>
      </c>
      <c r="J154" s="4">
        <f t="shared" si="6"/>
        <v>48500</v>
      </c>
      <c r="K154" s="4" t="str">
        <f t="shared" si="7"/>
        <v>2024-08</v>
      </c>
      <c r="L154" s="4" t="str">
        <f t="shared" si="8"/>
        <v>일</v>
      </c>
      <c r="M154" s="2" t="str">
        <f>VLOOKUP($C154, 고객정보!$A$2:$E$151, 2, FALSE)</f>
        <v>서울</v>
      </c>
      <c r="N154" t="str">
        <f>VLOOKUP(C154,고객정보!$A$2:$D$151,4,FALSE)</f>
        <v>L5</v>
      </c>
      <c r="O154" t="str">
        <f>VLOOKUP($C154, 고객정보!$A$2:$E$151, 5, FALSE)</f>
        <v>30대</v>
      </c>
      <c r="P154" t="str">
        <f>VLOOKUP(D154,상품정보!$A$2:$E$61,2,FALSE)</f>
        <v>반팔 티셔츠</v>
      </c>
      <c r="Q154" t="str">
        <f>VLOOKUP(D154,상품정보!$A$2:$D$151,3,FALSE)</f>
        <v>의류</v>
      </c>
      <c r="R154" t="str">
        <f>VLOOKUP(D154,상품정보!$A$2:$D$151,4,FALSE)</f>
        <v>브랜드E</v>
      </c>
    </row>
    <row r="155" spans="1:18" x14ac:dyDescent="0.45">
      <c r="A155" t="s">
        <v>130</v>
      </c>
      <c r="B155" t="s">
        <v>554</v>
      </c>
      <c r="C155" t="s">
        <v>2431</v>
      </c>
      <c r="D155" t="s">
        <v>2562</v>
      </c>
      <c r="E155">
        <v>2</v>
      </c>
      <c r="F155">
        <v>15600</v>
      </c>
      <c r="G155">
        <v>1500</v>
      </c>
      <c r="H155">
        <v>0</v>
      </c>
      <c r="I155" t="s">
        <v>2652</v>
      </c>
      <c r="J155" s="4">
        <f t="shared" si="6"/>
        <v>32700</v>
      </c>
      <c r="K155" s="4" t="str">
        <f t="shared" si="7"/>
        <v>2024-03</v>
      </c>
      <c r="L155" s="4" t="str">
        <f t="shared" si="8"/>
        <v>일</v>
      </c>
      <c r="M155" s="2" t="str">
        <f>VLOOKUP($C155, 고객정보!$A$2:$E$151, 2, FALSE)</f>
        <v>광주</v>
      </c>
      <c r="N155" t="str">
        <f>VLOOKUP(C155,고객정보!$A$2:$D$151,4,FALSE)</f>
        <v>L3</v>
      </c>
      <c r="O155" t="str">
        <f>VLOOKUP($C155, 고객정보!$A$2:$E$151, 5, FALSE)</f>
        <v>40대</v>
      </c>
      <c r="P155" t="str">
        <f>VLOOKUP(D155,상품정보!$A$2:$E$61,2,FALSE)</f>
        <v>반팔 티셔츠</v>
      </c>
      <c r="Q155" t="str">
        <f>VLOOKUP(D155,상품정보!$A$2:$D$151,3,FALSE)</f>
        <v>의류</v>
      </c>
      <c r="R155" t="str">
        <f>VLOOKUP(D155,상품정보!$A$2:$D$151,4,FALSE)</f>
        <v>브랜드E</v>
      </c>
    </row>
    <row r="156" spans="1:18" x14ac:dyDescent="0.45">
      <c r="A156" t="s">
        <v>131</v>
      </c>
      <c r="B156" t="s">
        <v>555</v>
      </c>
      <c r="C156" t="s">
        <v>2462</v>
      </c>
      <c r="D156" t="s">
        <v>2552</v>
      </c>
      <c r="E156">
        <v>4</v>
      </c>
      <c r="F156">
        <v>13300</v>
      </c>
      <c r="G156">
        <v>1000</v>
      </c>
      <c r="H156">
        <v>12600</v>
      </c>
      <c r="I156" t="s">
        <v>2614</v>
      </c>
      <c r="J156" s="4">
        <f t="shared" si="6"/>
        <v>41600</v>
      </c>
      <c r="K156" s="4" t="str">
        <f t="shared" si="7"/>
        <v>2024-12</v>
      </c>
      <c r="L156" s="4" t="str">
        <f t="shared" si="8"/>
        <v>토</v>
      </c>
      <c r="M156" s="2" t="str">
        <f>VLOOKUP($C156, 고객정보!$A$2:$E$151, 2, FALSE)</f>
        <v>광주</v>
      </c>
      <c r="N156" t="str">
        <f>VLOOKUP(C156,고객정보!$A$2:$D$151,4,FALSE)</f>
        <v>L5</v>
      </c>
      <c r="O156" t="str">
        <f>VLOOKUP($C156, 고객정보!$A$2:$E$151, 5, FALSE)</f>
        <v>50대 이상</v>
      </c>
      <c r="P156" t="str">
        <f>VLOOKUP(D156,상품정보!$A$2:$E$61,2,FALSE)</f>
        <v>셔츠</v>
      </c>
      <c r="Q156" t="str">
        <f>VLOOKUP(D156,상품정보!$A$2:$D$151,3,FALSE)</f>
        <v>의류</v>
      </c>
      <c r="R156" t="str">
        <f>VLOOKUP(D156,상품정보!$A$2:$D$151,4,FALSE)</f>
        <v>브랜드E</v>
      </c>
    </row>
    <row r="157" spans="1:18" x14ac:dyDescent="0.45">
      <c r="A157" t="s">
        <v>132</v>
      </c>
      <c r="B157" t="s">
        <v>556</v>
      </c>
      <c r="C157" t="s">
        <v>2441</v>
      </c>
      <c r="D157" t="s">
        <v>2562</v>
      </c>
      <c r="E157">
        <v>5</v>
      </c>
      <c r="F157">
        <v>15600</v>
      </c>
      <c r="G157">
        <v>1500</v>
      </c>
      <c r="H157">
        <v>0</v>
      </c>
      <c r="I157" t="s">
        <v>2652</v>
      </c>
      <c r="J157" s="4">
        <f t="shared" si="6"/>
        <v>79500</v>
      </c>
      <c r="K157" s="4" t="str">
        <f t="shared" si="7"/>
        <v>2024-06</v>
      </c>
      <c r="L157" s="4" t="str">
        <f t="shared" si="8"/>
        <v>화</v>
      </c>
      <c r="M157" s="2" t="str">
        <f>VLOOKUP($C157, 고객정보!$A$2:$E$151, 2, FALSE)</f>
        <v>부산</v>
      </c>
      <c r="N157" t="str">
        <f>VLOOKUP(C157,고객정보!$A$2:$D$151,4,FALSE)</f>
        <v>L2</v>
      </c>
      <c r="O157" t="str">
        <f>VLOOKUP($C157, 고객정보!$A$2:$E$151, 5, FALSE)</f>
        <v>20대</v>
      </c>
      <c r="P157" t="str">
        <f>VLOOKUP(D157,상품정보!$A$2:$E$61,2,FALSE)</f>
        <v>반팔 티셔츠</v>
      </c>
      <c r="Q157" t="str">
        <f>VLOOKUP(D157,상품정보!$A$2:$D$151,3,FALSE)</f>
        <v>의류</v>
      </c>
      <c r="R157" t="str">
        <f>VLOOKUP(D157,상품정보!$A$2:$D$151,4,FALSE)</f>
        <v>브랜드E</v>
      </c>
    </row>
    <row r="158" spans="1:18" x14ac:dyDescent="0.45">
      <c r="A158" t="s">
        <v>133</v>
      </c>
      <c r="B158" t="s">
        <v>557</v>
      </c>
      <c r="C158" t="s">
        <v>2459</v>
      </c>
      <c r="D158" t="s">
        <v>2598</v>
      </c>
      <c r="E158">
        <v>5</v>
      </c>
      <c r="F158">
        <v>77300</v>
      </c>
      <c r="G158">
        <v>1000</v>
      </c>
      <c r="H158">
        <v>0</v>
      </c>
      <c r="I158" t="s">
        <v>2652</v>
      </c>
      <c r="J158" s="4">
        <f t="shared" si="6"/>
        <v>387500</v>
      </c>
      <c r="K158" s="4" t="str">
        <f t="shared" si="7"/>
        <v>2024-08</v>
      </c>
      <c r="L158" s="4" t="str">
        <f t="shared" si="8"/>
        <v>화</v>
      </c>
      <c r="M158" s="2" t="str">
        <f>VLOOKUP($C158, 고객정보!$A$2:$E$151, 2, FALSE)</f>
        <v>광주</v>
      </c>
      <c r="N158" t="str">
        <f>VLOOKUP(C158,고객정보!$A$2:$D$151,4,FALSE)</f>
        <v>L4</v>
      </c>
      <c r="O158" t="str">
        <f>VLOOKUP($C158, 고객정보!$A$2:$E$151, 5, FALSE)</f>
        <v>50대 이상</v>
      </c>
      <c r="P158" t="str">
        <f>VLOOKUP(D158,상품정보!$A$2:$E$61,2,FALSE)</f>
        <v>청바지</v>
      </c>
      <c r="Q158" t="str">
        <f>VLOOKUP(D158,상품정보!$A$2:$D$151,3,FALSE)</f>
        <v>의류</v>
      </c>
      <c r="R158" t="str">
        <f>VLOOKUP(D158,상품정보!$A$2:$D$151,4,FALSE)</f>
        <v>브랜드F</v>
      </c>
    </row>
    <row r="159" spans="1:18" x14ac:dyDescent="0.45">
      <c r="A159" t="s">
        <v>89</v>
      </c>
      <c r="B159" t="s">
        <v>558</v>
      </c>
      <c r="C159" t="s">
        <v>2495</v>
      </c>
      <c r="D159" t="s">
        <v>2556</v>
      </c>
      <c r="E159">
        <v>2</v>
      </c>
      <c r="F159">
        <v>70100</v>
      </c>
      <c r="G159">
        <v>0</v>
      </c>
      <c r="H159">
        <v>900</v>
      </c>
      <c r="I159" t="s">
        <v>2613</v>
      </c>
      <c r="J159" s="4">
        <f t="shared" si="6"/>
        <v>139300</v>
      </c>
      <c r="K159" s="4" t="str">
        <f t="shared" si="7"/>
        <v>2025-01</v>
      </c>
      <c r="L159" s="4" t="str">
        <f t="shared" si="8"/>
        <v>수</v>
      </c>
      <c r="M159" s="2" t="str">
        <f>VLOOKUP($C159, 고객정보!$A$2:$E$151, 2, FALSE)</f>
        <v>N/A</v>
      </c>
      <c r="N159" t="str">
        <f>VLOOKUP(C159,고객정보!$A$2:$D$151,4,FALSE)</f>
        <v>L1</v>
      </c>
      <c r="O159" t="str">
        <f>VLOOKUP($C159, 고객정보!$A$2:$E$151, 5, FALSE)</f>
        <v>50대 이상</v>
      </c>
      <c r="P159" t="str">
        <f>VLOOKUP(D159,상품정보!$A$2:$E$61,2,FALSE)</f>
        <v>핸드폰케이스</v>
      </c>
      <c r="Q159" t="str">
        <f>VLOOKUP(D159,상품정보!$A$2:$D$151,3,FALSE)</f>
        <v>액세서리</v>
      </c>
      <c r="R159" t="str">
        <f>VLOOKUP(D159,상품정보!$A$2:$D$151,4,FALSE)</f>
        <v>브랜드F</v>
      </c>
    </row>
    <row r="160" spans="1:18" x14ac:dyDescent="0.45">
      <c r="A160" t="s">
        <v>134</v>
      </c>
      <c r="B160" t="s">
        <v>559</v>
      </c>
      <c r="C160" t="s">
        <v>2446</v>
      </c>
      <c r="D160" t="s">
        <v>2556</v>
      </c>
      <c r="E160">
        <v>3</v>
      </c>
      <c r="F160">
        <v>70100</v>
      </c>
      <c r="G160">
        <v>1500</v>
      </c>
      <c r="H160">
        <v>0</v>
      </c>
      <c r="I160" t="s">
        <v>2652</v>
      </c>
      <c r="J160" s="4">
        <f t="shared" si="6"/>
        <v>211800</v>
      </c>
      <c r="K160" s="4" t="str">
        <f t="shared" si="7"/>
        <v>2025-01</v>
      </c>
      <c r="L160" s="4" t="str">
        <f t="shared" si="8"/>
        <v>일</v>
      </c>
      <c r="M160" s="2" t="str">
        <f>VLOOKUP($C160, 고객정보!$A$2:$E$151, 2, FALSE)</f>
        <v>대전</v>
      </c>
      <c r="N160" t="str">
        <f>VLOOKUP(C160,고객정보!$A$2:$D$151,4,FALSE)</f>
        <v>L2</v>
      </c>
      <c r="O160" t="str">
        <f>VLOOKUP($C160, 고객정보!$A$2:$E$151, 5, FALSE)</f>
        <v>50대 이상</v>
      </c>
      <c r="P160" t="str">
        <f>VLOOKUP(D160,상품정보!$A$2:$E$61,2,FALSE)</f>
        <v>핸드폰케이스</v>
      </c>
      <c r="Q160" t="str">
        <f>VLOOKUP(D160,상품정보!$A$2:$D$151,3,FALSE)</f>
        <v>액세서리</v>
      </c>
      <c r="R160" t="str">
        <f>VLOOKUP(D160,상품정보!$A$2:$D$151,4,FALSE)</f>
        <v>브랜드F</v>
      </c>
    </row>
    <row r="161" spans="1:18" x14ac:dyDescent="0.45">
      <c r="A161" t="s">
        <v>135</v>
      </c>
      <c r="B161" t="s">
        <v>560</v>
      </c>
      <c r="C161" t="s">
        <v>2427</v>
      </c>
      <c r="D161" t="s">
        <v>2569</v>
      </c>
      <c r="E161">
        <v>3</v>
      </c>
      <c r="F161">
        <v>11400</v>
      </c>
      <c r="G161">
        <v>0</v>
      </c>
      <c r="H161">
        <v>7000</v>
      </c>
      <c r="I161" t="s">
        <v>2613</v>
      </c>
      <c r="J161" s="4">
        <f t="shared" si="6"/>
        <v>27200</v>
      </c>
      <c r="K161" s="4" t="str">
        <f t="shared" si="7"/>
        <v>2025-01</v>
      </c>
      <c r="L161" s="4" t="str">
        <f t="shared" si="8"/>
        <v>월</v>
      </c>
      <c r="M161" s="2" t="str">
        <f>VLOOKUP($C161, 고객정보!$A$2:$E$151, 2, FALSE)</f>
        <v>부산</v>
      </c>
      <c r="N161" t="str">
        <f>VLOOKUP(C161,고객정보!$A$2:$D$151,4,FALSE)</f>
        <v>L4</v>
      </c>
      <c r="O161" t="str">
        <f>VLOOKUP($C161, 고객정보!$A$2:$E$151, 5, FALSE)</f>
        <v>20대</v>
      </c>
      <c r="P161" t="str">
        <f>VLOOKUP(D161,상품정보!$A$2:$E$61,2,FALSE)</f>
        <v>귀걸이</v>
      </c>
      <c r="Q161" t="str">
        <f>VLOOKUP(D161,상품정보!$A$2:$D$151,3,FALSE)</f>
        <v>액세서리</v>
      </c>
      <c r="R161" t="str">
        <f>VLOOKUP(D161,상품정보!$A$2:$D$151,4,FALSE)</f>
        <v>브랜드E</v>
      </c>
    </row>
    <row r="162" spans="1:18" x14ac:dyDescent="0.45">
      <c r="A162" t="s">
        <v>136</v>
      </c>
      <c r="B162" t="s">
        <v>561</v>
      </c>
      <c r="C162" t="s">
        <v>2468</v>
      </c>
      <c r="D162" t="s">
        <v>2583</v>
      </c>
      <c r="E162">
        <v>2</v>
      </c>
      <c r="F162">
        <v>6600</v>
      </c>
      <c r="G162">
        <v>1000</v>
      </c>
      <c r="H162">
        <v>0</v>
      </c>
      <c r="I162" t="s">
        <v>2652</v>
      </c>
      <c r="J162" s="4">
        <f t="shared" si="6"/>
        <v>14200</v>
      </c>
      <c r="K162" s="4" t="str">
        <f t="shared" si="7"/>
        <v>2024-05</v>
      </c>
      <c r="L162" s="4" t="str">
        <f t="shared" si="8"/>
        <v>월</v>
      </c>
      <c r="M162" s="2" t="str">
        <f>VLOOKUP($C162, 고객정보!$A$2:$E$151, 2, FALSE)</f>
        <v>부산</v>
      </c>
      <c r="N162" t="str">
        <f>VLOOKUP(C162,고객정보!$A$2:$D$151,4,FALSE)</f>
        <v>L5</v>
      </c>
      <c r="O162" t="str">
        <f>VLOOKUP($C162, 고객정보!$A$2:$E$151, 5, FALSE)</f>
        <v>20대</v>
      </c>
      <c r="P162" t="str">
        <f>VLOOKUP(D162,상품정보!$A$2:$E$61,2,FALSE)</f>
        <v>셔츠</v>
      </c>
      <c r="Q162" t="str">
        <f>VLOOKUP(D162,상품정보!$A$2:$D$151,3,FALSE)</f>
        <v>의류</v>
      </c>
      <c r="R162" t="str">
        <f>VLOOKUP(D162,상품정보!$A$2:$D$151,4,FALSE)</f>
        <v>브랜드E</v>
      </c>
    </row>
    <row r="163" spans="1:18" x14ac:dyDescent="0.45">
      <c r="A163" t="s">
        <v>137</v>
      </c>
      <c r="B163" t="s">
        <v>562</v>
      </c>
      <c r="C163" t="s">
        <v>2470</v>
      </c>
      <c r="D163" t="s">
        <v>2571</v>
      </c>
      <c r="E163">
        <v>3</v>
      </c>
      <c r="F163">
        <v>55600</v>
      </c>
      <c r="G163">
        <v>0</v>
      </c>
      <c r="H163">
        <v>0</v>
      </c>
      <c r="I163" t="s">
        <v>2652</v>
      </c>
      <c r="J163" s="4">
        <f t="shared" si="6"/>
        <v>166800</v>
      </c>
      <c r="K163" s="4" t="str">
        <f t="shared" si="7"/>
        <v>2024-04</v>
      </c>
      <c r="L163" s="4" t="str">
        <f t="shared" si="8"/>
        <v>화</v>
      </c>
      <c r="M163" s="2" t="str">
        <f>VLOOKUP($C163, 고객정보!$A$2:$E$151, 2, FALSE)</f>
        <v>대전</v>
      </c>
      <c r="N163" t="str">
        <f>VLOOKUP(C163,고객정보!$A$2:$D$151,4,FALSE)</f>
        <v>L5</v>
      </c>
      <c r="O163" t="str">
        <f>VLOOKUP($C163, 고객정보!$A$2:$E$151, 5, FALSE)</f>
        <v>20대</v>
      </c>
      <c r="P163" t="str">
        <f>VLOOKUP(D163,상품정보!$A$2:$E$61,2,FALSE)</f>
        <v>자켓</v>
      </c>
      <c r="Q163" t="str">
        <f>VLOOKUP(D163,상품정보!$A$2:$D$151,3,FALSE)</f>
        <v>의류</v>
      </c>
      <c r="R163" t="str">
        <f>VLOOKUP(D163,상품정보!$A$2:$D$151,4,FALSE)</f>
        <v>브랜드B</v>
      </c>
    </row>
    <row r="164" spans="1:18" x14ac:dyDescent="0.45">
      <c r="A164" t="s">
        <v>48</v>
      </c>
      <c r="B164" t="s">
        <v>563</v>
      </c>
      <c r="C164" t="s">
        <v>2423</v>
      </c>
      <c r="D164" t="s">
        <v>2558</v>
      </c>
      <c r="E164">
        <v>3</v>
      </c>
      <c r="F164">
        <v>63700</v>
      </c>
      <c r="G164">
        <v>1000</v>
      </c>
      <c r="H164">
        <v>0</v>
      </c>
      <c r="I164" t="s">
        <v>2652</v>
      </c>
      <c r="J164" s="4">
        <f t="shared" si="6"/>
        <v>192100</v>
      </c>
      <c r="K164" s="4" t="str">
        <f t="shared" si="7"/>
        <v>2024-10</v>
      </c>
      <c r="L164" s="4" t="str">
        <f t="shared" si="8"/>
        <v>목</v>
      </c>
      <c r="M164" s="2" t="str">
        <f>VLOOKUP($C164, 고객정보!$A$2:$E$151, 2, FALSE)</f>
        <v>수원</v>
      </c>
      <c r="N164" t="str">
        <f>VLOOKUP(C164,고객정보!$A$2:$D$151,4,FALSE)</f>
        <v>L5</v>
      </c>
      <c r="O164" t="str">
        <f>VLOOKUP($C164, 고객정보!$A$2:$E$151, 5, FALSE)</f>
        <v>30대</v>
      </c>
      <c r="P164" t="str">
        <f>VLOOKUP(D164,상품정보!$A$2:$E$61,2,FALSE)</f>
        <v>셔츠</v>
      </c>
      <c r="Q164" t="str">
        <f>VLOOKUP(D164,상품정보!$A$2:$D$151,3,FALSE)</f>
        <v>의류</v>
      </c>
      <c r="R164" t="str">
        <f>VLOOKUP(D164,상품정보!$A$2:$D$151,4,FALSE)</f>
        <v>브랜드A</v>
      </c>
    </row>
    <row r="165" spans="1:18" x14ac:dyDescent="0.45">
      <c r="A165" t="s">
        <v>138</v>
      </c>
      <c r="B165" t="s">
        <v>564</v>
      </c>
      <c r="C165" t="s">
        <v>2414</v>
      </c>
      <c r="D165" t="s">
        <v>2552</v>
      </c>
      <c r="E165">
        <v>2</v>
      </c>
      <c r="F165">
        <v>13300</v>
      </c>
      <c r="G165">
        <v>0</v>
      </c>
      <c r="H165">
        <v>0</v>
      </c>
      <c r="I165" t="s">
        <v>2652</v>
      </c>
      <c r="J165" s="4">
        <f t="shared" si="6"/>
        <v>26600</v>
      </c>
      <c r="K165" s="4" t="str">
        <f t="shared" si="7"/>
        <v>2024-04</v>
      </c>
      <c r="L165" s="4" t="str">
        <f t="shared" si="8"/>
        <v>일</v>
      </c>
      <c r="M165" s="2" t="str">
        <f>VLOOKUP($C165, 고객정보!$A$2:$E$151, 2, FALSE)</f>
        <v>대구</v>
      </c>
      <c r="N165" t="str">
        <f>VLOOKUP(C165,고객정보!$A$2:$D$151,4,FALSE)</f>
        <v>L3</v>
      </c>
      <c r="O165" t="str">
        <f>VLOOKUP($C165, 고객정보!$A$2:$E$151, 5, FALSE)</f>
        <v>30대</v>
      </c>
      <c r="P165" t="str">
        <f>VLOOKUP(D165,상품정보!$A$2:$E$61,2,FALSE)</f>
        <v>셔츠</v>
      </c>
      <c r="Q165" t="str">
        <f>VLOOKUP(D165,상품정보!$A$2:$D$151,3,FALSE)</f>
        <v>의류</v>
      </c>
      <c r="R165" t="str">
        <f>VLOOKUP(D165,상품정보!$A$2:$D$151,4,FALSE)</f>
        <v>브랜드E</v>
      </c>
    </row>
    <row r="166" spans="1:18" x14ac:dyDescent="0.45">
      <c r="A166" t="s">
        <v>139</v>
      </c>
      <c r="B166" t="s">
        <v>565</v>
      </c>
      <c r="C166" t="s">
        <v>2496</v>
      </c>
      <c r="D166" t="s">
        <v>2606</v>
      </c>
      <c r="E166">
        <v>2</v>
      </c>
      <c r="F166">
        <v>15000</v>
      </c>
      <c r="G166">
        <v>0</v>
      </c>
      <c r="H166">
        <v>0</v>
      </c>
      <c r="I166" t="s">
        <v>2652</v>
      </c>
      <c r="J166" s="4">
        <f t="shared" si="6"/>
        <v>30000</v>
      </c>
      <c r="K166" s="4" t="str">
        <f t="shared" si="7"/>
        <v>2024-12</v>
      </c>
      <c r="L166" s="4" t="str">
        <f t="shared" si="8"/>
        <v>금</v>
      </c>
      <c r="M166" s="2" t="str">
        <f>VLOOKUP($C166, 고객정보!$A$2:$E$151, 2, FALSE)</f>
        <v>서울</v>
      </c>
      <c r="N166" t="str">
        <f>VLOOKUP(C166,고객정보!$A$2:$D$151,4,FALSE)</f>
        <v>L3</v>
      </c>
      <c r="O166" t="str">
        <f>VLOOKUP($C166, 고객정보!$A$2:$E$151, 5, FALSE)</f>
        <v>50대 이상</v>
      </c>
      <c r="P166" t="str">
        <f>VLOOKUP(D166,상품정보!$A$2:$E$61,2,FALSE)</f>
        <v>귀걸이</v>
      </c>
      <c r="Q166" t="str">
        <f>VLOOKUP(D166,상품정보!$A$2:$D$151,3,FALSE)</f>
        <v>액세서리</v>
      </c>
      <c r="R166" t="str">
        <f>VLOOKUP(D166,상품정보!$A$2:$D$151,4,FALSE)</f>
        <v>브랜드E</v>
      </c>
    </row>
    <row r="167" spans="1:18" x14ac:dyDescent="0.45">
      <c r="A167" t="s">
        <v>140</v>
      </c>
      <c r="B167" t="s">
        <v>566</v>
      </c>
      <c r="C167" t="s">
        <v>2447</v>
      </c>
      <c r="D167" t="s">
        <v>2571</v>
      </c>
      <c r="E167">
        <v>4</v>
      </c>
      <c r="F167">
        <v>55600</v>
      </c>
      <c r="G167">
        <v>2000</v>
      </c>
      <c r="H167">
        <v>8500</v>
      </c>
      <c r="I167" t="s">
        <v>2614</v>
      </c>
      <c r="J167" s="4">
        <f t="shared" si="6"/>
        <v>215900</v>
      </c>
      <c r="K167" s="4" t="str">
        <f t="shared" si="7"/>
        <v>2024-07</v>
      </c>
      <c r="L167" s="4" t="str">
        <f t="shared" si="8"/>
        <v>토</v>
      </c>
      <c r="M167" s="2" t="str">
        <f>VLOOKUP($C167, 고객정보!$A$2:$E$151, 2, FALSE)</f>
        <v>대구</v>
      </c>
      <c r="N167" t="str">
        <f>VLOOKUP(C167,고객정보!$A$2:$D$151,4,FALSE)</f>
        <v>L1</v>
      </c>
      <c r="O167" t="str">
        <f>VLOOKUP($C167, 고객정보!$A$2:$E$151, 5, FALSE)</f>
        <v>10대</v>
      </c>
      <c r="P167" t="str">
        <f>VLOOKUP(D167,상품정보!$A$2:$E$61,2,FALSE)</f>
        <v>자켓</v>
      </c>
      <c r="Q167" t="str">
        <f>VLOOKUP(D167,상품정보!$A$2:$D$151,3,FALSE)</f>
        <v>의류</v>
      </c>
      <c r="R167" t="str">
        <f>VLOOKUP(D167,상품정보!$A$2:$D$151,4,FALSE)</f>
        <v>브랜드B</v>
      </c>
    </row>
    <row r="168" spans="1:18" x14ac:dyDescent="0.45">
      <c r="A168" t="s">
        <v>141</v>
      </c>
      <c r="B168" t="s">
        <v>567</v>
      </c>
      <c r="C168" t="s">
        <v>2481</v>
      </c>
      <c r="D168" t="s">
        <v>2561</v>
      </c>
      <c r="E168">
        <v>4</v>
      </c>
      <c r="F168">
        <v>63300</v>
      </c>
      <c r="G168">
        <v>0</v>
      </c>
      <c r="H168">
        <v>0</v>
      </c>
      <c r="I168" t="s">
        <v>2652</v>
      </c>
      <c r="J168" s="4">
        <f t="shared" si="6"/>
        <v>253200</v>
      </c>
      <c r="K168" s="4" t="str">
        <f t="shared" si="7"/>
        <v>2024-07</v>
      </c>
      <c r="L168" s="4" t="str">
        <f t="shared" si="8"/>
        <v>수</v>
      </c>
      <c r="M168" s="2" t="str">
        <f>VLOOKUP($C168, 고객정보!$A$2:$E$151, 2, FALSE)</f>
        <v>부산</v>
      </c>
      <c r="N168" t="str">
        <f>VLOOKUP(C168,고객정보!$A$2:$D$151,4,FALSE)</f>
        <v>L5</v>
      </c>
      <c r="O168" t="str">
        <f>VLOOKUP($C168, 고객정보!$A$2:$E$151, 5, FALSE)</f>
        <v>20대</v>
      </c>
      <c r="P168" t="str">
        <f>VLOOKUP(D168,상품정보!$A$2:$E$61,2,FALSE)</f>
        <v>귀걸이</v>
      </c>
      <c r="Q168" t="str">
        <f>VLOOKUP(D168,상품정보!$A$2:$D$151,3,FALSE)</f>
        <v>액세서리</v>
      </c>
      <c r="R168" t="str">
        <f>VLOOKUP(D168,상품정보!$A$2:$D$151,4,FALSE)</f>
        <v>브랜드B</v>
      </c>
    </row>
    <row r="169" spans="1:18" x14ac:dyDescent="0.45">
      <c r="A169" t="s">
        <v>142</v>
      </c>
      <c r="B169" t="s">
        <v>568</v>
      </c>
      <c r="C169" t="s">
        <v>2497</v>
      </c>
      <c r="D169" t="s">
        <v>2572</v>
      </c>
      <c r="E169">
        <v>4</v>
      </c>
      <c r="F169">
        <v>61700</v>
      </c>
      <c r="G169">
        <v>1500</v>
      </c>
      <c r="H169">
        <v>0</v>
      </c>
      <c r="I169" t="s">
        <v>2652</v>
      </c>
      <c r="J169" s="4">
        <f t="shared" si="6"/>
        <v>248300</v>
      </c>
      <c r="K169" s="4" t="str">
        <f t="shared" si="7"/>
        <v>2024-07</v>
      </c>
      <c r="L169" s="4" t="str">
        <f t="shared" si="8"/>
        <v>목</v>
      </c>
      <c r="M169" s="2" t="str">
        <f>VLOOKUP($C169, 고객정보!$A$2:$E$151, 2, FALSE)</f>
        <v>서울</v>
      </c>
      <c r="N169" t="str">
        <f>VLOOKUP(C169,고객정보!$A$2:$D$151,4,FALSE)</f>
        <v>L3</v>
      </c>
      <c r="O169" t="str">
        <f>VLOOKUP($C169, 고객정보!$A$2:$E$151, 5, FALSE)</f>
        <v>10대</v>
      </c>
      <c r="P169" t="str">
        <f>VLOOKUP(D169,상품정보!$A$2:$E$61,2,FALSE)</f>
        <v>반팔 티셔츠</v>
      </c>
      <c r="Q169" t="str">
        <f>VLOOKUP(D169,상품정보!$A$2:$D$151,3,FALSE)</f>
        <v>의류</v>
      </c>
      <c r="R169" t="str">
        <f>VLOOKUP(D169,상품정보!$A$2:$D$151,4,FALSE)</f>
        <v>브랜드F</v>
      </c>
    </row>
    <row r="170" spans="1:18" x14ac:dyDescent="0.45">
      <c r="A170" t="s">
        <v>143</v>
      </c>
      <c r="B170" t="s">
        <v>569</v>
      </c>
      <c r="C170" t="s">
        <v>2429</v>
      </c>
      <c r="D170" t="s">
        <v>2606</v>
      </c>
      <c r="E170">
        <v>1</v>
      </c>
      <c r="F170">
        <v>15000</v>
      </c>
      <c r="G170">
        <v>0</v>
      </c>
      <c r="H170">
        <v>0</v>
      </c>
      <c r="I170" t="s">
        <v>2652</v>
      </c>
      <c r="J170" s="4">
        <f t="shared" si="6"/>
        <v>15000</v>
      </c>
      <c r="K170" s="4" t="str">
        <f t="shared" si="7"/>
        <v>2025-01</v>
      </c>
      <c r="L170" s="4" t="str">
        <f t="shared" si="8"/>
        <v>일</v>
      </c>
      <c r="M170" s="2" t="str">
        <f>VLOOKUP($C170, 고객정보!$A$2:$E$151, 2, FALSE)</f>
        <v>서울</v>
      </c>
      <c r="N170" t="str">
        <f>VLOOKUP(C170,고객정보!$A$2:$D$151,4,FALSE)</f>
        <v>L1</v>
      </c>
      <c r="O170" t="str">
        <f>VLOOKUP($C170, 고객정보!$A$2:$E$151, 5, FALSE)</f>
        <v>10대</v>
      </c>
      <c r="P170" t="str">
        <f>VLOOKUP(D170,상품정보!$A$2:$E$61,2,FALSE)</f>
        <v>귀걸이</v>
      </c>
      <c r="Q170" t="str">
        <f>VLOOKUP(D170,상품정보!$A$2:$D$151,3,FALSE)</f>
        <v>액세서리</v>
      </c>
      <c r="R170" t="str">
        <f>VLOOKUP(D170,상품정보!$A$2:$D$151,4,FALSE)</f>
        <v>브랜드E</v>
      </c>
    </row>
    <row r="171" spans="1:18" x14ac:dyDescent="0.45">
      <c r="A171" t="s">
        <v>60</v>
      </c>
      <c r="B171" t="s">
        <v>570</v>
      </c>
      <c r="C171" t="s">
        <v>2494</v>
      </c>
      <c r="D171" t="s">
        <v>2559</v>
      </c>
      <c r="E171">
        <v>4</v>
      </c>
      <c r="F171">
        <v>5400</v>
      </c>
      <c r="G171">
        <v>500</v>
      </c>
      <c r="H171">
        <v>0</v>
      </c>
      <c r="I171" t="s">
        <v>2652</v>
      </c>
      <c r="J171" s="4">
        <f t="shared" si="6"/>
        <v>22100</v>
      </c>
      <c r="K171" s="4" t="str">
        <f t="shared" si="7"/>
        <v>2024-01</v>
      </c>
      <c r="L171" s="4" t="str">
        <f t="shared" si="8"/>
        <v>목</v>
      </c>
      <c r="M171" s="2" t="str">
        <f>VLOOKUP($C171, 고객정보!$A$2:$E$151, 2, FALSE)</f>
        <v>대구</v>
      </c>
      <c r="N171" t="str">
        <f>VLOOKUP(C171,고객정보!$A$2:$D$151,4,FALSE)</f>
        <v>L4</v>
      </c>
      <c r="O171" t="str">
        <f>VLOOKUP($C171, 고객정보!$A$2:$E$151, 5, FALSE)</f>
        <v>40대</v>
      </c>
      <c r="P171" t="str">
        <f>VLOOKUP(D171,상품정보!$A$2:$E$61,2,FALSE)</f>
        <v>반지</v>
      </c>
      <c r="Q171" t="str">
        <f>VLOOKUP(D171,상품정보!$A$2:$D$151,3,FALSE)</f>
        <v>액세서리</v>
      </c>
      <c r="R171" t="str">
        <f>VLOOKUP(D171,상품정보!$A$2:$D$151,4,FALSE)</f>
        <v>브랜드D</v>
      </c>
    </row>
    <row r="172" spans="1:18" x14ac:dyDescent="0.45">
      <c r="A172" t="s">
        <v>13</v>
      </c>
      <c r="B172" t="s">
        <v>571</v>
      </c>
      <c r="C172" t="s">
        <v>2498</v>
      </c>
      <c r="D172" t="s">
        <v>2600</v>
      </c>
      <c r="E172">
        <v>4</v>
      </c>
      <c r="F172">
        <v>10900</v>
      </c>
      <c r="G172">
        <v>500</v>
      </c>
      <c r="H172">
        <v>0</v>
      </c>
      <c r="I172" t="s">
        <v>2652</v>
      </c>
      <c r="J172" s="4">
        <f t="shared" si="6"/>
        <v>44100</v>
      </c>
      <c r="K172" s="4" t="str">
        <f t="shared" si="7"/>
        <v>2024-08</v>
      </c>
      <c r="L172" s="4" t="str">
        <f t="shared" si="8"/>
        <v>금</v>
      </c>
      <c r="M172" s="2" t="str">
        <f>VLOOKUP($C172, 고객정보!$A$2:$E$151, 2, FALSE)</f>
        <v>서울</v>
      </c>
      <c r="N172" t="str">
        <f>VLOOKUP(C172,고객정보!$A$2:$D$151,4,FALSE)</f>
        <v>L3</v>
      </c>
      <c r="O172" t="str">
        <f>VLOOKUP($C172, 고객정보!$A$2:$E$151, 5, FALSE)</f>
        <v>30대</v>
      </c>
      <c r="P172" t="str">
        <f>VLOOKUP(D172,상품정보!$A$2:$E$61,2,FALSE)</f>
        <v>셔츠</v>
      </c>
      <c r="Q172" t="str">
        <f>VLOOKUP(D172,상품정보!$A$2:$D$151,3,FALSE)</f>
        <v>의류</v>
      </c>
      <c r="R172" t="str">
        <f>VLOOKUP(D172,상품정보!$A$2:$D$151,4,FALSE)</f>
        <v>브랜드E</v>
      </c>
    </row>
    <row r="173" spans="1:18" x14ac:dyDescent="0.45">
      <c r="A173" t="s">
        <v>144</v>
      </c>
      <c r="B173" t="s">
        <v>572</v>
      </c>
      <c r="C173" t="s">
        <v>2436</v>
      </c>
      <c r="D173" t="s">
        <v>2574</v>
      </c>
      <c r="E173">
        <v>5</v>
      </c>
      <c r="F173">
        <v>8600</v>
      </c>
      <c r="G173">
        <v>0</v>
      </c>
      <c r="H173">
        <v>0</v>
      </c>
      <c r="I173" t="s">
        <v>2652</v>
      </c>
      <c r="J173" s="4">
        <f t="shared" si="6"/>
        <v>43000</v>
      </c>
      <c r="K173" s="4" t="str">
        <f t="shared" si="7"/>
        <v>2024-11</v>
      </c>
      <c r="L173" s="4" t="str">
        <f t="shared" si="8"/>
        <v>월</v>
      </c>
      <c r="M173" s="2" t="str">
        <f>VLOOKUP($C173, 고객정보!$A$2:$E$151, 2, FALSE)</f>
        <v>인천</v>
      </c>
      <c r="N173" t="str">
        <f>VLOOKUP(C173,고객정보!$A$2:$D$151,4,FALSE)</f>
        <v>L4</v>
      </c>
      <c r="O173" t="str">
        <f>VLOOKUP($C173, 고객정보!$A$2:$E$151, 5, FALSE)</f>
        <v>10대</v>
      </c>
      <c r="P173" t="str">
        <f>VLOOKUP(D173,상품정보!$A$2:$E$61,2,FALSE)</f>
        <v>셔츠</v>
      </c>
      <c r="Q173" t="str">
        <f>VLOOKUP(D173,상품정보!$A$2:$D$151,3,FALSE)</f>
        <v>의류</v>
      </c>
      <c r="R173" t="str">
        <f>VLOOKUP(D173,상품정보!$A$2:$D$151,4,FALSE)</f>
        <v>브랜드D</v>
      </c>
    </row>
    <row r="174" spans="1:18" x14ac:dyDescent="0.45">
      <c r="A174" t="s">
        <v>145</v>
      </c>
      <c r="B174" t="s">
        <v>573</v>
      </c>
      <c r="C174" t="s">
        <v>2407</v>
      </c>
      <c r="D174" t="s">
        <v>2583</v>
      </c>
      <c r="E174">
        <v>2</v>
      </c>
      <c r="F174">
        <v>6600</v>
      </c>
      <c r="G174">
        <v>1500</v>
      </c>
      <c r="H174">
        <v>0</v>
      </c>
      <c r="I174" t="s">
        <v>2652</v>
      </c>
      <c r="J174" s="4">
        <f t="shared" si="6"/>
        <v>14700</v>
      </c>
      <c r="K174" s="4" t="str">
        <f t="shared" si="7"/>
        <v>2024-05</v>
      </c>
      <c r="L174" s="4" t="str">
        <f t="shared" si="8"/>
        <v>일</v>
      </c>
      <c r="M174" s="2" t="str">
        <f>VLOOKUP($C174, 고객정보!$A$2:$E$151, 2, FALSE)</f>
        <v>서울</v>
      </c>
      <c r="N174" t="str">
        <f>VLOOKUP(C174,고객정보!$A$2:$D$151,4,FALSE)</f>
        <v>L5</v>
      </c>
      <c r="O174" t="str">
        <f>VLOOKUP($C174, 고객정보!$A$2:$E$151, 5, FALSE)</f>
        <v>30대</v>
      </c>
      <c r="P174" t="str">
        <f>VLOOKUP(D174,상품정보!$A$2:$E$61,2,FALSE)</f>
        <v>셔츠</v>
      </c>
      <c r="Q174" t="str">
        <f>VLOOKUP(D174,상품정보!$A$2:$D$151,3,FALSE)</f>
        <v>의류</v>
      </c>
      <c r="R174" t="str">
        <f>VLOOKUP(D174,상품정보!$A$2:$D$151,4,FALSE)</f>
        <v>브랜드E</v>
      </c>
    </row>
    <row r="175" spans="1:18" x14ac:dyDescent="0.45">
      <c r="A175" t="s">
        <v>142</v>
      </c>
      <c r="B175" t="s">
        <v>574</v>
      </c>
      <c r="C175" t="s">
        <v>2485</v>
      </c>
      <c r="D175" t="s">
        <v>2583</v>
      </c>
      <c r="E175">
        <v>1</v>
      </c>
      <c r="F175">
        <v>6600</v>
      </c>
      <c r="G175">
        <v>0</v>
      </c>
      <c r="H175">
        <v>0</v>
      </c>
      <c r="I175" t="s">
        <v>2652</v>
      </c>
      <c r="J175" s="4">
        <f t="shared" si="6"/>
        <v>6600</v>
      </c>
      <c r="K175" s="4" t="str">
        <f t="shared" si="7"/>
        <v>2024-07</v>
      </c>
      <c r="L175" s="4" t="str">
        <f t="shared" si="8"/>
        <v>목</v>
      </c>
      <c r="M175" s="2" t="str">
        <f>VLOOKUP($C175, 고객정보!$A$2:$E$151, 2, FALSE)</f>
        <v>서울</v>
      </c>
      <c r="N175" t="str">
        <f>VLOOKUP(C175,고객정보!$A$2:$D$151,4,FALSE)</f>
        <v>L4</v>
      </c>
      <c r="O175" t="str">
        <f>VLOOKUP($C175, 고객정보!$A$2:$E$151, 5, FALSE)</f>
        <v>40대</v>
      </c>
      <c r="P175" t="str">
        <f>VLOOKUP(D175,상품정보!$A$2:$E$61,2,FALSE)</f>
        <v>셔츠</v>
      </c>
      <c r="Q175" t="str">
        <f>VLOOKUP(D175,상품정보!$A$2:$D$151,3,FALSE)</f>
        <v>의류</v>
      </c>
      <c r="R175" t="str">
        <f>VLOOKUP(D175,상품정보!$A$2:$D$151,4,FALSE)</f>
        <v>브랜드E</v>
      </c>
    </row>
    <row r="176" spans="1:18" x14ac:dyDescent="0.45">
      <c r="A176" t="s">
        <v>146</v>
      </c>
      <c r="B176" t="s">
        <v>575</v>
      </c>
      <c r="C176" t="s">
        <v>2450</v>
      </c>
      <c r="D176" t="s">
        <v>2567</v>
      </c>
      <c r="E176">
        <v>4</v>
      </c>
      <c r="F176">
        <v>58600</v>
      </c>
      <c r="G176">
        <v>0</v>
      </c>
      <c r="H176">
        <v>0</v>
      </c>
      <c r="I176" t="s">
        <v>2652</v>
      </c>
      <c r="J176" s="4">
        <f t="shared" si="6"/>
        <v>234400</v>
      </c>
      <c r="K176" s="4" t="str">
        <f t="shared" si="7"/>
        <v>2025-01</v>
      </c>
      <c r="L176" s="4" t="str">
        <f t="shared" si="8"/>
        <v>일</v>
      </c>
      <c r="M176" s="2" t="str">
        <f>VLOOKUP($C176, 고객정보!$A$2:$E$151, 2, FALSE)</f>
        <v>인천</v>
      </c>
      <c r="N176" t="str">
        <f>VLOOKUP(C176,고객정보!$A$2:$D$151,4,FALSE)</f>
        <v>L5</v>
      </c>
      <c r="O176" t="str">
        <f>VLOOKUP($C176, 고객정보!$A$2:$E$151, 5, FALSE)</f>
        <v>40대</v>
      </c>
      <c r="P176" t="str">
        <f>VLOOKUP(D176,상품정보!$A$2:$E$61,2,FALSE)</f>
        <v>귀걸이</v>
      </c>
      <c r="Q176" t="str">
        <f>VLOOKUP(D176,상품정보!$A$2:$D$151,3,FALSE)</f>
        <v>액세서리</v>
      </c>
      <c r="R176" t="str">
        <f>VLOOKUP(D176,상품정보!$A$2:$D$151,4,FALSE)</f>
        <v>브랜드B</v>
      </c>
    </row>
    <row r="177" spans="1:18" x14ac:dyDescent="0.45">
      <c r="A177" t="s">
        <v>54</v>
      </c>
      <c r="B177" t="s">
        <v>576</v>
      </c>
      <c r="C177" t="s">
        <v>2499</v>
      </c>
      <c r="D177" t="s">
        <v>2569</v>
      </c>
      <c r="E177">
        <v>4</v>
      </c>
      <c r="F177">
        <v>11400</v>
      </c>
      <c r="G177">
        <v>0</v>
      </c>
      <c r="H177">
        <v>0</v>
      </c>
      <c r="I177" t="s">
        <v>2652</v>
      </c>
      <c r="J177" s="4">
        <f t="shared" si="6"/>
        <v>45600</v>
      </c>
      <c r="K177" s="4" t="str">
        <f t="shared" si="7"/>
        <v>2024-03</v>
      </c>
      <c r="L177" s="4" t="str">
        <f t="shared" si="8"/>
        <v>수</v>
      </c>
      <c r="M177" s="2" t="str">
        <f>VLOOKUP($C177, 고객정보!$A$2:$E$151, 2, FALSE)</f>
        <v>서울</v>
      </c>
      <c r="N177" t="str">
        <f>VLOOKUP(C177,고객정보!$A$2:$D$151,4,FALSE)</f>
        <v>L2</v>
      </c>
      <c r="O177" t="str">
        <f>VLOOKUP($C177, 고객정보!$A$2:$E$151, 5, FALSE)</f>
        <v>40대</v>
      </c>
      <c r="P177" t="str">
        <f>VLOOKUP(D177,상품정보!$A$2:$E$61,2,FALSE)</f>
        <v>귀걸이</v>
      </c>
      <c r="Q177" t="str">
        <f>VLOOKUP(D177,상품정보!$A$2:$D$151,3,FALSE)</f>
        <v>액세서리</v>
      </c>
      <c r="R177" t="str">
        <f>VLOOKUP(D177,상품정보!$A$2:$D$151,4,FALSE)</f>
        <v>브랜드E</v>
      </c>
    </row>
    <row r="178" spans="1:18" x14ac:dyDescent="0.45">
      <c r="A178" t="s">
        <v>147</v>
      </c>
      <c r="B178" t="s">
        <v>577</v>
      </c>
      <c r="C178" t="s">
        <v>2445</v>
      </c>
      <c r="D178" t="s">
        <v>2551</v>
      </c>
      <c r="E178">
        <v>4</v>
      </c>
      <c r="F178">
        <v>66600</v>
      </c>
      <c r="G178">
        <v>1000</v>
      </c>
      <c r="H178">
        <v>0</v>
      </c>
      <c r="I178" t="s">
        <v>2652</v>
      </c>
      <c r="J178" s="4">
        <f t="shared" si="6"/>
        <v>267400</v>
      </c>
      <c r="K178" s="4" t="str">
        <f t="shared" si="7"/>
        <v>2024-10</v>
      </c>
      <c r="L178" s="4" t="str">
        <f t="shared" si="8"/>
        <v>수</v>
      </c>
      <c r="M178" s="2" t="str">
        <f>VLOOKUP($C178, 고객정보!$A$2:$E$151, 2, FALSE)</f>
        <v>대구</v>
      </c>
      <c r="N178" t="str">
        <f>VLOOKUP(C178,고객정보!$A$2:$D$151,4,FALSE)</f>
        <v>L3</v>
      </c>
      <c r="O178" t="str">
        <f>VLOOKUP($C178, 고객정보!$A$2:$E$151, 5, FALSE)</f>
        <v>10대</v>
      </c>
      <c r="P178" t="str">
        <f>VLOOKUP(D178,상품정보!$A$2:$E$61,2,FALSE)</f>
        <v>반지</v>
      </c>
      <c r="Q178" t="str">
        <f>VLOOKUP(D178,상품정보!$A$2:$D$151,3,FALSE)</f>
        <v>액세서리</v>
      </c>
      <c r="R178" t="str">
        <f>VLOOKUP(D178,상품정보!$A$2:$D$151,4,FALSE)</f>
        <v>브랜드B</v>
      </c>
    </row>
    <row r="179" spans="1:18" x14ac:dyDescent="0.45">
      <c r="A179" t="s">
        <v>148</v>
      </c>
      <c r="B179" t="s">
        <v>578</v>
      </c>
      <c r="C179" t="s">
        <v>2500</v>
      </c>
      <c r="D179" t="s">
        <v>2567</v>
      </c>
      <c r="E179">
        <v>1</v>
      </c>
      <c r="F179">
        <v>58600</v>
      </c>
      <c r="G179">
        <v>0</v>
      </c>
      <c r="H179">
        <v>0</v>
      </c>
      <c r="I179" t="s">
        <v>2652</v>
      </c>
      <c r="J179" s="4">
        <f t="shared" si="6"/>
        <v>58600</v>
      </c>
      <c r="K179" s="4" t="str">
        <f t="shared" si="7"/>
        <v>2024-02</v>
      </c>
      <c r="L179" s="4" t="str">
        <f t="shared" si="8"/>
        <v>월</v>
      </c>
      <c r="M179" s="2" t="str">
        <f>VLOOKUP($C179, 고객정보!$A$2:$E$151, 2, FALSE)</f>
        <v>서울</v>
      </c>
      <c r="N179" t="str">
        <f>VLOOKUP(C179,고객정보!$A$2:$D$151,4,FALSE)</f>
        <v>L3</v>
      </c>
      <c r="O179" t="str">
        <f>VLOOKUP($C179, 고객정보!$A$2:$E$151, 5, FALSE)</f>
        <v>20대</v>
      </c>
      <c r="P179" t="str">
        <f>VLOOKUP(D179,상품정보!$A$2:$E$61,2,FALSE)</f>
        <v>귀걸이</v>
      </c>
      <c r="Q179" t="str">
        <f>VLOOKUP(D179,상품정보!$A$2:$D$151,3,FALSE)</f>
        <v>액세서리</v>
      </c>
      <c r="R179" t="str">
        <f>VLOOKUP(D179,상품정보!$A$2:$D$151,4,FALSE)</f>
        <v>브랜드B</v>
      </c>
    </row>
    <row r="180" spans="1:18" x14ac:dyDescent="0.45">
      <c r="A180" t="s">
        <v>69</v>
      </c>
      <c r="B180" t="s">
        <v>579</v>
      </c>
      <c r="C180" t="s">
        <v>2501</v>
      </c>
      <c r="D180" t="s">
        <v>2552</v>
      </c>
      <c r="E180">
        <v>4</v>
      </c>
      <c r="F180">
        <v>13300</v>
      </c>
      <c r="G180">
        <v>0</v>
      </c>
      <c r="H180">
        <v>3200</v>
      </c>
      <c r="I180" t="s">
        <v>2614</v>
      </c>
      <c r="J180" s="4">
        <f t="shared" si="6"/>
        <v>50000</v>
      </c>
      <c r="K180" s="4" t="str">
        <f t="shared" si="7"/>
        <v>2024-04</v>
      </c>
      <c r="L180" s="4" t="str">
        <f t="shared" si="8"/>
        <v>수</v>
      </c>
      <c r="M180" s="2" t="str">
        <f>VLOOKUP($C180, 고객정보!$A$2:$E$151, 2, FALSE)</f>
        <v>서울</v>
      </c>
      <c r="N180" t="str">
        <f>VLOOKUP(C180,고객정보!$A$2:$D$151,4,FALSE)</f>
        <v>L4</v>
      </c>
      <c r="O180" t="str">
        <f>VLOOKUP($C180, 고객정보!$A$2:$E$151, 5, FALSE)</f>
        <v>50대 이상</v>
      </c>
      <c r="P180" t="str">
        <f>VLOOKUP(D180,상품정보!$A$2:$E$61,2,FALSE)</f>
        <v>셔츠</v>
      </c>
      <c r="Q180" t="str">
        <f>VLOOKUP(D180,상품정보!$A$2:$D$151,3,FALSE)</f>
        <v>의류</v>
      </c>
      <c r="R180" t="str">
        <f>VLOOKUP(D180,상품정보!$A$2:$D$151,4,FALSE)</f>
        <v>브랜드E</v>
      </c>
    </row>
    <row r="181" spans="1:18" x14ac:dyDescent="0.45">
      <c r="A181" t="s">
        <v>113</v>
      </c>
      <c r="B181" t="s">
        <v>580</v>
      </c>
      <c r="C181" t="s">
        <v>2431</v>
      </c>
      <c r="D181" t="s">
        <v>2605</v>
      </c>
      <c r="E181">
        <v>4</v>
      </c>
      <c r="F181">
        <v>6800</v>
      </c>
      <c r="G181">
        <v>0</v>
      </c>
      <c r="H181">
        <v>0</v>
      </c>
      <c r="I181" t="s">
        <v>2652</v>
      </c>
      <c r="J181" s="4">
        <f t="shared" si="6"/>
        <v>27200</v>
      </c>
      <c r="K181" s="4" t="str">
        <f t="shared" si="7"/>
        <v>2024-06</v>
      </c>
      <c r="L181" s="4" t="str">
        <f t="shared" si="8"/>
        <v>일</v>
      </c>
      <c r="M181" s="2" t="str">
        <f>VLOOKUP($C181, 고객정보!$A$2:$E$151, 2, FALSE)</f>
        <v>광주</v>
      </c>
      <c r="N181" t="str">
        <f>VLOOKUP(C181,고객정보!$A$2:$D$151,4,FALSE)</f>
        <v>L3</v>
      </c>
      <c r="O181" t="str">
        <f>VLOOKUP($C181, 고객정보!$A$2:$E$151, 5, FALSE)</f>
        <v>40대</v>
      </c>
      <c r="P181" t="str">
        <f>VLOOKUP(D181,상품정보!$A$2:$E$61,2,FALSE)</f>
        <v>핸드폰케이스</v>
      </c>
      <c r="Q181" t="str">
        <f>VLOOKUP(D181,상품정보!$A$2:$D$151,3,FALSE)</f>
        <v>액세서리</v>
      </c>
      <c r="R181" t="str">
        <f>VLOOKUP(D181,상품정보!$A$2:$D$151,4,FALSE)</f>
        <v>브랜드D</v>
      </c>
    </row>
    <row r="182" spans="1:18" x14ac:dyDescent="0.45">
      <c r="A182" t="s">
        <v>149</v>
      </c>
      <c r="B182" t="s">
        <v>581</v>
      </c>
      <c r="C182" t="s">
        <v>2447</v>
      </c>
      <c r="D182" t="s">
        <v>2581</v>
      </c>
      <c r="E182">
        <v>3</v>
      </c>
      <c r="F182">
        <v>72900</v>
      </c>
      <c r="G182">
        <v>0</v>
      </c>
      <c r="H182">
        <v>0</v>
      </c>
      <c r="I182" t="s">
        <v>2652</v>
      </c>
      <c r="J182" s="4">
        <f t="shared" si="6"/>
        <v>218700</v>
      </c>
      <c r="K182" s="4" t="str">
        <f t="shared" si="7"/>
        <v>2024-06</v>
      </c>
      <c r="L182" s="4" t="str">
        <f t="shared" si="8"/>
        <v>금</v>
      </c>
      <c r="M182" s="2" t="str">
        <f>VLOOKUP($C182, 고객정보!$A$2:$E$151, 2, FALSE)</f>
        <v>대구</v>
      </c>
      <c r="N182" t="str">
        <f>VLOOKUP(C182,고객정보!$A$2:$D$151,4,FALSE)</f>
        <v>L1</v>
      </c>
      <c r="O182" t="str">
        <f>VLOOKUP($C182, 고객정보!$A$2:$E$151, 5, FALSE)</f>
        <v>10대</v>
      </c>
      <c r="P182" t="str">
        <f>VLOOKUP(D182,상품정보!$A$2:$E$61,2,FALSE)</f>
        <v>귀걸이</v>
      </c>
      <c r="Q182" t="str">
        <f>VLOOKUP(D182,상품정보!$A$2:$D$151,3,FALSE)</f>
        <v>액세서리</v>
      </c>
      <c r="R182" t="str">
        <f>VLOOKUP(D182,상품정보!$A$2:$D$151,4,FALSE)</f>
        <v>브랜드F</v>
      </c>
    </row>
    <row r="183" spans="1:18" x14ac:dyDescent="0.45">
      <c r="A183" t="s">
        <v>150</v>
      </c>
      <c r="B183" t="s">
        <v>582</v>
      </c>
      <c r="C183" t="s">
        <v>2418</v>
      </c>
      <c r="D183" t="s">
        <v>2565</v>
      </c>
      <c r="E183">
        <v>4</v>
      </c>
      <c r="F183">
        <v>50000</v>
      </c>
      <c r="G183">
        <v>500</v>
      </c>
      <c r="H183">
        <v>0</v>
      </c>
      <c r="I183" t="s">
        <v>2652</v>
      </c>
      <c r="J183" s="4">
        <f t="shared" si="6"/>
        <v>200500</v>
      </c>
      <c r="K183" s="4" t="str">
        <f t="shared" si="7"/>
        <v>2024-05</v>
      </c>
      <c r="L183" s="4" t="str">
        <f t="shared" si="8"/>
        <v>목</v>
      </c>
      <c r="M183" s="2" t="str">
        <f>VLOOKUP($C183, 고객정보!$A$2:$E$151, 2, FALSE)</f>
        <v>부산</v>
      </c>
      <c r="N183" t="str">
        <f>VLOOKUP(C183,고객정보!$A$2:$D$151,4,FALSE)</f>
        <v>L5</v>
      </c>
      <c r="O183" t="str">
        <f>VLOOKUP($C183, 고객정보!$A$2:$E$151, 5, FALSE)</f>
        <v>30대</v>
      </c>
      <c r="P183" t="str">
        <f>VLOOKUP(D183,상품정보!$A$2:$E$61,2,FALSE)</f>
        <v>핸드폰케이스</v>
      </c>
      <c r="Q183" t="str">
        <f>VLOOKUP(D183,상품정보!$A$2:$D$151,3,FALSE)</f>
        <v>액세서리</v>
      </c>
      <c r="R183" t="str">
        <f>VLOOKUP(D183,상품정보!$A$2:$D$151,4,FALSE)</f>
        <v>브랜드B</v>
      </c>
    </row>
    <row r="184" spans="1:18" x14ac:dyDescent="0.45">
      <c r="A184" t="s">
        <v>151</v>
      </c>
      <c r="B184" t="s">
        <v>583</v>
      </c>
      <c r="C184" t="s">
        <v>2414</v>
      </c>
      <c r="D184" t="s">
        <v>2608</v>
      </c>
      <c r="E184">
        <v>1</v>
      </c>
      <c r="F184">
        <v>10600</v>
      </c>
      <c r="G184">
        <v>500</v>
      </c>
      <c r="H184">
        <v>1600</v>
      </c>
      <c r="I184" t="s">
        <v>2614</v>
      </c>
      <c r="J184" s="4">
        <f t="shared" si="6"/>
        <v>9500</v>
      </c>
      <c r="K184" s="4" t="str">
        <f t="shared" si="7"/>
        <v>2025-01</v>
      </c>
      <c r="L184" s="4" t="str">
        <f t="shared" si="8"/>
        <v>토</v>
      </c>
      <c r="M184" s="2" t="str">
        <f>VLOOKUP($C184, 고객정보!$A$2:$E$151, 2, FALSE)</f>
        <v>대구</v>
      </c>
      <c r="N184" t="str">
        <f>VLOOKUP(C184,고객정보!$A$2:$D$151,4,FALSE)</f>
        <v>L3</v>
      </c>
      <c r="O184" t="str">
        <f>VLOOKUP($C184, 고객정보!$A$2:$E$151, 5, FALSE)</f>
        <v>30대</v>
      </c>
      <c r="P184" t="str">
        <f>VLOOKUP(D184,상품정보!$A$2:$E$61,2,FALSE)</f>
        <v>셔츠</v>
      </c>
      <c r="Q184" t="str">
        <f>VLOOKUP(D184,상품정보!$A$2:$D$151,3,FALSE)</f>
        <v>의류</v>
      </c>
      <c r="R184" t="str">
        <f>VLOOKUP(D184,상품정보!$A$2:$D$151,4,FALSE)</f>
        <v>브랜드D</v>
      </c>
    </row>
    <row r="185" spans="1:18" x14ac:dyDescent="0.45">
      <c r="A185" t="s">
        <v>107</v>
      </c>
      <c r="B185" t="s">
        <v>584</v>
      </c>
      <c r="C185" t="s">
        <v>2502</v>
      </c>
      <c r="D185" t="s">
        <v>2596</v>
      </c>
      <c r="E185">
        <v>3</v>
      </c>
      <c r="F185">
        <v>59700</v>
      </c>
      <c r="G185">
        <v>1000</v>
      </c>
      <c r="H185">
        <v>2300</v>
      </c>
      <c r="I185" t="s">
        <v>2613</v>
      </c>
      <c r="J185" s="4">
        <f t="shared" si="6"/>
        <v>177800</v>
      </c>
      <c r="K185" s="4" t="str">
        <f t="shared" si="7"/>
        <v>2024-04</v>
      </c>
      <c r="L185" s="4" t="str">
        <f t="shared" si="8"/>
        <v>수</v>
      </c>
      <c r="M185" s="2" t="str">
        <f>VLOOKUP($C185, 고객정보!$A$2:$E$151, 2, FALSE)</f>
        <v>부산</v>
      </c>
      <c r="N185" t="str">
        <f>VLOOKUP(C185,고객정보!$A$2:$D$151,4,FALSE)</f>
        <v>L4</v>
      </c>
      <c r="O185" t="str">
        <f>VLOOKUP($C185, 고객정보!$A$2:$E$151, 5, FALSE)</f>
        <v>20대</v>
      </c>
      <c r="P185" t="str">
        <f>VLOOKUP(D185,상품정보!$A$2:$E$61,2,FALSE)</f>
        <v>청바지</v>
      </c>
      <c r="Q185" t="str">
        <f>VLOOKUP(D185,상품정보!$A$2:$D$151,3,FALSE)</f>
        <v>의류</v>
      </c>
      <c r="R185" t="str">
        <f>VLOOKUP(D185,상품정보!$A$2:$D$151,4,FALSE)</f>
        <v>브랜드A</v>
      </c>
    </row>
    <row r="186" spans="1:18" x14ac:dyDescent="0.45">
      <c r="A186" t="s">
        <v>56</v>
      </c>
      <c r="B186" t="s">
        <v>585</v>
      </c>
      <c r="C186" t="s">
        <v>2416</v>
      </c>
      <c r="D186" t="s">
        <v>2587</v>
      </c>
      <c r="E186">
        <v>1</v>
      </c>
      <c r="F186">
        <v>50200</v>
      </c>
      <c r="G186">
        <v>0</v>
      </c>
      <c r="H186">
        <v>0</v>
      </c>
      <c r="I186" t="s">
        <v>2652</v>
      </c>
      <c r="J186" s="4">
        <f t="shared" si="6"/>
        <v>50200</v>
      </c>
      <c r="K186" s="4" t="str">
        <f t="shared" si="7"/>
        <v>2025-01</v>
      </c>
      <c r="L186" s="4" t="str">
        <f t="shared" si="8"/>
        <v>화</v>
      </c>
      <c r="M186" s="2" t="str">
        <f>VLOOKUP($C186, 고객정보!$A$2:$E$151, 2, FALSE)</f>
        <v>대구</v>
      </c>
      <c r="N186" t="str">
        <f>VLOOKUP(C186,고객정보!$A$2:$D$151,4,FALSE)</f>
        <v>L3</v>
      </c>
      <c r="O186" t="str">
        <f>VLOOKUP($C186, 고객정보!$A$2:$E$151, 5, FALSE)</f>
        <v>40대</v>
      </c>
      <c r="P186" t="str">
        <f>VLOOKUP(D186,상품정보!$A$2:$E$61,2,FALSE)</f>
        <v>반지</v>
      </c>
      <c r="Q186" t="str">
        <f>VLOOKUP(D186,상품정보!$A$2:$D$151,3,FALSE)</f>
        <v>액세서리</v>
      </c>
      <c r="R186" t="str">
        <f>VLOOKUP(D186,상품정보!$A$2:$D$151,4,FALSE)</f>
        <v>브랜드B</v>
      </c>
    </row>
    <row r="187" spans="1:18" x14ac:dyDescent="0.45">
      <c r="A187" t="s">
        <v>152</v>
      </c>
      <c r="B187" t="s">
        <v>586</v>
      </c>
      <c r="C187" t="s">
        <v>2503</v>
      </c>
      <c r="D187" t="s">
        <v>2585</v>
      </c>
      <c r="E187">
        <v>2</v>
      </c>
      <c r="F187">
        <v>14900</v>
      </c>
      <c r="G187">
        <v>0</v>
      </c>
      <c r="H187">
        <v>0</v>
      </c>
      <c r="I187" t="s">
        <v>2652</v>
      </c>
      <c r="J187" s="4">
        <f t="shared" si="6"/>
        <v>29800</v>
      </c>
      <c r="K187" s="4" t="str">
        <f t="shared" si="7"/>
        <v>2024-01</v>
      </c>
      <c r="L187" s="4" t="str">
        <f t="shared" si="8"/>
        <v>목</v>
      </c>
      <c r="M187" s="2" t="str">
        <f>VLOOKUP($C187, 고객정보!$A$2:$E$151, 2, FALSE)</f>
        <v>대전</v>
      </c>
      <c r="N187" t="str">
        <f>VLOOKUP(C187,고객정보!$A$2:$D$151,4,FALSE)</f>
        <v>L3</v>
      </c>
      <c r="O187" t="str">
        <f>VLOOKUP($C187, 고객정보!$A$2:$E$151, 5, FALSE)</f>
        <v>40대</v>
      </c>
      <c r="P187" t="str">
        <f>VLOOKUP(D187,상품정보!$A$2:$E$61,2,FALSE)</f>
        <v>반팔 티셔츠</v>
      </c>
      <c r="Q187" t="str">
        <f>VLOOKUP(D187,상품정보!$A$2:$D$151,3,FALSE)</f>
        <v>의류</v>
      </c>
      <c r="R187" t="str">
        <f>VLOOKUP(D187,상품정보!$A$2:$D$151,4,FALSE)</f>
        <v>브랜드C</v>
      </c>
    </row>
    <row r="188" spans="1:18" x14ac:dyDescent="0.45">
      <c r="A188" t="s">
        <v>153</v>
      </c>
      <c r="B188" t="s">
        <v>587</v>
      </c>
      <c r="C188" t="s">
        <v>2477</v>
      </c>
      <c r="D188" t="s">
        <v>2585</v>
      </c>
      <c r="E188">
        <v>2</v>
      </c>
      <c r="F188">
        <v>14900</v>
      </c>
      <c r="G188">
        <v>1500</v>
      </c>
      <c r="H188">
        <v>6000</v>
      </c>
      <c r="I188" t="s">
        <v>2612</v>
      </c>
      <c r="J188" s="4">
        <f t="shared" si="6"/>
        <v>25300</v>
      </c>
      <c r="K188" s="4" t="str">
        <f t="shared" si="7"/>
        <v>2024-08</v>
      </c>
      <c r="L188" s="4" t="str">
        <f t="shared" si="8"/>
        <v>금</v>
      </c>
      <c r="M188" s="2" t="str">
        <f>VLOOKUP($C188, 고객정보!$A$2:$E$151, 2, FALSE)</f>
        <v>부산</v>
      </c>
      <c r="N188" t="str">
        <f>VLOOKUP(C188,고객정보!$A$2:$D$151,4,FALSE)</f>
        <v>L4</v>
      </c>
      <c r="O188" t="str">
        <f>VLOOKUP($C188, 고객정보!$A$2:$E$151, 5, FALSE)</f>
        <v>20대</v>
      </c>
      <c r="P188" t="str">
        <f>VLOOKUP(D188,상품정보!$A$2:$E$61,2,FALSE)</f>
        <v>반팔 티셔츠</v>
      </c>
      <c r="Q188" t="str">
        <f>VLOOKUP(D188,상품정보!$A$2:$D$151,3,FALSE)</f>
        <v>의류</v>
      </c>
      <c r="R188" t="str">
        <f>VLOOKUP(D188,상품정보!$A$2:$D$151,4,FALSE)</f>
        <v>브랜드C</v>
      </c>
    </row>
    <row r="189" spans="1:18" x14ac:dyDescent="0.45">
      <c r="A189" t="s">
        <v>154</v>
      </c>
      <c r="B189" t="s">
        <v>588</v>
      </c>
      <c r="C189" t="s">
        <v>2504</v>
      </c>
      <c r="D189" t="s">
        <v>2563</v>
      </c>
      <c r="E189">
        <v>2</v>
      </c>
      <c r="F189">
        <v>6900</v>
      </c>
      <c r="G189">
        <v>1000</v>
      </c>
      <c r="H189">
        <v>0</v>
      </c>
      <c r="I189" t="s">
        <v>2652</v>
      </c>
      <c r="J189" s="4">
        <f t="shared" si="6"/>
        <v>14800</v>
      </c>
      <c r="K189" s="4" t="str">
        <f t="shared" si="7"/>
        <v>2024-08</v>
      </c>
      <c r="L189" s="4" t="str">
        <f t="shared" si="8"/>
        <v>월</v>
      </c>
      <c r="M189" s="2" t="str">
        <f>VLOOKUP($C189, 고객정보!$A$2:$E$151, 2, FALSE)</f>
        <v>서울</v>
      </c>
      <c r="N189" t="str">
        <f>VLOOKUP(C189,고객정보!$A$2:$D$151,4,FALSE)</f>
        <v>L1</v>
      </c>
      <c r="O189" t="str">
        <f>VLOOKUP($C189, 고객정보!$A$2:$E$151, 5, FALSE)</f>
        <v>40대</v>
      </c>
      <c r="P189" t="str">
        <f>VLOOKUP(D189,상품정보!$A$2:$E$61,2,FALSE)</f>
        <v>귀걸이</v>
      </c>
      <c r="Q189" t="str">
        <f>VLOOKUP(D189,상품정보!$A$2:$D$151,3,FALSE)</f>
        <v>액세서리</v>
      </c>
      <c r="R189" t="str">
        <f>VLOOKUP(D189,상품정보!$A$2:$D$151,4,FALSE)</f>
        <v>브랜드D</v>
      </c>
    </row>
    <row r="190" spans="1:18" x14ac:dyDescent="0.45">
      <c r="A190" t="s">
        <v>73</v>
      </c>
      <c r="B190" t="s">
        <v>589</v>
      </c>
      <c r="C190" t="s">
        <v>2505</v>
      </c>
      <c r="D190" t="s">
        <v>2587</v>
      </c>
      <c r="E190">
        <v>3</v>
      </c>
      <c r="F190">
        <v>50200</v>
      </c>
      <c r="G190">
        <v>1000</v>
      </c>
      <c r="H190">
        <v>0</v>
      </c>
      <c r="I190" t="s">
        <v>2652</v>
      </c>
      <c r="J190" s="4">
        <f t="shared" si="6"/>
        <v>151600</v>
      </c>
      <c r="K190" s="4" t="str">
        <f t="shared" si="7"/>
        <v>2024-03</v>
      </c>
      <c r="L190" s="4" t="str">
        <f t="shared" si="8"/>
        <v>화</v>
      </c>
      <c r="M190" s="2" t="str">
        <f>VLOOKUP($C190, 고객정보!$A$2:$E$151, 2, FALSE)</f>
        <v>대구</v>
      </c>
      <c r="N190" t="str">
        <f>VLOOKUP(C190,고객정보!$A$2:$D$151,4,FALSE)</f>
        <v>L4</v>
      </c>
      <c r="O190" t="str">
        <f>VLOOKUP($C190, 고객정보!$A$2:$E$151, 5, FALSE)</f>
        <v>40대</v>
      </c>
      <c r="P190" t="str">
        <f>VLOOKUP(D190,상품정보!$A$2:$E$61,2,FALSE)</f>
        <v>반지</v>
      </c>
      <c r="Q190" t="str">
        <f>VLOOKUP(D190,상품정보!$A$2:$D$151,3,FALSE)</f>
        <v>액세서리</v>
      </c>
      <c r="R190" t="str">
        <f>VLOOKUP(D190,상품정보!$A$2:$D$151,4,FALSE)</f>
        <v>브랜드B</v>
      </c>
    </row>
    <row r="191" spans="1:18" x14ac:dyDescent="0.45">
      <c r="A191" t="s">
        <v>155</v>
      </c>
      <c r="B191" t="s">
        <v>590</v>
      </c>
      <c r="C191" t="s">
        <v>2504</v>
      </c>
      <c r="D191" t="s">
        <v>2587</v>
      </c>
      <c r="E191">
        <v>2</v>
      </c>
      <c r="F191">
        <v>50200</v>
      </c>
      <c r="G191">
        <v>500</v>
      </c>
      <c r="H191">
        <v>0</v>
      </c>
      <c r="I191" t="s">
        <v>2652</v>
      </c>
      <c r="J191" s="4">
        <f t="shared" si="6"/>
        <v>100900</v>
      </c>
      <c r="K191" s="4" t="str">
        <f t="shared" si="7"/>
        <v>2024-06</v>
      </c>
      <c r="L191" s="4" t="str">
        <f t="shared" si="8"/>
        <v>토</v>
      </c>
      <c r="M191" s="2" t="str">
        <f>VLOOKUP($C191, 고객정보!$A$2:$E$151, 2, FALSE)</f>
        <v>서울</v>
      </c>
      <c r="N191" t="str">
        <f>VLOOKUP(C191,고객정보!$A$2:$D$151,4,FALSE)</f>
        <v>L1</v>
      </c>
      <c r="O191" t="str">
        <f>VLOOKUP($C191, 고객정보!$A$2:$E$151, 5, FALSE)</f>
        <v>40대</v>
      </c>
      <c r="P191" t="str">
        <f>VLOOKUP(D191,상품정보!$A$2:$E$61,2,FALSE)</f>
        <v>반지</v>
      </c>
      <c r="Q191" t="str">
        <f>VLOOKUP(D191,상품정보!$A$2:$D$151,3,FALSE)</f>
        <v>액세서리</v>
      </c>
      <c r="R191" t="str">
        <f>VLOOKUP(D191,상품정보!$A$2:$D$151,4,FALSE)</f>
        <v>브랜드B</v>
      </c>
    </row>
    <row r="192" spans="1:18" x14ac:dyDescent="0.45">
      <c r="A192" t="s">
        <v>155</v>
      </c>
      <c r="B192" t="s">
        <v>591</v>
      </c>
      <c r="C192" t="s">
        <v>2438</v>
      </c>
      <c r="D192" t="s">
        <v>2589</v>
      </c>
      <c r="E192">
        <v>1</v>
      </c>
      <c r="F192">
        <v>71400</v>
      </c>
      <c r="G192">
        <v>0</v>
      </c>
      <c r="H192">
        <v>0</v>
      </c>
      <c r="I192" t="s">
        <v>2652</v>
      </c>
      <c r="J192" s="4">
        <f t="shared" si="6"/>
        <v>71400</v>
      </c>
      <c r="K192" s="4" t="str">
        <f t="shared" si="7"/>
        <v>2024-06</v>
      </c>
      <c r="L192" s="4" t="str">
        <f t="shared" si="8"/>
        <v>토</v>
      </c>
      <c r="M192" s="2" t="str">
        <f>VLOOKUP($C192, 고객정보!$A$2:$E$151, 2, FALSE)</f>
        <v>대구</v>
      </c>
      <c r="N192" t="str">
        <f>VLOOKUP(C192,고객정보!$A$2:$D$151,4,FALSE)</f>
        <v>L4</v>
      </c>
      <c r="O192" t="str">
        <f>VLOOKUP($C192, 고객정보!$A$2:$E$151, 5, FALSE)</f>
        <v>30대</v>
      </c>
      <c r="P192" t="str">
        <f>VLOOKUP(D192,상품정보!$A$2:$E$61,2,FALSE)</f>
        <v>셔츠</v>
      </c>
      <c r="Q192" t="str">
        <f>VLOOKUP(D192,상품정보!$A$2:$D$151,3,FALSE)</f>
        <v>의류</v>
      </c>
      <c r="R192" t="str">
        <f>VLOOKUP(D192,상품정보!$A$2:$D$151,4,FALSE)</f>
        <v>브랜드A</v>
      </c>
    </row>
    <row r="193" spans="1:18" x14ac:dyDescent="0.45">
      <c r="A193" t="s">
        <v>156</v>
      </c>
      <c r="B193" t="s">
        <v>592</v>
      </c>
      <c r="C193" t="s">
        <v>2494</v>
      </c>
      <c r="D193" t="s">
        <v>2579</v>
      </c>
      <c r="E193">
        <v>4</v>
      </c>
      <c r="F193">
        <v>51000</v>
      </c>
      <c r="G193">
        <v>0</v>
      </c>
      <c r="H193">
        <v>6000</v>
      </c>
      <c r="I193" t="s">
        <v>2611</v>
      </c>
      <c r="J193" s="4">
        <f t="shared" si="6"/>
        <v>198000</v>
      </c>
      <c r="K193" s="4" t="str">
        <f t="shared" si="7"/>
        <v>2024-07</v>
      </c>
      <c r="L193" s="4" t="str">
        <f t="shared" si="8"/>
        <v>월</v>
      </c>
      <c r="M193" s="2" t="str">
        <f>VLOOKUP($C193, 고객정보!$A$2:$E$151, 2, FALSE)</f>
        <v>대구</v>
      </c>
      <c r="N193" t="str">
        <f>VLOOKUP(C193,고객정보!$A$2:$D$151,4,FALSE)</f>
        <v>L4</v>
      </c>
      <c r="O193" t="str">
        <f>VLOOKUP($C193, 고객정보!$A$2:$E$151, 5, FALSE)</f>
        <v>40대</v>
      </c>
      <c r="P193" t="str">
        <f>VLOOKUP(D193,상품정보!$A$2:$E$61,2,FALSE)</f>
        <v>핸드폰케이스</v>
      </c>
      <c r="Q193" t="str">
        <f>VLOOKUP(D193,상품정보!$A$2:$D$151,3,FALSE)</f>
        <v>액세서리</v>
      </c>
      <c r="R193" t="str">
        <f>VLOOKUP(D193,상품정보!$A$2:$D$151,4,FALSE)</f>
        <v>브랜드F</v>
      </c>
    </row>
    <row r="194" spans="1:18" x14ac:dyDescent="0.45">
      <c r="A194" t="s">
        <v>96</v>
      </c>
      <c r="B194" t="s">
        <v>593</v>
      </c>
      <c r="C194" t="s">
        <v>2486</v>
      </c>
      <c r="D194" t="s">
        <v>2571</v>
      </c>
      <c r="E194">
        <v>5</v>
      </c>
      <c r="F194">
        <v>55600</v>
      </c>
      <c r="G194">
        <v>0</v>
      </c>
      <c r="H194">
        <v>9700</v>
      </c>
      <c r="I194" t="s">
        <v>2611</v>
      </c>
      <c r="J194" s="4">
        <f t="shared" si="6"/>
        <v>268300</v>
      </c>
      <c r="K194" s="4" t="str">
        <f t="shared" si="7"/>
        <v>2024-12</v>
      </c>
      <c r="L194" s="4" t="str">
        <f t="shared" si="8"/>
        <v>목</v>
      </c>
      <c r="M194" s="2" t="str">
        <f>VLOOKUP($C194, 고객정보!$A$2:$E$151, 2, FALSE)</f>
        <v>수원</v>
      </c>
      <c r="N194" t="str">
        <f>VLOOKUP(C194,고객정보!$A$2:$D$151,4,FALSE)</f>
        <v>L1</v>
      </c>
      <c r="O194" t="str">
        <f>VLOOKUP($C194, 고객정보!$A$2:$E$151, 5, FALSE)</f>
        <v>40대</v>
      </c>
      <c r="P194" t="str">
        <f>VLOOKUP(D194,상품정보!$A$2:$E$61,2,FALSE)</f>
        <v>자켓</v>
      </c>
      <c r="Q194" t="str">
        <f>VLOOKUP(D194,상품정보!$A$2:$D$151,3,FALSE)</f>
        <v>의류</v>
      </c>
      <c r="R194" t="str">
        <f>VLOOKUP(D194,상품정보!$A$2:$D$151,4,FALSE)</f>
        <v>브랜드B</v>
      </c>
    </row>
    <row r="195" spans="1:18" x14ac:dyDescent="0.45">
      <c r="A195" t="s">
        <v>157</v>
      </c>
      <c r="B195" t="s">
        <v>594</v>
      </c>
      <c r="C195" t="s">
        <v>2422</v>
      </c>
      <c r="D195" t="s">
        <v>2591</v>
      </c>
      <c r="E195">
        <v>3</v>
      </c>
      <c r="F195">
        <v>69200</v>
      </c>
      <c r="G195">
        <v>2000</v>
      </c>
      <c r="H195">
        <v>0</v>
      </c>
      <c r="I195" t="s">
        <v>2652</v>
      </c>
      <c r="J195" s="4">
        <f t="shared" ref="J195:J258" si="9">E195*F195+G195-H195</f>
        <v>209600</v>
      </c>
      <c r="K195" s="4" t="str">
        <f t="shared" ref="K195:K258" si="10">LEFT(A195,7)</f>
        <v>2024-12</v>
      </c>
      <c r="L195" s="4" t="str">
        <f t="shared" ref="L195:L258" si="11">TEXT(WEEKDAY(A195),"aaa")</f>
        <v>월</v>
      </c>
      <c r="M195" s="2" t="str">
        <f>VLOOKUP($C195, 고객정보!$A$2:$E$151, 2, FALSE)</f>
        <v>광주</v>
      </c>
      <c r="N195" t="str">
        <f>VLOOKUP(C195,고객정보!$A$2:$D$151,4,FALSE)</f>
        <v>L5</v>
      </c>
      <c r="O195" t="str">
        <f>VLOOKUP($C195, 고객정보!$A$2:$E$151, 5, FALSE)</f>
        <v>30대</v>
      </c>
      <c r="P195" t="str">
        <f>VLOOKUP(D195,상품정보!$A$2:$E$61,2,FALSE)</f>
        <v>셔츠</v>
      </c>
      <c r="Q195" t="str">
        <f>VLOOKUP(D195,상품정보!$A$2:$D$151,3,FALSE)</f>
        <v>의류</v>
      </c>
      <c r="R195" t="str">
        <f>VLOOKUP(D195,상품정보!$A$2:$D$151,4,FALSE)</f>
        <v>브랜드F</v>
      </c>
    </row>
    <row r="196" spans="1:18" x14ac:dyDescent="0.45">
      <c r="A196" t="s">
        <v>158</v>
      </c>
      <c r="B196" t="s">
        <v>595</v>
      </c>
      <c r="C196" t="s">
        <v>2449</v>
      </c>
      <c r="D196" t="s">
        <v>2577</v>
      </c>
      <c r="E196">
        <v>5</v>
      </c>
      <c r="F196">
        <v>10200</v>
      </c>
      <c r="G196">
        <v>1000</v>
      </c>
      <c r="H196">
        <v>0</v>
      </c>
      <c r="I196" t="s">
        <v>2652</v>
      </c>
      <c r="J196" s="4">
        <f t="shared" si="9"/>
        <v>52000</v>
      </c>
      <c r="K196" s="4" t="str">
        <f t="shared" si="10"/>
        <v>2024-01</v>
      </c>
      <c r="L196" s="4" t="str">
        <f t="shared" si="11"/>
        <v>월</v>
      </c>
      <c r="M196" s="2" t="str">
        <f>VLOOKUP($C196, 고객정보!$A$2:$E$151, 2, FALSE)</f>
        <v>대구</v>
      </c>
      <c r="N196" t="str">
        <f>VLOOKUP(C196,고객정보!$A$2:$D$151,4,FALSE)</f>
        <v>L5</v>
      </c>
      <c r="O196" t="str">
        <f>VLOOKUP($C196, 고객정보!$A$2:$E$151, 5, FALSE)</f>
        <v>40대</v>
      </c>
      <c r="P196" t="str">
        <f>VLOOKUP(D196,상품정보!$A$2:$E$61,2,FALSE)</f>
        <v>셔츠</v>
      </c>
      <c r="Q196" t="str">
        <f>VLOOKUP(D196,상품정보!$A$2:$D$151,3,FALSE)</f>
        <v>의류</v>
      </c>
      <c r="R196" t="str">
        <f>VLOOKUP(D196,상품정보!$A$2:$D$151,4,FALSE)</f>
        <v>브랜드C</v>
      </c>
    </row>
    <row r="197" spans="1:18" x14ac:dyDescent="0.45">
      <c r="A197" t="s">
        <v>159</v>
      </c>
      <c r="B197" t="s">
        <v>596</v>
      </c>
      <c r="C197" t="s">
        <v>2412</v>
      </c>
      <c r="D197" t="s">
        <v>2561</v>
      </c>
      <c r="E197">
        <v>4</v>
      </c>
      <c r="F197">
        <v>63300</v>
      </c>
      <c r="G197">
        <v>0</v>
      </c>
      <c r="H197">
        <v>0</v>
      </c>
      <c r="I197" t="s">
        <v>2652</v>
      </c>
      <c r="J197" s="4">
        <f t="shared" si="9"/>
        <v>253200</v>
      </c>
      <c r="K197" s="4" t="str">
        <f t="shared" si="10"/>
        <v>2024-12</v>
      </c>
      <c r="L197" s="4" t="str">
        <f t="shared" si="11"/>
        <v>수</v>
      </c>
      <c r="M197" s="2" t="str">
        <f>VLOOKUP($C197, 고객정보!$A$2:$E$151, 2, FALSE)</f>
        <v>대전</v>
      </c>
      <c r="N197" t="str">
        <f>VLOOKUP(C197,고객정보!$A$2:$D$151,4,FALSE)</f>
        <v>L4</v>
      </c>
      <c r="O197" t="str">
        <f>VLOOKUP($C197, 고객정보!$A$2:$E$151, 5, FALSE)</f>
        <v>30대</v>
      </c>
      <c r="P197" t="str">
        <f>VLOOKUP(D197,상품정보!$A$2:$E$61,2,FALSE)</f>
        <v>귀걸이</v>
      </c>
      <c r="Q197" t="str">
        <f>VLOOKUP(D197,상품정보!$A$2:$D$151,3,FALSE)</f>
        <v>액세서리</v>
      </c>
      <c r="R197" t="str">
        <f>VLOOKUP(D197,상품정보!$A$2:$D$151,4,FALSE)</f>
        <v>브랜드B</v>
      </c>
    </row>
    <row r="198" spans="1:18" x14ac:dyDescent="0.45">
      <c r="A198" t="s">
        <v>160</v>
      </c>
      <c r="B198" t="s">
        <v>597</v>
      </c>
      <c r="C198" t="s">
        <v>2506</v>
      </c>
      <c r="D198" t="s">
        <v>2571</v>
      </c>
      <c r="E198">
        <v>5</v>
      </c>
      <c r="F198">
        <v>55600</v>
      </c>
      <c r="G198">
        <v>2000</v>
      </c>
      <c r="H198">
        <v>2700</v>
      </c>
      <c r="I198" t="s">
        <v>2613</v>
      </c>
      <c r="J198" s="4">
        <f t="shared" si="9"/>
        <v>277300</v>
      </c>
      <c r="K198" s="4" t="str">
        <f t="shared" si="10"/>
        <v>2024-11</v>
      </c>
      <c r="L198" s="4" t="str">
        <f t="shared" si="11"/>
        <v>수</v>
      </c>
      <c r="M198" s="2" t="str">
        <f>VLOOKUP($C198, 고객정보!$A$2:$E$151, 2, FALSE)</f>
        <v>광주</v>
      </c>
      <c r="N198" t="str">
        <f>VLOOKUP(C198,고객정보!$A$2:$D$151,4,FALSE)</f>
        <v>L2</v>
      </c>
      <c r="O198" t="str">
        <f>VLOOKUP($C198, 고객정보!$A$2:$E$151, 5, FALSE)</f>
        <v>50대 이상</v>
      </c>
      <c r="P198" t="str">
        <f>VLOOKUP(D198,상품정보!$A$2:$E$61,2,FALSE)</f>
        <v>자켓</v>
      </c>
      <c r="Q198" t="str">
        <f>VLOOKUP(D198,상품정보!$A$2:$D$151,3,FALSE)</f>
        <v>의류</v>
      </c>
      <c r="R198" t="str">
        <f>VLOOKUP(D198,상품정보!$A$2:$D$151,4,FALSE)</f>
        <v>브랜드B</v>
      </c>
    </row>
    <row r="199" spans="1:18" x14ac:dyDescent="0.45">
      <c r="A199" t="s">
        <v>161</v>
      </c>
      <c r="B199" t="s">
        <v>598</v>
      </c>
      <c r="C199" t="s">
        <v>2437</v>
      </c>
      <c r="D199" t="s">
        <v>2594</v>
      </c>
      <c r="E199">
        <v>4</v>
      </c>
      <c r="F199">
        <v>73000</v>
      </c>
      <c r="G199">
        <v>500</v>
      </c>
      <c r="H199">
        <v>18500</v>
      </c>
      <c r="I199" t="s">
        <v>2611</v>
      </c>
      <c r="J199" s="4">
        <f t="shared" si="9"/>
        <v>274000</v>
      </c>
      <c r="K199" s="4" t="str">
        <f t="shared" si="10"/>
        <v>2024-09</v>
      </c>
      <c r="L199" s="4" t="str">
        <f t="shared" si="11"/>
        <v>토</v>
      </c>
      <c r="M199" s="2" t="str">
        <f>VLOOKUP($C199, 고객정보!$A$2:$E$151, 2, FALSE)</f>
        <v>인천</v>
      </c>
      <c r="N199" t="str">
        <f>VLOOKUP(C199,고객정보!$A$2:$D$151,4,FALSE)</f>
        <v>L1</v>
      </c>
      <c r="O199" t="str">
        <f>VLOOKUP($C199, 고객정보!$A$2:$E$151, 5, FALSE)</f>
        <v>30대</v>
      </c>
      <c r="P199" t="str">
        <f>VLOOKUP(D199,상품정보!$A$2:$E$61,2,FALSE)</f>
        <v>자켓</v>
      </c>
      <c r="Q199" t="str">
        <f>VLOOKUP(D199,상품정보!$A$2:$D$151,3,FALSE)</f>
        <v>의류</v>
      </c>
      <c r="R199" t="str">
        <f>VLOOKUP(D199,상품정보!$A$2:$D$151,4,FALSE)</f>
        <v>브랜드A</v>
      </c>
    </row>
    <row r="200" spans="1:18" x14ac:dyDescent="0.45">
      <c r="A200" t="s">
        <v>25</v>
      </c>
      <c r="B200" t="s">
        <v>599</v>
      </c>
      <c r="C200" t="s">
        <v>2438</v>
      </c>
      <c r="D200" t="s">
        <v>2609</v>
      </c>
      <c r="E200">
        <v>3</v>
      </c>
      <c r="F200">
        <v>58600</v>
      </c>
      <c r="G200">
        <v>0</v>
      </c>
      <c r="H200">
        <v>4200</v>
      </c>
      <c r="I200" t="s">
        <v>2614</v>
      </c>
      <c r="J200" s="4">
        <f t="shared" si="9"/>
        <v>171600</v>
      </c>
      <c r="K200" s="4" t="str">
        <f t="shared" si="10"/>
        <v>2024-11</v>
      </c>
      <c r="L200" s="4" t="str">
        <f t="shared" si="11"/>
        <v>목</v>
      </c>
      <c r="M200" s="2" t="str">
        <f>VLOOKUP($C200, 고객정보!$A$2:$E$151, 2, FALSE)</f>
        <v>대구</v>
      </c>
      <c r="N200" t="str">
        <f>VLOOKUP(C200,고객정보!$A$2:$D$151,4,FALSE)</f>
        <v>L4</v>
      </c>
      <c r="O200" t="str">
        <f>VLOOKUP($C200, 고객정보!$A$2:$E$151, 5, FALSE)</f>
        <v>30대</v>
      </c>
      <c r="P200" t="str">
        <f>VLOOKUP(D200,상품정보!$A$2:$E$61,2,FALSE)</f>
        <v>목걸이</v>
      </c>
      <c r="Q200" t="str">
        <f>VLOOKUP(D200,상품정보!$A$2:$D$151,3,FALSE)</f>
        <v>액세서리</v>
      </c>
      <c r="R200" t="str">
        <f>VLOOKUP(D200,상품정보!$A$2:$D$151,4,FALSE)</f>
        <v>브랜드F</v>
      </c>
    </row>
    <row r="201" spans="1:18" x14ac:dyDescent="0.45">
      <c r="A201" t="s">
        <v>44</v>
      </c>
      <c r="B201" t="s">
        <v>600</v>
      </c>
      <c r="C201" t="s">
        <v>2413</v>
      </c>
      <c r="D201" t="s">
        <v>2588</v>
      </c>
      <c r="E201">
        <v>2</v>
      </c>
      <c r="F201">
        <v>7700</v>
      </c>
      <c r="G201">
        <v>1500</v>
      </c>
      <c r="H201">
        <v>4000</v>
      </c>
      <c r="I201" t="s">
        <v>2612</v>
      </c>
      <c r="J201" s="4">
        <f t="shared" si="9"/>
        <v>12900</v>
      </c>
      <c r="K201" s="4" t="str">
        <f t="shared" si="10"/>
        <v>2024-08</v>
      </c>
      <c r="L201" s="4" t="str">
        <f t="shared" si="11"/>
        <v>토</v>
      </c>
      <c r="M201" s="2" t="str">
        <f>VLOOKUP($C201, 고객정보!$A$2:$E$151, 2, FALSE)</f>
        <v>서울</v>
      </c>
      <c r="N201" t="str">
        <f>VLOOKUP(C201,고객정보!$A$2:$D$151,4,FALSE)</f>
        <v>L5</v>
      </c>
      <c r="O201" t="str">
        <f>VLOOKUP($C201, 고객정보!$A$2:$E$151, 5, FALSE)</f>
        <v>30대</v>
      </c>
      <c r="P201" t="str">
        <f>VLOOKUP(D201,상품정보!$A$2:$E$61,2,FALSE)</f>
        <v>귀걸이</v>
      </c>
      <c r="Q201" t="str">
        <f>VLOOKUP(D201,상품정보!$A$2:$D$151,3,FALSE)</f>
        <v>액세서리</v>
      </c>
      <c r="R201" t="str">
        <f>VLOOKUP(D201,상품정보!$A$2:$D$151,4,FALSE)</f>
        <v>브랜드D</v>
      </c>
    </row>
    <row r="202" spans="1:18" x14ac:dyDescent="0.45">
      <c r="A202" t="s">
        <v>162</v>
      </c>
      <c r="B202" t="s">
        <v>601</v>
      </c>
      <c r="C202" t="s">
        <v>2478</v>
      </c>
      <c r="D202" t="s">
        <v>2586</v>
      </c>
      <c r="E202">
        <v>5</v>
      </c>
      <c r="F202">
        <v>73000</v>
      </c>
      <c r="G202">
        <v>0</v>
      </c>
      <c r="H202">
        <v>0</v>
      </c>
      <c r="I202" t="s">
        <v>2652</v>
      </c>
      <c r="J202" s="4">
        <f t="shared" si="9"/>
        <v>365000</v>
      </c>
      <c r="K202" s="4" t="str">
        <f t="shared" si="10"/>
        <v>2024-11</v>
      </c>
      <c r="L202" s="4" t="str">
        <f t="shared" si="11"/>
        <v>금</v>
      </c>
      <c r="M202" s="2" t="str">
        <f>VLOOKUP($C202, 고객정보!$A$2:$E$151, 2, FALSE)</f>
        <v>인천</v>
      </c>
      <c r="N202" t="str">
        <f>VLOOKUP(C202,고객정보!$A$2:$D$151,4,FALSE)</f>
        <v>L1</v>
      </c>
      <c r="O202" t="str">
        <f>VLOOKUP($C202, 고객정보!$A$2:$E$151, 5, FALSE)</f>
        <v>40대</v>
      </c>
      <c r="P202" t="str">
        <f>VLOOKUP(D202,상품정보!$A$2:$E$61,2,FALSE)</f>
        <v>귀걸이</v>
      </c>
      <c r="Q202" t="str">
        <f>VLOOKUP(D202,상품정보!$A$2:$D$151,3,FALSE)</f>
        <v>액세서리</v>
      </c>
      <c r="R202" t="str">
        <f>VLOOKUP(D202,상품정보!$A$2:$D$151,4,FALSE)</f>
        <v>브랜드B</v>
      </c>
    </row>
    <row r="203" spans="1:18" x14ac:dyDescent="0.45">
      <c r="A203" t="s">
        <v>163</v>
      </c>
      <c r="B203" t="s">
        <v>602</v>
      </c>
      <c r="C203" t="s">
        <v>2423</v>
      </c>
      <c r="D203" t="s">
        <v>2598</v>
      </c>
      <c r="E203">
        <v>5</v>
      </c>
      <c r="F203">
        <v>77300</v>
      </c>
      <c r="G203">
        <v>0</v>
      </c>
      <c r="H203">
        <v>0</v>
      </c>
      <c r="I203" t="s">
        <v>2652</v>
      </c>
      <c r="J203" s="4">
        <f t="shared" si="9"/>
        <v>386500</v>
      </c>
      <c r="K203" s="4" t="str">
        <f t="shared" si="10"/>
        <v>2024-09</v>
      </c>
      <c r="L203" s="4" t="str">
        <f t="shared" si="11"/>
        <v>수</v>
      </c>
      <c r="M203" s="2" t="str">
        <f>VLOOKUP($C203, 고객정보!$A$2:$E$151, 2, FALSE)</f>
        <v>수원</v>
      </c>
      <c r="N203" t="str">
        <f>VLOOKUP(C203,고객정보!$A$2:$D$151,4,FALSE)</f>
        <v>L5</v>
      </c>
      <c r="O203" t="str">
        <f>VLOOKUP($C203, 고객정보!$A$2:$E$151, 5, FALSE)</f>
        <v>30대</v>
      </c>
      <c r="P203" t="str">
        <f>VLOOKUP(D203,상품정보!$A$2:$E$61,2,FALSE)</f>
        <v>청바지</v>
      </c>
      <c r="Q203" t="str">
        <f>VLOOKUP(D203,상품정보!$A$2:$D$151,3,FALSE)</f>
        <v>의류</v>
      </c>
      <c r="R203" t="str">
        <f>VLOOKUP(D203,상품정보!$A$2:$D$151,4,FALSE)</f>
        <v>브랜드F</v>
      </c>
    </row>
    <row r="204" spans="1:18" x14ac:dyDescent="0.45">
      <c r="A204" t="s">
        <v>164</v>
      </c>
      <c r="B204" t="s">
        <v>603</v>
      </c>
      <c r="C204" t="s">
        <v>2434</v>
      </c>
      <c r="D204" t="s">
        <v>2609</v>
      </c>
      <c r="E204">
        <v>5</v>
      </c>
      <c r="F204">
        <v>58600</v>
      </c>
      <c r="G204">
        <v>0</v>
      </c>
      <c r="H204">
        <v>0</v>
      </c>
      <c r="I204" t="s">
        <v>2652</v>
      </c>
      <c r="J204" s="4">
        <f t="shared" si="9"/>
        <v>293000</v>
      </c>
      <c r="K204" s="4" t="str">
        <f t="shared" si="10"/>
        <v>2024-05</v>
      </c>
      <c r="L204" s="4" t="str">
        <f t="shared" si="11"/>
        <v>금</v>
      </c>
      <c r="M204" s="2" t="str">
        <f>VLOOKUP($C204, 고객정보!$A$2:$E$151, 2, FALSE)</f>
        <v>대구</v>
      </c>
      <c r="N204" t="str">
        <f>VLOOKUP(C204,고객정보!$A$2:$D$151,4,FALSE)</f>
        <v>L1</v>
      </c>
      <c r="O204" t="str">
        <f>VLOOKUP($C204, 고객정보!$A$2:$E$151, 5, FALSE)</f>
        <v>10대</v>
      </c>
      <c r="P204" t="str">
        <f>VLOOKUP(D204,상품정보!$A$2:$E$61,2,FALSE)</f>
        <v>목걸이</v>
      </c>
      <c r="Q204" t="str">
        <f>VLOOKUP(D204,상품정보!$A$2:$D$151,3,FALSE)</f>
        <v>액세서리</v>
      </c>
      <c r="R204" t="str">
        <f>VLOOKUP(D204,상품정보!$A$2:$D$151,4,FALSE)</f>
        <v>브랜드F</v>
      </c>
    </row>
    <row r="205" spans="1:18" x14ac:dyDescent="0.45">
      <c r="A205" t="s">
        <v>165</v>
      </c>
      <c r="B205" t="s">
        <v>604</v>
      </c>
      <c r="C205" t="s">
        <v>2442</v>
      </c>
      <c r="D205" t="s">
        <v>2610</v>
      </c>
      <c r="E205">
        <v>2</v>
      </c>
      <c r="F205">
        <v>18800</v>
      </c>
      <c r="G205">
        <v>0</v>
      </c>
      <c r="H205">
        <v>3800</v>
      </c>
      <c r="I205" t="s">
        <v>2611</v>
      </c>
      <c r="J205" s="4">
        <f t="shared" si="9"/>
        <v>33800</v>
      </c>
      <c r="K205" s="4" t="str">
        <f t="shared" si="10"/>
        <v>2024-02</v>
      </c>
      <c r="L205" s="4" t="str">
        <f t="shared" si="11"/>
        <v>수</v>
      </c>
      <c r="M205" s="2" t="str">
        <f>VLOOKUP($C205, 고객정보!$A$2:$E$151, 2, FALSE)</f>
        <v>부산</v>
      </c>
      <c r="N205" t="str">
        <f>VLOOKUP(C205,고객정보!$A$2:$D$151,4,FALSE)</f>
        <v>L1</v>
      </c>
      <c r="O205" t="str">
        <f>VLOOKUP($C205, 고객정보!$A$2:$E$151, 5, FALSE)</f>
        <v>40대</v>
      </c>
      <c r="P205" t="str">
        <f>VLOOKUP(D205,상품정보!$A$2:$E$61,2,FALSE)</f>
        <v>자켓</v>
      </c>
      <c r="Q205" t="str">
        <f>VLOOKUP(D205,상품정보!$A$2:$D$151,3,FALSE)</f>
        <v>의류</v>
      </c>
      <c r="R205" t="str">
        <f>VLOOKUP(D205,상품정보!$A$2:$D$151,4,FALSE)</f>
        <v>브랜드E</v>
      </c>
    </row>
    <row r="206" spans="1:18" x14ac:dyDescent="0.45">
      <c r="A206" t="s">
        <v>63</v>
      </c>
      <c r="B206" t="s">
        <v>605</v>
      </c>
      <c r="C206" t="s">
        <v>2458</v>
      </c>
      <c r="D206" t="s">
        <v>2584</v>
      </c>
      <c r="E206">
        <v>4</v>
      </c>
      <c r="F206">
        <v>59700</v>
      </c>
      <c r="G206">
        <v>2000</v>
      </c>
      <c r="H206">
        <v>0</v>
      </c>
      <c r="I206" t="s">
        <v>2652</v>
      </c>
      <c r="J206" s="4">
        <f t="shared" si="9"/>
        <v>240800</v>
      </c>
      <c r="K206" s="4" t="str">
        <f t="shared" si="10"/>
        <v>2024-05</v>
      </c>
      <c r="L206" s="4" t="str">
        <f t="shared" si="11"/>
        <v>토</v>
      </c>
      <c r="M206" s="2" t="str">
        <f>VLOOKUP($C206, 고객정보!$A$2:$E$151, 2, FALSE)</f>
        <v>서울</v>
      </c>
      <c r="N206" t="str">
        <f>VLOOKUP(C206,고객정보!$A$2:$D$151,4,FALSE)</f>
        <v>L1</v>
      </c>
      <c r="O206" t="str">
        <f>VLOOKUP($C206, 고객정보!$A$2:$E$151, 5, FALSE)</f>
        <v>20대</v>
      </c>
      <c r="P206" t="str">
        <f>VLOOKUP(D206,상품정보!$A$2:$E$61,2,FALSE)</f>
        <v>목걸이</v>
      </c>
      <c r="Q206" t="str">
        <f>VLOOKUP(D206,상품정보!$A$2:$D$151,3,FALSE)</f>
        <v>액세서리</v>
      </c>
      <c r="R206" t="str">
        <f>VLOOKUP(D206,상품정보!$A$2:$D$151,4,FALSE)</f>
        <v>브랜드B</v>
      </c>
    </row>
    <row r="207" spans="1:18" x14ac:dyDescent="0.45">
      <c r="A207" t="s">
        <v>166</v>
      </c>
      <c r="B207" t="s">
        <v>606</v>
      </c>
      <c r="C207" t="s">
        <v>2507</v>
      </c>
      <c r="D207" t="s">
        <v>2563</v>
      </c>
      <c r="E207">
        <v>5</v>
      </c>
      <c r="F207">
        <v>6900</v>
      </c>
      <c r="G207">
        <v>0</v>
      </c>
      <c r="H207">
        <v>0</v>
      </c>
      <c r="I207" t="s">
        <v>2652</v>
      </c>
      <c r="J207" s="4">
        <f t="shared" si="9"/>
        <v>34500</v>
      </c>
      <c r="K207" s="4" t="str">
        <f t="shared" si="10"/>
        <v>2024-12</v>
      </c>
      <c r="L207" s="4" t="str">
        <f t="shared" si="11"/>
        <v>일</v>
      </c>
      <c r="M207" s="2" t="str">
        <f>VLOOKUP($C207, 고객정보!$A$2:$E$151, 2, FALSE)</f>
        <v>대전</v>
      </c>
      <c r="N207" t="str">
        <f>VLOOKUP(C207,고객정보!$A$2:$D$151,4,FALSE)</f>
        <v>L2</v>
      </c>
      <c r="O207" t="str">
        <f>VLOOKUP($C207, 고객정보!$A$2:$E$151, 5, FALSE)</f>
        <v>40대</v>
      </c>
      <c r="P207" t="str">
        <f>VLOOKUP(D207,상품정보!$A$2:$E$61,2,FALSE)</f>
        <v>귀걸이</v>
      </c>
      <c r="Q207" t="str">
        <f>VLOOKUP(D207,상품정보!$A$2:$D$151,3,FALSE)</f>
        <v>액세서리</v>
      </c>
      <c r="R207" t="str">
        <f>VLOOKUP(D207,상품정보!$A$2:$D$151,4,FALSE)</f>
        <v>브랜드D</v>
      </c>
    </row>
    <row r="208" spans="1:18" x14ac:dyDescent="0.45">
      <c r="A208" t="s">
        <v>126</v>
      </c>
      <c r="B208" t="s">
        <v>607</v>
      </c>
      <c r="C208" t="s">
        <v>2418</v>
      </c>
      <c r="D208" t="s">
        <v>2558</v>
      </c>
      <c r="E208">
        <v>1</v>
      </c>
      <c r="F208">
        <v>63700</v>
      </c>
      <c r="G208">
        <v>500</v>
      </c>
      <c r="H208">
        <v>0</v>
      </c>
      <c r="I208" t="s">
        <v>2652</v>
      </c>
      <c r="J208" s="4">
        <f t="shared" si="9"/>
        <v>64200</v>
      </c>
      <c r="K208" s="4" t="str">
        <f t="shared" si="10"/>
        <v>2024-09</v>
      </c>
      <c r="L208" s="4" t="str">
        <f t="shared" si="11"/>
        <v>화</v>
      </c>
      <c r="M208" s="2" t="str">
        <f>VLOOKUP($C208, 고객정보!$A$2:$E$151, 2, FALSE)</f>
        <v>부산</v>
      </c>
      <c r="N208" t="str">
        <f>VLOOKUP(C208,고객정보!$A$2:$D$151,4,FALSE)</f>
        <v>L5</v>
      </c>
      <c r="O208" t="str">
        <f>VLOOKUP($C208, 고객정보!$A$2:$E$151, 5, FALSE)</f>
        <v>30대</v>
      </c>
      <c r="P208" t="str">
        <f>VLOOKUP(D208,상품정보!$A$2:$E$61,2,FALSE)</f>
        <v>셔츠</v>
      </c>
      <c r="Q208" t="str">
        <f>VLOOKUP(D208,상품정보!$A$2:$D$151,3,FALSE)</f>
        <v>의류</v>
      </c>
      <c r="R208" t="str">
        <f>VLOOKUP(D208,상품정보!$A$2:$D$151,4,FALSE)</f>
        <v>브랜드A</v>
      </c>
    </row>
    <row r="209" spans="1:18" x14ac:dyDescent="0.45">
      <c r="A209" t="s">
        <v>167</v>
      </c>
      <c r="B209" t="s">
        <v>608</v>
      </c>
      <c r="C209" t="s">
        <v>2424</v>
      </c>
      <c r="D209" t="s">
        <v>2604</v>
      </c>
      <c r="E209">
        <v>4</v>
      </c>
      <c r="F209">
        <v>9700</v>
      </c>
      <c r="G209">
        <v>0</v>
      </c>
      <c r="H209">
        <v>0</v>
      </c>
      <c r="I209" t="s">
        <v>2652</v>
      </c>
      <c r="J209" s="4">
        <f t="shared" si="9"/>
        <v>38800</v>
      </c>
      <c r="K209" s="4" t="str">
        <f t="shared" si="10"/>
        <v>2024-04</v>
      </c>
      <c r="L209" s="4" t="str">
        <f t="shared" si="11"/>
        <v>목</v>
      </c>
      <c r="M209" s="2" t="str">
        <f>VLOOKUP($C209, 고객정보!$A$2:$E$151, 2, FALSE)</f>
        <v>서울</v>
      </c>
      <c r="N209" t="str">
        <f>VLOOKUP(C209,고객정보!$A$2:$D$151,4,FALSE)</f>
        <v>L1</v>
      </c>
      <c r="O209" t="str">
        <f>VLOOKUP($C209, 고객정보!$A$2:$E$151, 5, FALSE)</f>
        <v>30대</v>
      </c>
      <c r="P209" t="str">
        <f>VLOOKUP(D209,상품정보!$A$2:$E$61,2,FALSE)</f>
        <v>반팔 티셔츠</v>
      </c>
      <c r="Q209" t="str">
        <f>VLOOKUP(D209,상품정보!$A$2:$D$151,3,FALSE)</f>
        <v>의류</v>
      </c>
      <c r="R209" t="str">
        <f>VLOOKUP(D209,상품정보!$A$2:$D$151,4,FALSE)</f>
        <v>브랜드E</v>
      </c>
    </row>
    <row r="210" spans="1:18" x14ac:dyDescent="0.45">
      <c r="A210" t="s">
        <v>168</v>
      </c>
      <c r="B210" t="s">
        <v>609</v>
      </c>
      <c r="C210" t="s">
        <v>2498</v>
      </c>
      <c r="D210" t="s">
        <v>2570</v>
      </c>
      <c r="E210">
        <v>3</v>
      </c>
      <c r="F210">
        <v>73900</v>
      </c>
      <c r="G210">
        <v>0</v>
      </c>
      <c r="H210">
        <v>0</v>
      </c>
      <c r="I210" t="s">
        <v>2652</v>
      </c>
      <c r="J210" s="4">
        <f t="shared" si="9"/>
        <v>221700</v>
      </c>
      <c r="K210" s="4" t="str">
        <f t="shared" si="10"/>
        <v>2024-06</v>
      </c>
      <c r="L210" s="4" t="str">
        <f t="shared" si="11"/>
        <v>일</v>
      </c>
      <c r="M210" s="2" t="str">
        <f>VLOOKUP($C210, 고객정보!$A$2:$E$151, 2, FALSE)</f>
        <v>서울</v>
      </c>
      <c r="N210" t="str">
        <f>VLOOKUP(C210,고객정보!$A$2:$D$151,4,FALSE)</f>
        <v>L3</v>
      </c>
      <c r="O210" t="str">
        <f>VLOOKUP($C210, 고객정보!$A$2:$E$151, 5, FALSE)</f>
        <v>30대</v>
      </c>
      <c r="P210" t="str">
        <f>VLOOKUP(D210,상품정보!$A$2:$E$61,2,FALSE)</f>
        <v>반지</v>
      </c>
      <c r="Q210" t="str">
        <f>VLOOKUP(D210,상품정보!$A$2:$D$151,3,FALSE)</f>
        <v>액세서리</v>
      </c>
      <c r="R210" t="str">
        <f>VLOOKUP(D210,상품정보!$A$2:$D$151,4,FALSE)</f>
        <v>브랜드B</v>
      </c>
    </row>
    <row r="211" spans="1:18" x14ac:dyDescent="0.45">
      <c r="A211" t="s">
        <v>27</v>
      </c>
      <c r="B211" t="s">
        <v>610</v>
      </c>
      <c r="C211" t="s">
        <v>2458</v>
      </c>
      <c r="D211" t="s">
        <v>2584</v>
      </c>
      <c r="E211">
        <v>5</v>
      </c>
      <c r="F211">
        <v>59700</v>
      </c>
      <c r="G211">
        <v>0</v>
      </c>
      <c r="H211">
        <v>0</v>
      </c>
      <c r="I211" t="s">
        <v>2652</v>
      </c>
      <c r="J211" s="4">
        <f t="shared" si="9"/>
        <v>298500</v>
      </c>
      <c r="K211" s="4" t="str">
        <f t="shared" si="10"/>
        <v>2024-12</v>
      </c>
      <c r="L211" s="4" t="str">
        <f t="shared" si="11"/>
        <v>수</v>
      </c>
      <c r="M211" s="2" t="str">
        <f>VLOOKUP($C211, 고객정보!$A$2:$E$151, 2, FALSE)</f>
        <v>서울</v>
      </c>
      <c r="N211" t="str">
        <f>VLOOKUP(C211,고객정보!$A$2:$D$151,4,FALSE)</f>
        <v>L1</v>
      </c>
      <c r="O211" t="str">
        <f>VLOOKUP($C211, 고객정보!$A$2:$E$151, 5, FALSE)</f>
        <v>20대</v>
      </c>
      <c r="P211" t="str">
        <f>VLOOKUP(D211,상품정보!$A$2:$E$61,2,FALSE)</f>
        <v>목걸이</v>
      </c>
      <c r="Q211" t="str">
        <f>VLOOKUP(D211,상품정보!$A$2:$D$151,3,FALSE)</f>
        <v>액세서리</v>
      </c>
      <c r="R211" t="str">
        <f>VLOOKUP(D211,상품정보!$A$2:$D$151,4,FALSE)</f>
        <v>브랜드B</v>
      </c>
    </row>
    <row r="212" spans="1:18" x14ac:dyDescent="0.45">
      <c r="A212" t="s">
        <v>169</v>
      </c>
      <c r="B212" t="s">
        <v>611</v>
      </c>
      <c r="C212" t="s">
        <v>2508</v>
      </c>
      <c r="D212" t="s">
        <v>2562</v>
      </c>
      <c r="E212">
        <v>1</v>
      </c>
      <c r="F212">
        <v>15600</v>
      </c>
      <c r="G212">
        <v>0</v>
      </c>
      <c r="H212">
        <v>0</v>
      </c>
      <c r="I212" t="s">
        <v>2652</v>
      </c>
      <c r="J212" s="4">
        <f t="shared" si="9"/>
        <v>15600</v>
      </c>
      <c r="K212" s="4" t="str">
        <f t="shared" si="10"/>
        <v>2024-09</v>
      </c>
      <c r="L212" s="4" t="str">
        <f t="shared" si="11"/>
        <v>토</v>
      </c>
      <c r="M212" s="2" t="str">
        <f>VLOOKUP($C212, 고객정보!$A$2:$E$151, 2, FALSE)</f>
        <v>광주</v>
      </c>
      <c r="N212" t="str">
        <f>VLOOKUP(C212,고객정보!$A$2:$D$151,4,FALSE)</f>
        <v>L1</v>
      </c>
      <c r="O212" t="str">
        <f>VLOOKUP($C212, 고객정보!$A$2:$E$151, 5, FALSE)</f>
        <v>50대 이상</v>
      </c>
      <c r="P212" t="str">
        <f>VLOOKUP(D212,상품정보!$A$2:$E$61,2,FALSE)</f>
        <v>반팔 티셔츠</v>
      </c>
      <c r="Q212" t="str">
        <f>VLOOKUP(D212,상품정보!$A$2:$D$151,3,FALSE)</f>
        <v>의류</v>
      </c>
      <c r="R212" t="str">
        <f>VLOOKUP(D212,상품정보!$A$2:$D$151,4,FALSE)</f>
        <v>브랜드E</v>
      </c>
    </row>
    <row r="213" spans="1:18" x14ac:dyDescent="0.45">
      <c r="A213" t="s">
        <v>170</v>
      </c>
      <c r="B213" t="s">
        <v>612</v>
      </c>
      <c r="C213" t="s">
        <v>2464</v>
      </c>
      <c r="D213" t="s">
        <v>2553</v>
      </c>
      <c r="E213">
        <v>2</v>
      </c>
      <c r="F213">
        <v>63400</v>
      </c>
      <c r="G213">
        <v>0</v>
      </c>
      <c r="H213">
        <v>0</v>
      </c>
      <c r="I213" t="s">
        <v>2652</v>
      </c>
      <c r="J213" s="4">
        <f t="shared" si="9"/>
        <v>126800</v>
      </c>
      <c r="K213" s="4" t="str">
        <f t="shared" si="10"/>
        <v>2025-01</v>
      </c>
      <c r="L213" s="4" t="str">
        <f t="shared" si="11"/>
        <v>금</v>
      </c>
      <c r="M213" s="2" t="str">
        <f>VLOOKUP($C213, 고객정보!$A$2:$E$151, 2, FALSE)</f>
        <v>대구</v>
      </c>
      <c r="N213" t="str">
        <f>VLOOKUP(C213,고객정보!$A$2:$D$151,4,FALSE)</f>
        <v>L1</v>
      </c>
      <c r="O213" t="str">
        <f>VLOOKUP($C213, 고객정보!$A$2:$E$151, 5, FALSE)</f>
        <v>20대</v>
      </c>
      <c r="P213" t="str">
        <f>VLOOKUP(D213,상품정보!$A$2:$E$61,2,FALSE)</f>
        <v>귀걸이</v>
      </c>
      <c r="Q213" t="str">
        <f>VLOOKUP(D213,상품정보!$A$2:$D$151,3,FALSE)</f>
        <v>액세서리</v>
      </c>
      <c r="R213" t="str">
        <f>VLOOKUP(D213,상품정보!$A$2:$D$151,4,FALSE)</f>
        <v>브랜드F</v>
      </c>
    </row>
    <row r="214" spans="1:18" x14ac:dyDescent="0.45">
      <c r="A214" t="s">
        <v>171</v>
      </c>
      <c r="B214" t="s">
        <v>613</v>
      </c>
      <c r="C214" t="s">
        <v>2460</v>
      </c>
      <c r="D214" t="s">
        <v>2583</v>
      </c>
      <c r="E214">
        <v>5</v>
      </c>
      <c r="F214">
        <v>6600</v>
      </c>
      <c r="G214">
        <v>500</v>
      </c>
      <c r="H214">
        <v>0</v>
      </c>
      <c r="I214" t="s">
        <v>2652</v>
      </c>
      <c r="J214" s="4">
        <f t="shared" si="9"/>
        <v>33500</v>
      </c>
      <c r="K214" s="4" t="str">
        <f t="shared" si="10"/>
        <v>2025-01</v>
      </c>
      <c r="L214" s="4" t="str">
        <f t="shared" si="11"/>
        <v>목</v>
      </c>
      <c r="M214" s="2" t="str">
        <f>VLOOKUP($C214, 고객정보!$A$2:$E$151, 2, FALSE)</f>
        <v>대전</v>
      </c>
      <c r="N214" t="str">
        <f>VLOOKUP(C214,고객정보!$A$2:$D$151,4,FALSE)</f>
        <v>L4</v>
      </c>
      <c r="O214" t="str">
        <f>VLOOKUP($C214, 고객정보!$A$2:$E$151, 5, FALSE)</f>
        <v>20대</v>
      </c>
      <c r="P214" t="str">
        <f>VLOOKUP(D214,상품정보!$A$2:$E$61,2,FALSE)</f>
        <v>셔츠</v>
      </c>
      <c r="Q214" t="str">
        <f>VLOOKUP(D214,상품정보!$A$2:$D$151,3,FALSE)</f>
        <v>의류</v>
      </c>
      <c r="R214" t="str">
        <f>VLOOKUP(D214,상품정보!$A$2:$D$151,4,FALSE)</f>
        <v>브랜드E</v>
      </c>
    </row>
    <row r="215" spans="1:18" x14ac:dyDescent="0.45">
      <c r="A215" t="s">
        <v>172</v>
      </c>
      <c r="B215" t="s">
        <v>614</v>
      </c>
      <c r="C215" t="s">
        <v>2509</v>
      </c>
      <c r="D215" t="s">
        <v>2606</v>
      </c>
      <c r="E215">
        <v>4</v>
      </c>
      <c r="F215">
        <v>15000</v>
      </c>
      <c r="G215">
        <v>0</v>
      </c>
      <c r="H215">
        <v>0</v>
      </c>
      <c r="I215" t="s">
        <v>2652</v>
      </c>
      <c r="J215" s="4">
        <f t="shared" si="9"/>
        <v>60000</v>
      </c>
      <c r="K215" s="4" t="str">
        <f t="shared" si="10"/>
        <v>2024-11</v>
      </c>
      <c r="L215" s="4" t="str">
        <f t="shared" si="11"/>
        <v>화</v>
      </c>
      <c r="M215" s="2" t="str">
        <f>VLOOKUP($C215, 고객정보!$A$2:$E$151, 2, FALSE)</f>
        <v>서울</v>
      </c>
      <c r="N215" t="str">
        <f>VLOOKUP(C215,고객정보!$A$2:$D$151,4,FALSE)</f>
        <v>L4</v>
      </c>
      <c r="O215" t="str">
        <f>VLOOKUP($C215, 고객정보!$A$2:$E$151, 5, FALSE)</f>
        <v>40대</v>
      </c>
      <c r="P215" t="str">
        <f>VLOOKUP(D215,상품정보!$A$2:$E$61,2,FALSE)</f>
        <v>귀걸이</v>
      </c>
      <c r="Q215" t="str">
        <f>VLOOKUP(D215,상품정보!$A$2:$D$151,3,FALSE)</f>
        <v>액세서리</v>
      </c>
      <c r="R215" t="str">
        <f>VLOOKUP(D215,상품정보!$A$2:$D$151,4,FALSE)</f>
        <v>브랜드E</v>
      </c>
    </row>
    <row r="216" spans="1:18" x14ac:dyDescent="0.45">
      <c r="A216" t="s">
        <v>173</v>
      </c>
      <c r="B216" t="s">
        <v>615</v>
      </c>
      <c r="C216" t="s">
        <v>2510</v>
      </c>
      <c r="D216" t="s">
        <v>2556</v>
      </c>
      <c r="E216">
        <v>1</v>
      </c>
      <c r="F216">
        <v>70100</v>
      </c>
      <c r="G216">
        <v>500</v>
      </c>
      <c r="H216">
        <v>500</v>
      </c>
      <c r="I216" t="s">
        <v>2612</v>
      </c>
      <c r="J216" s="4">
        <f t="shared" si="9"/>
        <v>70100</v>
      </c>
      <c r="K216" s="4" t="str">
        <f t="shared" si="10"/>
        <v>2024-02</v>
      </c>
      <c r="L216" s="4" t="str">
        <f t="shared" si="11"/>
        <v>토</v>
      </c>
      <c r="M216" s="2" t="str">
        <f>VLOOKUP($C216, 고객정보!$A$2:$E$151, 2, FALSE)</f>
        <v>부산</v>
      </c>
      <c r="N216" t="str">
        <f>VLOOKUP(C216,고객정보!$A$2:$D$151,4,FALSE)</f>
        <v>L3</v>
      </c>
      <c r="O216" t="str">
        <f>VLOOKUP($C216, 고객정보!$A$2:$E$151, 5, FALSE)</f>
        <v>20대</v>
      </c>
      <c r="P216" t="str">
        <f>VLOOKUP(D216,상품정보!$A$2:$E$61,2,FALSE)</f>
        <v>핸드폰케이스</v>
      </c>
      <c r="Q216" t="str">
        <f>VLOOKUP(D216,상품정보!$A$2:$D$151,3,FALSE)</f>
        <v>액세서리</v>
      </c>
      <c r="R216" t="str">
        <f>VLOOKUP(D216,상품정보!$A$2:$D$151,4,FALSE)</f>
        <v>브랜드F</v>
      </c>
    </row>
    <row r="217" spans="1:18" x14ac:dyDescent="0.45">
      <c r="A217" t="s">
        <v>174</v>
      </c>
      <c r="B217" t="s">
        <v>616</v>
      </c>
      <c r="C217" t="s">
        <v>2511</v>
      </c>
      <c r="D217" t="s">
        <v>2607</v>
      </c>
      <c r="E217">
        <v>4</v>
      </c>
      <c r="F217">
        <v>16000</v>
      </c>
      <c r="G217">
        <v>500</v>
      </c>
      <c r="H217">
        <v>0</v>
      </c>
      <c r="I217" t="s">
        <v>2652</v>
      </c>
      <c r="J217" s="4">
        <f t="shared" si="9"/>
        <v>64500</v>
      </c>
      <c r="K217" s="4" t="str">
        <f t="shared" si="10"/>
        <v>2024-12</v>
      </c>
      <c r="L217" s="4" t="str">
        <f t="shared" si="11"/>
        <v>금</v>
      </c>
      <c r="M217" s="2" t="str">
        <f>VLOOKUP($C217, 고객정보!$A$2:$E$151, 2, FALSE)</f>
        <v>인천</v>
      </c>
      <c r="N217" t="str">
        <f>VLOOKUP(C217,고객정보!$A$2:$D$151,4,FALSE)</f>
        <v>L1</v>
      </c>
      <c r="O217" t="str">
        <f>VLOOKUP($C217, 고객정보!$A$2:$E$151, 5, FALSE)</f>
        <v>50대 이상</v>
      </c>
      <c r="P217" t="str">
        <f>VLOOKUP(D217,상품정보!$A$2:$E$61,2,FALSE)</f>
        <v>목걸이</v>
      </c>
      <c r="Q217" t="str">
        <f>VLOOKUP(D217,상품정보!$A$2:$D$151,3,FALSE)</f>
        <v>액세서리</v>
      </c>
      <c r="R217" t="str">
        <f>VLOOKUP(D217,상품정보!$A$2:$D$151,4,FALSE)</f>
        <v>브랜드E</v>
      </c>
    </row>
    <row r="218" spans="1:18" x14ac:dyDescent="0.45">
      <c r="A218" t="s">
        <v>175</v>
      </c>
      <c r="B218" t="s">
        <v>617</v>
      </c>
      <c r="C218" t="s">
        <v>2422</v>
      </c>
      <c r="D218" t="s">
        <v>2600</v>
      </c>
      <c r="E218">
        <v>5</v>
      </c>
      <c r="F218">
        <v>10900</v>
      </c>
      <c r="G218">
        <v>0</v>
      </c>
      <c r="H218">
        <v>0</v>
      </c>
      <c r="I218" t="s">
        <v>2652</v>
      </c>
      <c r="J218" s="4">
        <f t="shared" si="9"/>
        <v>54500</v>
      </c>
      <c r="K218" s="4" t="str">
        <f t="shared" si="10"/>
        <v>2024-07</v>
      </c>
      <c r="L218" s="4" t="str">
        <f t="shared" si="11"/>
        <v>일</v>
      </c>
      <c r="M218" s="2" t="str">
        <f>VLOOKUP($C218, 고객정보!$A$2:$E$151, 2, FALSE)</f>
        <v>광주</v>
      </c>
      <c r="N218" t="str">
        <f>VLOOKUP(C218,고객정보!$A$2:$D$151,4,FALSE)</f>
        <v>L5</v>
      </c>
      <c r="O218" t="str">
        <f>VLOOKUP($C218, 고객정보!$A$2:$E$151, 5, FALSE)</f>
        <v>30대</v>
      </c>
      <c r="P218" t="str">
        <f>VLOOKUP(D218,상품정보!$A$2:$E$61,2,FALSE)</f>
        <v>셔츠</v>
      </c>
      <c r="Q218" t="str">
        <f>VLOOKUP(D218,상품정보!$A$2:$D$151,3,FALSE)</f>
        <v>의류</v>
      </c>
      <c r="R218" t="str">
        <f>VLOOKUP(D218,상품정보!$A$2:$D$151,4,FALSE)</f>
        <v>브랜드E</v>
      </c>
    </row>
    <row r="219" spans="1:18" x14ac:dyDescent="0.45">
      <c r="A219" t="s">
        <v>176</v>
      </c>
      <c r="B219" t="s">
        <v>618</v>
      </c>
      <c r="C219" t="s">
        <v>2446</v>
      </c>
      <c r="D219" t="s">
        <v>2562</v>
      </c>
      <c r="E219">
        <v>5</v>
      </c>
      <c r="F219">
        <v>15600</v>
      </c>
      <c r="G219">
        <v>0</v>
      </c>
      <c r="H219">
        <v>4800</v>
      </c>
      <c r="I219" t="s">
        <v>2614</v>
      </c>
      <c r="J219" s="4">
        <f t="shared" si="9"/>
        <v>73200</v>
      </c>
      <c r="K219" s="4" t="str">
        <f t="shared" si="10"/>
        <v>2024-06</v>
      </c>
      <c r="L219" s="4" t="str">
        <f t="shared" si="11"/>
        <v>화</v>
      </c>
      <c r="M219" s="2" t="str">
        <f>VLOOKUP($C219, 고객정보!$A$2:$E$151, 2, FALSE)</f>
        <v>대전</v>
      </c>
      <c r="N219" t="str">
        <f>VLOOKUP(C219,고객정보!$A$2:$D$151,4,FALSE)</f>
        <v>L2</v>
      </c>
      <c r="O219" t="str">
        <f>VLOOKUP($C219, 고객정보!$A$2:$E$151, 5, FALSE)</f>
        <v>50대 이상</v>
      </c>
      <c r="P219" t="str">
        <f>VLOOKUP(D219,상품정보!$A$2:$E$61,2,FALSE)</f>
        <v>반팔 티셔츠</v>
      </c>
      <c r="Q219" t="str">
        <f>VLOOKUP(D219,상품정보!$A$2:$D$151,3,FALSE)</f>
        <v>의류</v>
      </c>
      <c r="R219" t="str">
        <f>VLOOKUP(D219,상품정보!$A$2:$D$151,4,FALSE)</f>
        <v>브랜드E</v>
      </c>
    </row>
    <row r="220" spans="1:18" x14ac:dyDescent="0.45">
      <c r="A220" t="s">
        <v>61</v>
      </c>
      <c r="B220" t="s">
        <v>619</v>
      </c>
      <c r="C220" t="s">
        <v>2409</v>
      </c>
      <c r="D220" t="s">
        <v>2574</v>
      </c>
      <c r="E220">
        <v>5</v>
      </c>
      <c r="F220">
        <v>8600</v>
      </c>
      <c r="G220">
        <v>1000</v>
      </c>
      <c r="H220">
        <v>0</v>
      </c>
      <c r="I220" t="s">
        <v>2652</v>
      </c>
      <c r="J220" s="4">
        <f t="shared" si="9"/>
        <v>44000</v>
      </c>
      <c r="K220" s="4" t="str">
        <f t="shared" si="10"/>
        <v>2024-06</v>
      </c>
      <c r="L220" s="4" t="str">
        <f t="shared" si="11"/>
        <v>화</v>
      </c>
      <c r="M220" s="2" t="str">
        <f>VLOOKUP($C220, 고객정보!$A$2:$E$151, 2, FALSE)</f>
        <v>서울</v>
      </c>
      <c r="N220" t="str">
        <f>VLOOKUP(C220,고객정보!$A$2:$D$151,4,FALSE)</f>
        <v>L3</v>
      </c>
      <c r="O220" t="str">
        <f>VLOOKUP($C220, 고객정보!$A$2:$E$151, 5, FALSE)</f>
        <v>50대 이상</v>
      </c>
      <c r="P220" t="str">
        <f>VLOOKUP(D220,상품정보!$A$2:$E$61,2,FALSE)</f>
        <v>셔츠</v>
      </c>
      <c r="Q220" t="str">
        <f>VLOOKUP(D220,상품정보!$A$2:$D$151,3,FALSE)</f>
        <v>의류</v>
      </c>
      <c r="R220" t="str">
        <f>VLOOKUP(D220,상품정보!$A$2:$D$151,4,FALSE)</f>
        <v>브랜드D</v>
      </c>
    </row>
    <row r="221" spans="1:18" x14ac:dyDescent="0.45">
      <c r="A221" t="s">
        <v>177</v>
      </c>
      <c r="B221" t="s">
        <v>620</v>
      </c>
      <c r="C221" t="s">
        <v>2498</v>
      </c>
      <c r="D221" t="s">
        <v>2606</v>
      </c>
      <c r="E221">
        <v>4</v>
      </c>
      <c r="F221">
        <v>15000</v>
      </c>
      <c r="G221">
        <v>0</v>
      </c>
      <c r="H221">
        <v>1600</v>
      </c>
      <c r="I221" t="s">
        <v>2611</v>
      </c>
      <c r="J221" s="4">
        <f t="shared" si="9"/>
        <v>58400</v>
      </c>
      <c r="K221" s="4" t="str">
        <f t="shared" si="10"/>
        <v>2024-05</v>
      </c>
      <c r="L221" s="4" t="str">
        <f t="shared" si="11"/>
        <v>토</v>
      </c>
      <c r="M221" s="2" t="str">
        <f>VLOOKUP($C221, 고객정보!$A$2:$E$151, 2, FALSE)</f>
        <v>서울</v>
      </c>
      <c r="N221" t="str">
        <f>VLOOKUP(C221,고객정보!$A$2:$D$151,4,FALSE)</f>
        <v>L3</v>
      </c>
      <c r="O221" t="str">
        <f>VLOOKUP($C221, 고객정보!$A$2:$E$151, 5, FALSE)</f>
        <v>30대</v>
      </c>
      <c r="P221" t="str">
        <f>VLOOKUP(D221,상품정보!$A$2:$E$61,2,FALSE)</f>
        <v>귀걸이</v>
      </c>
      <c r="Q221" t="str">
        <f>VLOOKUP(D221,상품정보!$A$2:$D$151,3,FALSE)</f>
        <v>액세서리</v>
      </c>
      <c r="R221" t="str">
        <f>VLOOKUP(D221,상품정보!$A$2:$D$151,4,FALSE)</f>
        <v>브랜드E</v>
      </c>
    </row>
    <row r="222" spans="1:18" x14ac:dyDescent="0.45">
      <c r="A222" t="s">
        <v>178</v>
      </c>
      <c r="B222" t="s">
        <v>621</v>
      </c>
      <c r="C222" t="s">
        <v>2479</v>
      </c>
      <c r="D222" t="s">
        <v>2605</v>
      </c>
      <c r="E222">
        <v>2</v>
      </c>
      <c r="F222">
        <v>6800</v>
      </c>
      <c r="G222">
        <v>1000</v>
      </c>
      <c r="H222">
        <v>0</v>
      </c>
      <c r="I222" t="s">
        <v>2652</v>
      </c>
      <c r="J222" s="4">
        <f t="shared" si="9"/>
        <v>14600</v>
      </c>
      <c r="K222" s="4" t="str">
        <f t="shared" si="10"/>
        <v>2024-03</v>
      </c>
      <c r="L222" s="4" t="str">
        <f t="shared" si="11"/>
        <v>토</v>
      </c>
      <c r="M222" s="2" t="str">
        <f>VLOOKUP($C222, 고객정보!$A$2:$E$151, 2, FALSE)</f>
        <v>부산</v>
      </c>
      <c r="N222" t="str">
        <f>VLOOKUP(C222,고객정보!$A$2:$D$151,4,FALSE)</f>
        <v>L2</v>
      </c>
      <c r="O222" t="str">
        <f>VLOOKUP($C222, 고객정보!$A$2:$E$151, 5, FALSE)</f>
        <v>10대</v>
      </c>
      <c r="P222" t="str">
        <f>VLOOKUP(D222,상품정보!$A$2:$E$61,2,FALSE)</f>
        <v>핸드폰케이스</v>
      </c>
      <c r="Q222" t="str">
        <f>VLOOKUP(D222,상품정보!$A$2:$D$151,3,FALSE)</f>
        <v>액세서리</v>
      </c>
      <c r="R222" t="str">
        <f>VLOOKUP(D222,상품정보!$A$2:$D$151,4,FALSE)</f>
        <v>브랜드D</v>
      </c>
    </row>
    <row r="223" spans="1:18" x14ac:dyDescent="0.45">
      <c r="A223" t="s">
        <v>89</v>
      </c>
      <c r="B223" t="s">
        <v>622</v>
      </c>
      <c r="C223" t="s">
        <v>2512</v>
      </c>
      <c r="D223" t="s">
        <v>2597</v>
      </c>
      <c r="E223">
        <v>1</v>
      </c>
      <c r="F223">
        <v>65300</v>
      </c>
      <c r="G223">
        <v>1000</v>
      </c>
      <c r="H223">
        <v>0</v>
      </c>
      <c r="I223" t="s">
        <v>2652</v>
      </c>
      <c r="J223" s="4">
        <f t="shared" si="9"/>
        <v>66300</v>
      </c>
      <c r="K223" s="4" t="str">
        <f t="shared" si="10"/>
        <v>2025-01</v>
      </c>
      <c r="L223" s="4" t="str">
        <f t="shared" si="11"/>
        <v>수</v>
      </c>
      <c r="M223" s="2" t="str">
        <f>VLOOKUP($C223, 고객정보!$A$2:$E$151, 2, FALSE)</f>
        <v>서울</v>
      </c>
      <c r="N223" t="str">
        <f>VLOOKUP(C223,고객정보!$A$2:$D$151,4,FALSE)</f>
        <v>L1</v>
      </c>
      <c r="O223" t="str">
        <f>VLOOKUP($C223, 고객정보!$A$2:$E$151, 5, FALSE)</f>
        <v>10대</v>
      </c>
      <c r="P223" t="str">
        <f>VLOOKUP(D223,상품정보!$A$2:$E$61,2,FALSE)</f>
        <v>반지</v>
      </c>
      <c r="Q223" t="str">
        <f>VLOOKUP(D223,상품정보!$A$2:$D$151,3,FALSE)</f>
        <v>액세서리</v>
      </c>
      <c r="R223" t="str">
        <f>VLOOKUP(D223,상품정보!$A$2:$D$151,4,FALSE)</f>
        <v>브랜드F</v>
      </c>
    </row>
    <row r="224" spans="1:18" x14ac:dyDescent="0.45">
      <c r="A224" t="s">
        <v>179</v>
      </c>
      <c r="B224" t="s">
        <v>623</v>
      </c>
      <c r="C224" t="s">
        <v>2436</v>
      </c>
      <c r="D224" t="s">
        <v>2557</v>
      </c>
      <c r="E224">
        <v>2</v>
      </c>
      <c r="F224">
        <v>77700</v>
      </c>
      <c r="G224">
        <v>1000</v>
      </c>
      <c r="H224">
        <v>0</v>
      </c>
      <c r="I224" t="s">
        <v>2652</v>
      </c>
      <c r="J224" s="4">
        <f t="shared" si="9"/>
        <v>156400</v>
      </c>
      <c r="K224" s="4" t="str">
        <f t="shared" si="10"/>
        <v>2024-04</v>
      </c>
      <c r="L224" s="4" t="str">
        <f t="shared" si="11"/>
        <v>월</v>
      </c>
      <c r="M224" s="2" t="str">
        <f>VLOOKUP($C224, 고객정보!$A$2:$E$151, 2, FALSE)</f>
        <v>인천</v>
      </c>
      <c r="N224" t="str">
        <f>VLOOKUP(C224,고객정보!$A$2:$D$151,4,FALSE)</f>
        <v>L4</v>
      </c>
      <c r="O224" t="str">
        <f>VLOOKUP($C224, 고객정보!$A$2:$E$151, 5, FALSE)</f>
        <v>10대</v>
      </c>
      <c r="P224" t="str">
        <f>VLOOKUP(D224,상품정보!$A$2:$E$61,2,FALSE)</f>
        <v>귀걸이</v>
      </c>
      <c r="Q224" t="str">
        <f>VLOOKUP(D224,상품정보!$A$2:$D$151,3,FALSE)</f>
        <v>액세서리</v>
      </c>
      <c r="R224" t="str">
        <f>VLOOKUP(D224,상품정보!$A$2:$D$151,4,FALSE)</f>
        <v>브랜드B</v>
      </c>
    </row>
    <row r="225" spans="1:18" x14ac:dyDescent="0.45">
      <c r="A225" t="s">
        <v>92</v>
      </c>
      <c r="B225" t="s">
        <v>624</v>
      </c>
      <c r="C225" t="s">
        <v>2410</v>
      </c>
      <c r="D225" t="s">
        <v>2574</v>
      </c>
      <c r="E225">
        <v>4</v>
      </c>
      <c r="F225">
        <v>8600</v>
      </c>
      <c r="G225">
        <v>500</v>
      </c>
      <c r="H225">
        <v>0</v>
      </c>
      <c r="I225" t="s">
        <v>2652</v>
      </c>
      <c r="J225" s="4">
        <f t="shared" si="9"/>
        <v>34900</v>
      </c>
      <c r="K225" s="4" t="str">
        <f t="shared" si="10"/>
        <v>2024-05</v>
      </c>
      <c r="L225" s="4" t="str">
        <f t="shared" si="11"/>
        <v>화</v>
      </c>
      <c r="M225" s="2" t="str">
        <f>VLOOKUP($C225, 고객정보!$A$2:$E$151, 2, FALSE)</f>
        <v>대전</v>
      </c>
      <c r="N225" t="str">
        <f>VLOOKUP(C225,고객정보!$A$2:$D$151,4,FALSE)</f>
        <v>L2</v>
      </c>
      <c r="O225" t="str">
        <f>VLOOKUP($C225, 고객정보!$A$2:$E$151, 5, FALSE)</f>
        <v>10대</v>
      </c>
      <c r="P225" t="str">
        <f>VLOOKUP(D225,상품정보!$A$2:$E$61,2,FALSE)</f>
        <v>셔츠</v>
      </c>
      <c r="Q225" t="str">
        <f>VLOOKUP(D225,상품정보!$A$2:$D$151,3,FALSE)</f>
        <v>의류</v>
      </c>
      <c r="R225" t="str">
        <f>VLOOKUP(D225,상품정보!$A$2:$D$151,4,FALSE)</f>
        <v>브랜드D</v>
      </c>
    </row>
    <row r="226" spans="1:18" x14ac:dyDescent="0.45">
      <c r="A226" t="s">
        <v>24</v>
      </c>
      <c r="B226" t="s">
        <v>625</v>
      </c>
      <c r="C226" t="s">
        <v>2513</v>
      </c>
      <c r="D226" t="s">
        <v>2560</v>
      </c>
      <c r="E226">
        <v>3</v>
      </c>
      <c r="F226">
        <v>60600</v>
      </c>
      <c r="G226">
        <v>0</v>
      </c>
      <c r="H226">
        <v>0</v>
      </c>
      <c r="I226" t="s">
        <v>2652</v>
      </c>
      <c r="J226" s="4">
        <f t="shared" si="9"/>
        <v>181800</v>
      </c>
      <c r="K226" s="4" t="str">
        <f t="shared" si="10"/>
        <v>2024-02</v>
      </c>
      <c r="L226" s="4" t="str">
        <f t="shared" si="11"/>
        <v>수</v>
      </c>
      <c r="M226" s="2" t="str">
        <f>VLOOKUP($C226, 고객정보!$A$2:$E$151, 2, FALSE)</f>
        <v>수원</v>
      </c>
      <c r="N226" t="str">
        <f>VLOOKUP(C226,고객정보!$A$2:$D$151,4,FALSE)</f>
        <v>L5</v>
      </c>
      <c r="O226" t="str">
        <f>VLOOKUP($C226, 고객정보!$A$2:$E$151, 5, FALSE)</f>
        <v>20대</v>
      </c>
      <c r="P226" t="str">
        <f>VLOOKUP(D226,상품정보!$A$2:$E$61,2,FALSE)</f>
        <v>반팔 티셔츠</v>
      </c>
      <c r="Q226" t="str">
        <f>VLOOKUP(D226,상품정보!$A$2:$D$151,3,FALSE)</f>
        <v>의류</v>
      </c>
      <c r="R226" t="str">
        <f>VLOOKUP(D226,상품정보!$A$2:$D$151,4,FALSE)</f>
        <v>브랜드F</v>
      </c>
    </row>
    <row r="227" spans="1:18" x14ac:dyDescent="0.45">
      <c r="A227" t="s">
        <v>180</v>
      </c>
      <c r="B227" t="s">
        <v>626</v>
      </c>
      <c r="C227" t="s">
        <v>2512</v>
      </c>
      <c r="D227" t="s">
        <v>2595</v>
      </c>
      <c r="E227">
        <v>2</v>
      </c>
      <c r="F227">
        <v>12700</v>
      </c>
      <c r="G227">
        <v>0</v>
      </c>
      <c r="H227">
        <v>0</v>
      </c>
      <c r="I227" t="s">
        <v>2652</v>
      </c>
      <c r="J227" s="4">
        <f t="shared" si="9"/>
        <v>25400</v>
      </c>
      <c r="K227" s="4" t="str">
        <f t="shared" si="10"/>
        <v>2024-07</v>
      </c>
      <c r="L227" s="4" t="str">
        <f t="shared" si="11"/>
        <v>수</v>
      </c>
      <c r="M227" s="2" t="str">
        <f>VLOOKUP($C227, 고객정보!$A$2:$E$151, 2, FALSE)</f>
        <v>서울</v>
      </c>
      <c r="N227" t="str">
        <f>VLOOKUP(C227,고객정보!$A$2:$D$151,4,FALSE)</f>
        <v>L1</v>
      </c>
      <c r="O227" t="str">
        <f>VLOOKUP($C227, 고객정보!$A$2:$E$151, 5, FALSE)</f>
        <v>10대</v>
      </c>
      <c r="P227" t="str">
        <f>VLOOKUP(D227,상품정보!$A$2:$E$61,2,FALSE)</f>
        <v>반지</v>
      </c>
      <c r="Q227" t="str">
        <f>VLOOKUP(D227,상품정보!$A$2:$D$151,3,FALSE)</f>
        <v>액세서리</v>
      </c>
      <c r="R227" t="str">
        <f>VLOOKUP(D227,상품정보!$A$2:$D$151,4,FALSE)</f>
        <v>브랜드C</v>
      </c>
    </row>
    <row r="228" spans="1:18" x14ac:dyDescent="0.45">
      <c r="A228" t="s">
        <v>111</v>
      </c>
      <c r="B228" t="s">
        <v>627</v>
      </c>
      <c r="C228" t="s">
        <v>2478</v>
      </c>
      <c r="D228" t="s">
        <v>2600</v>
      </c>
      <c r="E228">
        <v>1</v>
      </c>
      <c r="F228">
        <v>10900</v>
      </c>
      <c r="G228">
        <v>1500</v>
      </c>
      <c r="H228">
        <v>6900</v>
      </c>
      <c r="I228" t="s">
        <v>2613</v>
      </c>
      <c r="J228" s="4">
        <f t="shared" si="9"/>
        <v>5500</v>
      </c>
      <c r="K228" s="4" t="str">
        <f t="shared" si="10"/>
        <v>2024-12</v>
      </c>
      <c r="L228" s="4" t="str">
        <f t="shared" si="11"/>
        <v>토</v>
      </c>
      <c r="M228" s="2" t="str">
        <f>VLOOKUP($C228, 고객정보!$A$2:$E$151, 2, FALSE)</f>
        <v>인천</v>
      </c>
      <c r="N228" t="str">
        <f>VLOOKUP(C228,고객정보!$A$2:$D$151,4,FALSE)</f>
        <v>L1</v>
      </c>
      <c r="O228" t="str">
        <f>VLOOKUP($C228, 고객정보!$A$2:$E$151, 5, FALSE)</f>
        <v>40대</v>
      </c>
      <c r="P228" t="str">
        <f>VLOOKUP(D228,상품정보!$A$2:$E$61,2,FALSE)</f>
        <v>셔츠</v>
      </c>
      <c r="Q228" t="str">
        <f>VLOOKUP(D228,상품정보!$A$2:$D$151,3,FALSE)</f>
        <v>의류</v>
      </c>
      <c r="R228" t="str">
        <f>VLOOKUP(D228,상품정보!$A$2:$D$151,4,FALSE)</f>
        <v>브랜드E</v>
      </c>
    </row>
    <row r="229" spans="1:18" x14ac:dyDescent="0.45">
      <c r="A229" t="s">
        <v>181</v>
      </c>
      <c r="B229" t="s">
        <v>628</v>
      </c>
      <c r="C229" t="s">
        <v>2445</v>
      </c>
      <c r="D229" t="s">
        <v>2552</v>
      </c>
      <c r="E229">
        <v>3</v>
      </c>
      <c r="F229">
        <v>13300</v>
      </c>
      <c r="G229">
        <v>0</v>
      </c>
      <c r="H229">
        <v>0</v>
      </c>
      <c r="I229" t="s">
        <v>2652</v>
      </c>
      <c r="J229" s="4">
        <f t="shared" si="9"/>
        <v>39900</v>
      </c>
      <c r="K229" s="4" t="str">
        <f t="shared" si="10"/>
        <v>2024-01</v>
      </c>
      <c r="L229" s="4" t="str">
        <f t="shared" si="11"/>
        <v>수</v>
      </c>
      <c r="M229" s="2" t="str">
        <f>VLOOKUP($C229, 고객정보!$A$2:$E$151, 2, FALSE)</f>
        <v>대구</v>
      </c>
      <c r="N229" t="str">
        <f>VLOOKUP(C229,고객정보!$A$2:$D$151,4,FALSE)</f>
        <v>L3</v>
      </c>
      <c r="O229" t="str">
        <f>VLOOKUP($C229, 고객정보!$A$2:$E$151, 5, FALSE)</f>
        <v>10대</v>
      </c>
      <c r="P229" t="str">
        <f>VLOOKUP(D229,상품정보!$A$2:$E$61,2,FALSE)</f>
        <v>셔츠</v>
      </c>
      <c r="Q229" t="str">
        <f>VLOOKUP(D229,상품정보!$A$2:$D$151,3,FALSE)</f>
        <v>의류</v>
      </c>
      <c r="R229" t="str">
        <f>VLOOKUP(D229,상품정보!$A$2:$D$151,4,FALSE)</f>
        <v>브랜드E</v>
      </c>
    </row>
    <row r="230" spans="1:18" x14ac:dyDescent="0.45">
      <c r="A230" t="s">
        <v>15</v>
      </c>
      <c r="B230" t="s">
        <v>629</v>
      </c>
      <c r="C230" t="s">
        <v>2455</v>
      </c>
      <c r="D230" t="s">
        <v>2562</v>
      </c>
      <c r="E230">
        <v>3</v>
      </c>
      <c r="F230">
        <v>15600</v>
      </c>
      <c r="G230">
        <v>500</v>
      </c>
      <c r="H230">
        <v>6900</v>
      </c>
      <c r="I230" t="s">
        <v>2612</v>
      </c>
      <c r="J230" s="4">
        <f t="shared" si="9"/>
        <v>40400</v>
      </c>
      <c r="K230" s="4" t="str">
        <f t="shared" si="10"/>
        <v>2024-12</v>
      </c>
      <c r="L230" s="4" t="str">
        <f t="shared" si="11"/>
        <v>월</v>
      </c>
      <c r="M230" s="2" t="str">
        <f>VLOOKUP($C230, 고객정보!$A$2:$E$151, 2, FALSE)</f>
        <v>서울</v>
      </c>
      <c r="N230" t="str">
        <f>VLOOKUP(C230,고객정보!$A$2:$D$151,4,FALSE)</f>
        <v>L5</v>
      </c>
      <c r="O230" t="str">
        <f>VLOOKUP($C230, 고객정보!$A$2:$E$151, 5, FALSE)</f>
        <v>20대</v>
      </c>
      <c r="P230" t="str">
        <f>VLOOKUP(D230,상품정보!$A$2:$E$61,2,FALSE)</f>
        <v>반팔 티셔츠</v>
      </c>
      <c r="Q230" t="str">
        <f>VLOOKUP(D230,상품정보!$A$2:$D$151,3,FALSE)</f>
        <v>의류</v>
      </c>
      <c r="R230" t="str">
        <f>VLOOKUP(D230,상품정보!$A$2:$D$151,4,FALSE)</f>
        <v>브랜드E</v>
      </c>
    </row>
    <row r="231" spans="1:18" x14ac:dyDescent="0.45">
      <c r="A231" t="s">
        <v>17</v>
      </c>
      <c r="B231" t="s">
        <v>630</v>
      </c>
      <c r="C231" t="s">
        <v>2475</v>
      </c>
      <c r="D231" t="s">
        <v>2601</v>
      </c>
      <c r="E231">
        <v>4</v>
      </c>
      <c r="F231">
        <v>17000</v>
      </c>
      <c r="G231">
        <v>0</v>
      </c>
      <c r="H231">
        <v>0</v>
      </c>
      <c r="I231" t="s">
        <v>2652</v>
      </c>
      <c r="J231" s="4">
        <f t="shared" si="9"/>
        <v>68000</v>
      </c>
      <c r="K231" s="4" t="str">
        <f t="shared" si="10"/>
        <v>2024-02</v>
      </c>
      <c r="L231" s="4" t="str">
        <f t="shared" si="11"/>
        <v>목</v>
      </c>
      <c r="M231" s="2" t="str">
        <f>VLOOKUP($C231, 고객정보!$A$2:$E$151, 2, FALSE)</f>
        <v>서울</v>
      </c>
      <c r="N231" t="str">
        <f>VLOOKUP(C231,고객정보!$A$2:$D$151,4,FALSE)</f>
        <v>L2</v>
      </c>
      <c r="O231" t="str">
        <f>VLOOKUP($C231, 고객정보!$A$2:$E$151, 5, FALSE)</f>
        <v>10대</v>
      </c>
      <c r="P231" t="str">
        <f>VLOOKUP(D231,상품정보!$A$2:$E$61,2,FALSE)</f>
        <v>자켓</v>
      </c>
      <c r="Q231" t="str">
        <f>VLOOKUP(D231,상품정보!$A$2:$D$151,3,FALSE)</f>
        <v>의류</v>
      </c>
      <c r="R231" t="str">
        <f>VLOOKUP(D231,상품정보!$A$2:$D$151,4,FALSE)</f>
        <v>브랜드E</v>
      </c>
    </row>
    <row r="232" spans="1:18" x14ac:dyDescent="0.45">
      <c r="A232" t="s">
        <v>105</v>
      </c>
      <c r="B232" t="s">
        <v>631</v>
      </c>
      <c r="C232" t="s">
        <v>2514</v>
      </c>
      <c r="D232" t="s">
        <v>2563</v>
      </c>
      <c r="E232">
        <v>3</v>
      </c>
      <c r="F232">
        <v>6900</v>
      </c>
      <c r="G232">
        <v>500</v>
      </c>
      <c r="H232">
        <v>100</v>
      </c>
      <c r="I232" t="s">
        <v>2614</v>
      </c>
      <c r="J232" s="4">
        <f t="shared" si="9"/>
        <v>21100</v>
      </c>
      <c r="K232" s="4" t="str">
        <f t="shared" si="10"/>
        <v>2024-08</v>
      </c>
      <c r="L232" s="4" t="str">
        <f t="shared" si="11"/>
        <v>수</v>
      </c>
      <c r="M232" s="2" t="str">
        <f>VLOOKUP($C232, 고객정보!$A$2:$E$151, 2, FALSE)</f>
        <v>대구</v>
      </c>
      <c r="N232" t="str">
        <f>VLOOKUP(C232,고객정보!$A$2:$D$151,4,FALSE)</f>
        <v>L1</v>
      </c>
      <c r="O232" t="str">
        <f>VLOOKUP($C232, 고객정보!$A$2:$E$151, 5, FALSE)</f>
        <v>20대</v>
      </c>
      <c r="P232" t="str">
        <f>VLOOKUP(D232,상품정보!$A$2:$E$61,2,FALSE)</f>
        <v>귀걸이</v>
      </c>
      <c r="Q232" t="str">
        <f>VLOOKUP(D232,상품정보!$A$2:$D$151,3,FALSE)</f>
        <v>액세서리</v>
      </c>
      <c r="R232" t="str">
        <f>VLOOKUP(D232,상품정보!$A$2:$D$151,4,FALSE)</f>
        <v>브랜드D</v>
      </c>
    </row>
    <row r="233" spans="1:18" x14ac:dyDescent="0.45">
      <c r="A233" t="s">
        <v>182</v>
      </c>
      <c r="B233" t="s">
        <v>632</v>
      </c>
      <c r="C233" t="s">
        <v>2466</v>
      </c>
      <c r="D233" t="s">
        <v>2556</v>
      </c>
      <c r="E233">
        <v>3</v>
      </c>
      <c r="F233">
        <v>70100</v>
      </c>
      <c r="G233">
        <v>1000</v>
      </c>
      <c r="H233">
        <v>0</v>
      </c>
      <c r="I233" t="s">
        <v>2652</v>
      </c>
      <c r="J233" s="4">
        <f t="shared" si="9"/>
        <v>211300</v>
      </c>
      <c r="K233" s="4" t="str">
        <f t="shared" si="10"/>
        <v>2024-04</v>
      </c>
      <c r="L233" s="4" t="str">
        <f t="shared" si="11"/>
        <v>목</v>
      </c>
      <c r="M233" s="2" t="str">
        <f>VLOOKUP($C233, 고객정보!$A$2:$E$151, 2, FALSE)</f>
        <v>부산</v>
      </c>
      <c r="N233" t="str">
        <f>VLOOKUP(C233,고객정보!$A$2:$D$151,4,FALSE)</f>
        <v>L2</v>
      </c>
      <c r="O233" t="str">
        <f>VLOOKUP($C233, 고객정보!$A$2:$E$151, 5, FALSE)</f>
        <v>50대 이상</v>
      </c>
      <c r="P233" t="str">
        <f>VLOOKUP(D233,상품정보!$A$2:$E$61,2,FALSE)</f>
        <v>핸드폰케이스</v>
      </c>
      <c r="Q233" t="str">
        <f>VLOOKUP(D233,상품정보!$A$2:$D$151,3,FALSE)</f>
        <v>액세서리</v>
      </c>
      <c r="R233" t="str">
        <f>VLOOKUP(D233,상품정보!$A$2:$D$151,4,FALSE)</f>
        <v>브랜드F</v>
      </c>
    </row>
    <row r="234" spans="1:18" x14ac:dyDescent="0.45">
      <c r="A234" t="s">
        <v>183</v>
      </c>
      <c r="B234" t="s">
        <v>633</v>
      </c>
      <c r="C234" t="s">
        <v>2455</v>
      </c>
      <c r="D234" t="s">
        <v>2605</v>
      </c>
      <c r="E234">
        <v>4</v>
      </c>
      <c r="F234">
        <v>6800</v>
      </c>
      <c r="G234">
        <v>1000</v>
      </c>
      <c r="H234">
        <v>0</v>
      </c>
      <c r="I234" t="s">
        <v>2652</v>
      </c>
      <c r="J234" s="4">
        <f t="shared" si="9"/>
        <v>28200</v>
      </c>
      <c r="K234" s="4" t="str">
        <f t="shared" si="10"/>
        <v>2024-02</v>
      </c>
      <c r="L234" s="4" t="str">
        <f t="shared" si="11"/>
        <v>수</v>
      </c>
      <c r="M234" s="2" t="str">
        <f>VLOOKUP($C234, 고객정보!$A$2:$E$151, 2, FALSE)</f>
        <v>서울</v>
      </c>
      <c r="N234" t="str">
        <f>VLOOKUP(C234,고객정보!$A$2:$D$151,4,FALSE)</f>
        <v>L5</v>
      </c>
      <c r="O234" t="str">
        <f>VLOOKUP($C234, 고객정보!$A$2:$E$151, 5, FALSE)</f>
        <v>20대</v>
      </c>
      <c r="P234" t="str">
        <f>VLOOKUP(D234,상품정보!$A$2:$E$61,2,FALSE)</f>
        <v>핸드폰케이스</v>
      </c>
      <c r="Q234" t="str">
        <f>VLOOKUP(D234,상품정보!$A$2:$D$151,3,FALSE)</f>
        <v>액세서리</v>
      </c>
      <c r="R234" t="str">
        <f>VLOOKUP(D234,상품정보!$A$2:$D$151,4,FALSE)</f>
        <v>브랜드D</v>
      </c>
    </row>
    <row r="235" spans="1:18" x14ac:dyDescent="0.45">
      <c r="A235" t="s">
        <v>184</v>
      </c>
      <c r="B235" t="s">
        <v>634</v>
      </c>
      <c r="C235" t="s">
        <v>2433</v>
      </c>
      <c r="D235" t="s">
        <v>2575</v>
      </c>
      <c r="E235">
        <v>4</v>
      </c>
      <c r="F235">
        <v>7200</v>
      </c>
      <c r="G235">
        <v>0</v>
      </c>
      <c r="H235">
        <v>0</v>
      </c>
      <c r="I235" t="s">
        <v>2652</v>
      </c>
      <c r="J235" s="4">
        <f t="shared" si="9"/>
        <v>28800</v>
      </c>
      <c r="K235" s="4" t="str">
        <f t="shared" si="10"/>
        <v>2024-02</v>
      </c>
      <c r="L235" s="4" t="str">
        <f t="shared" si="11"/>
        <v>수</v>
      </c>
      <c r="M235" s="2" t="str">
        <f>VLOOKUP($C235, 고객정보!$A$2:$E$151, 2, FALSE)</f>
        <v>부산</v>
      </c>
      <c r="N235" t="str">
        <f>VLOOKUP(C235,고객정보!$A$2:$D$151,4,FALSE)</f>
        <v>L3</v>
      </c>
      <c r="O235" t="str">
        <f>VLOOKUP($C235, 고객정보!$A$2:$E$151, 5, FALSE)</f>
        <v>10대</v>
      </c>
      <c r="P235" t="str">
        <f>VLOOKUP(D235,상품정보!$A$2:$E$61,2,FALSE)</f>
        <v>반지</v>
      </c>
      <c r="Q235" t="str">
        <f>VLOOKUP(D235,상품정보!$A$2:$D$151,3,FALSE)</f>
        <v>액세서리</v>
      </c>
      <c r="R235" t="str">
        <f>VLOOKUP(D235,상품정보!$A$2:$D$151,4,FALSE)</f>
        <v>브랜드E</v>
      </c>
    </row>
    <row r="236" spans="1:18" x14ac:dyDescent="0.45">
      <c r="A236" t="s">
        <v>185</v>
      </c>
      <c r="B236" t="s">
        <v>635</v>
      </c>
      <c r="C236" t="s">
        <v>2494</v>
      </c>
      <c r="D236" t="s">
        <v>2601</v>
      </c>
      <c r="E236">
        <v>1</v>
      </c>
      <c r="F236">
        <v>17000</v>
      </c>
      <c r="G236">
        <v>0</v>
      </c>
      <c r="H236">
        <v>0</v>
      </c>
      <c r="I236" t="s">
        <v>2652</v>
      </c>
      <c r="J236" s="4">
        <f t="shared" si="9"/>
        <v>17000</v>
      </c>
      <c r="K236" s="4" t="str">
        <f t="shared" si="10"/>
        <v>2024-03</v>
      </c>
      <c r="L236" s="4" t="str">
        <f t="shared" si="11"/>
        <v>월</v>
      </c>
      <c r="M236" s="2" t="str">
        <f>VLOOKUP($C236, 고객정보!$A$2:$E$151, 2, FALSE)</f>
        <v>대구</v>
      </c>
      <c r="N236" t="str">
        <f>VLOOKUP(C236,고객정보!$A$2:$D$151,4,FALSE)</f>
        <v>L4</v>
      </c>
      <c r="O236" t="str">
        <f>VLOOKUP($C236, 고객정보!$A$2:$E$151, 5, FALSE)</f>
        <v>40대</v>
      </c>
      <c r="P236" t="str">
        <f>VLOOKUP(D236,상품정보!$A$2:$E$61,2,FALSE)</f>
        <v>자켓</v>
      </c>
      <c r="Q236" t="str">
        <f>VLOOKUP(D236,상품정보!$A$2:$D$151,3,FALSE)</f>
        <v>의류</v>
      </c>
      <c r="R236" t="str">
        <f>VLOOKUP(D236,상품정보!$A$2:$D$151,4,FALSE)</f>
        <v>브랜드E</v>
      </c>
    </row>
    <row r="237" spans="1:18" x14ac:dyDescent="0.45">
      <c r="A237" t="s">
        <v>186</v>
      </c>
      <c r="B237" t="s">
        <v>636</v>
      </c>
      <c r="C237" t="s">
        <v>2474</v>
      </c>
      <c r="D237" t="s">
        <v>2570</v>
      </c>
      <c r="E237">
        <v>5</v>
      </c>
      <c r="F237">
        <v>73900</v>
      </c>
      <c r="G237">
        <v>0</v>
      </c>
      <c r="H237">
        <v>6400</v>
      </c>
      <c r="I237" t="s">
        <v>2612</v>
      </c>
      <c r="J237" s="4">
        <f t="shared" si="9"/>
        <v>363100</v>
      </c>
      <c r="K237" s="4" t="str">
        <f t="shared" si="10"/>
        <v>2024-06</v>
      </c>
      <c r="L237" s="4" t="str">
        <f t="shared" si="11"/>
        <v>화</v>
      </c>
      <c r="M237" s="2" t="str">
        <f>VLOOKUP($C237, 고객정보!$A$2:$E$151, 2, FALSE)</f>
        <v>인천</v>
      </c>
      <c r="N237" t="str">
        <f>VLOOKUP(C237,고객정보!$A$2:$D$151,4,FALSE)</f>
        <v>L2</v>
      </c>
      <c r="O237" t="str">
        <f>VLOOKUP($C237, 고객정보!$A$2:$E$151, 5, FALSE)</f>
        <v>10대</v>
      </c>
      <c r="P237" t="str">
        <f>VLOOKUP(D237,상품정보!$A$2:$E$61,2,FALSE)</f>
        <v>반지</v>
      </c>
      <c r="Q237" t="str">
        <f>VLOOKUP(D237,상품정보!$A$2:$D$151,3,FALSE)</f>
        <v>액세서리</v>
      </c>
      <c r="R237" t="str">
        <f>VLOOKUP(D237,상품정보!$A$2:$D$151,4,FALSE)</f>
        <v>브랜드B</v>
      </c>
    </row>
    <row r="238" spans="1:18" x14ac:dyDescent="0.45">
      <c r="A238" t="s">
        <v>187</v>
      </c>
      <c r="B238" t="s">
        <v>637</v>
      </c>
      <c r="C238" t="s">
        <v>2444</v>
      </c>
      <c r="D238" t="s">
        <v>2585</v>
      </c>
      <c r="E238">
        <v>1</v>
      </c>
      <c r="F238">
        <v>14900</v>
      </c>
      <c r="G238">
        <v>500</v>
      </c>
      <c r="H238">
        <v>0</v>
      </c>
      <c r="I238" t="s">
        <v>2652</v>
      </c>
      <c r="J238" s="4">
        <f t="shared" si="9"/>
        <v>15400</v>
      </c>
      <c r="K238" s="4" t="str">
        <f t="shared" si="10"/>
        <v>2024-10</v>
      </c>
      <c r="L238" s="4" t="str">
        <f t="shared" si="11"/>
        <v>토</v>
      </c>
      <c r="M238" s="2" t="str">
        <f>VLOOKUP($C238, 고객정보!$A$2:$E$151, 2, FALSE)</f>
        <v>서울</v>
      </c>
      <c r="N238" t="str">
        <f>VLOOKUP(C238,고객정보!$A$2:$D$151,4,FALSE)</f>
        <v>L4</v>
      </c>
      <c r="O238" t="str">
        <f>VLOOKUP($C238, 고객정보!$A$2:$E$151, 5, FALSE)</f>
        <v>40대</v>
      </c>
      <c r="P238" t="str">
        <f>VLOOKUP(D238,상품정보!$A$2:$E$61,2,FALSE)</f>
        <v>반팔 티셔츠</v>
      </c>
      <c r="Q238" t="str">
        <f>VLOOKUP(D238,상품정보!$A$2:$D$151,3,FALSE)</f>
        <v>의류</v>
      </c>
      <c r="R238" t="str">
        <f>VLOOKUP(D238,상품정보!$A$2:$D$151,4,FALSE)</f>
        <v>브랜드C</v>
      </c>
    </row>
    <row r="239" spans="1:18" x14ac:dyDescent="0.45">
      <c r="A239" t="s">
        <v>188</v>
      </c>
      <c r="B239" t="s">
        <v>638</v>
      </c>
      <c r="C239" t="s">
        <v>2515</v>
      </c>
      <c r="D239" t="s">
        <v>2560</v>
      </c>
      <c r="E239">
        <v>5</v>
      </c>
      <c r="F239">
        <v>60600</v>
      </c>
      <c r="G239">
        <v>0</v>
      </c>
      <c r="H239">
        <v>0</v>
      </c>
      <c r="I239" t="s">
        <v>2652</v>
      </c>
      <c r="J239" s="4">
        <f t="shared" si="9"/>
        <v>303000</v>
      </c>
      <c r="K239" s="4" t="str">
        <f t="shared" si="10"/>
        <v>2024-11</v>
      </c>
      <c r="L239" s="4" t="str">
        <f t="shared" si="11"/>
        <v>화</v>
      </c>
      <c r="M239" s="2" t="str">
        <f>VLOOKUP($C239, 고객정보!$A$2:$E$151, 2, FALSE)</f>
        <v>부산</v>
      </c>
      <c r="N239" t="str">
        <f>VLOOKUP(C239,고객정보!$A$2:$D$151,4,FALSE)</f>
        <v>L5</v>
      </c>
      <c r="O239" t="str">
        <f>VLOOKUP($C239, 고객정보!$A$2:$E$151, 5, FALSE)</f>
        <v>40대</v>
      </c>
      <c r="P239" t="str">
        <f>VLOOKUP(D239,상품정보!$A$2:$E$61,2,FALSE)</f>
        <v>반팔 티셔츠</v>
      </c>
      <c r="Q239" t="str">
        <f>VLOOKUP(D239,상품정보!$A$2:$D$151,3,FALSE)</f>
        <v>의류</v>
      </c>
      <c r="R239" t="str">
        <f>VLOOKUP(D239,상품정보!$A$2:$D$151,4,FALSE)</f>
        <v>브랜드F</v>
      </c>
    </row>
    <row r="240" spans="1:18" x14ac:dyDescent="0.45">
      <c r="A240" t="s">
        <v>29</v>
      </c>
      <c r="B240" t="s">
        <v>639</v>
      </c>
      <c r="C240" t="s">
        <v>2402</v>
      </c>
      <c r="D240" t="s">
        <v>2587</v>
      </c>
      <c r="E240">
        <v>5</v>
      </c>
      <c r="F240">
        <v>50200</v>
      </c>
      <c r="G240">
        <v>1000</v>
      </c>
      <c r="H240">
        <v>0</v>
      </c>
      <c r="I240" t="s">
        <v>2652</v>
      </c>
      <c r="J240" s="4">
        <f t="shared" si="9"/>
        <v>252000</v>
      </c>
      <c r="K240" s="4" t="str">
        <f t="shared" si="10"/>
        <v>2024-07</v>
      </c>
      <c r="L240" s="4" t="str">
        <f t="shared" si="11"/>
        <v>토</v>
      </c>
      <c r="M240" s="2" t="str">
        <f>VLOOKUP($C240, 고객정보!$A$2:$E$151, 2, FALSE)</f>
        <v>서울</v>
      </c>
      <c r="N240" t="str">
        <f>VLOOKUP(C240,고객정보!$A$2:$D$151,4,FALSE)</f>
        <v>L2</v>
      </c>
      <c r="O240" t="str">
        <f>VLOOKUP($C240, 고객정보!$A$2:$E$151, 5, FALSE)</f>
        <v>30대</v>
      </c>
      <c r="P240" t="str">
        <f>VLOOKUP(D240,상품정보!$A$2:$E$61,2,FALSE)</f>
        <v>반지</v>
      </c>
      <c r="Q240" t="str">
        <f>VLOOKUP(D240,상품정보!$A$2:$D$151,3,FALSE)</f>
        <v>액세서리</v>
      </c>
      <c r="R240" t="str">
        <f>VLOOKUP(D240,상품정보!$A$2:$D$151,4,FALSE)</f>
        <v>브랜드B</v>
      </c>
    </row>
    <row r="241" spans="1:18" x14ac:dyDescent="0.45">
      <c r="A241" t="s">
        <v>189</v>
      </c>
      <c r="B241" t="s">
        <v>640</v>
      </c>
      <c r="C241" t="s">
        <v>2516</v>
      </c>
      <c r="D241" t="s">
        <v>2582</v>
      </c>
      <c r="E241">
        <v>4</v>
      </c>
      <c r="F241">
        <v>12500</v>
      </c>
      <c r="G241">
        <v>1000</v>
      </c>
      <c r="H241">
        <v>0</v>
      </c>
      <c r="I241" t="s">
        <v>2652</v>
      </c>
      <c r="J241" s="4">
        <f t="shared" si="9"/>
        <v>51000</v>
      </c>
      <c r="K241" s="4" t="str">
        <f t="shared" si="10"/>
        <v>2024-06</v>
      </c>
      <c r="L241" s="4" t="str">
        <f t="shared" si="11"/>
        <v>토</v>
      </c>
      <c r="M241" s="2" t="str">
        <f>VLOOKUP($C241, 고객정보!$A$2:$E$151, 2, FALSE)</f>
        <v>대전</v>
      </c>
      <c r="N241" t="str">
        <f>VLOOKUP(C241,고객정보!$A$2:$D$151,4,FALSE)</f>
        <v>L3</v>
      </c>
      <c r="O241" t="str">
        <f>VLOOKUP($C241, 고객정보!$A$2:$E$151, 5, FALSE)</f>
        <v>10대</v>
      </c>
      <c r="P241" t="str">
        <f>VLOOKUP(D241,상품정보!$A$2:$E$61,2,FALSE)</f>
        <v>셔츠</v>
      </c>
      <c r="Q241" t="str">
        <f>VLOOKUP(D241,상품정보!$A$2:$D$151,3,FALSE)</f>
        <v>의류</v>
      </c>
      <c r="R241" t="str">
        <f>VLOOKUP(D241,상품정보!$A$2:$D$151,4,FALSE)</f>
        <v>브랜드D</v>
      </c>
    </row>
    <row r="242" spans="1:18" x14ac:dyDescent="0.45">
      <c r="A242" t="s">
        <v>101</v>
      </c>
      <c r="B242" t="s">
        <v>641</v>
      </c>
      <c r="C242" t="s">
        <v>2501</v>
      </c>
      <c r="D242" t="s">
        <v>2600</v>
      </c>
      <c r="E242">
        <v>5</v>
      </c>
      <c r="F242">
        <v>10900</v>
      </c>
      <c r="G242">
        <v>1000</v>
      </c>
      <c r="H242">
        <v>32900</v>
      </c>
      <c r="I242" t="s">
        <v>2611</v>
      </c>
      <c r="J242" s="4">
        <f t="shared" si="9"/>
        <v>22600</v>
      </c>
      <c r="K242" s="4" t="str">
        <f t="shared" si="10"/>
        <v>2024-11</v>
      </c>
      <c r="L242" s="4" t="str">
        <f t="shared" si="11"/>
        <v>수</v>
      </c>
      <c r="M242" s="2" t="str">
        <f>VLOOKUP($C242, 고객정보!$A$2:$E$151, 2, FALSE)</f>
        <v>서울</v>
      </c>
      <c r="N242" t="str">
        <f>VLOOKUP(C242,고객정보!$A$2:$D$151,4,FALSE)</f>
        <v>L4</v>
      </c>
      <c r="O242" t="str">
        <f>VLOOKUP($C242, 고객정보!$A$2:$E$151, 5, FALSE)</f>
        <v>50대 이상</v>
      </c>
      <c r="P242" t="str">
        <f>VLOOKUP(D242,상품정보!$A$2:$E$61,2,FALSE)</f>
        <v>셔츠</v>
      </c>
      <c r="Q242" t="str">
        <f>VLOOKUP(D242,상품정보!$A$2:$D$151,3,FALSE)</f>
        <v>의류</v>
      </c>
      <c r="R242" t="str">
        <f>VLOOKUP(D242,상품정보!$A$2:$D$151,4,FALSE)</f>
        <v>브랜드E</v>
      </c>
    </row>
    <row r="243" spans="1:18" x14ac:dyDescent="0.45">
      <c r="A243" t="s">
        <v>190</v>
      </c>
      <c r="B243" t="s">
        <v>642</v>
      </c>
      <c r="C243" t="s">
        <v>2497</v>
      </c>
      <c r="D243" t="s">
        <v>2598</v>
      </c>
      <c r="E243">
        <v>1</v>
      </c>
      <c r="F243">
        <v>77300</v>
      </c>
      <c r="G243">
        <v>1000</v>
      </c>
      <c r="H243">
        <v>400</v>
      </c>
      <c r="I243" t="s">
        <v>2611</v>
      </c>
      <c r="J243" s="4">
        <f t="shared" si="9"/>
        <v>77900</v>
      </c>
      <c r="K243" s="4" t="str">
        <f t="shared" si="10"/>
        <v>2025-01</v>
      </c>
      <c r="L243" s="4" t="str">
        <f t="shared" si="11"/>
        <v>토</v>
      </c>
      <c r="M243" s="2" t="str">
        <f>VLOOKUP($C243, 고객정보!$A$2:$E$151, 2, FALSE)</f>
        <v>서울</v>
      </c>
      <c r="N243" t="str">
        <f>VLOOKUP(C243,고객정보!$A$2:$D$151,4,FALSE)</f>
        <v>L3</v>
      </c>
      <c r="O243" t="str">
        <f>VLOOKUP($C243, 고객정보!$A$2:$E$151, 5, FALSE)</f>
        <v>10대</v>
      </c>
      <c r="P243" t="str">
        <f>VLOOKUP(D243,상품정보!$A$2:$E$61,2,FALSE)</f>
        <v>청바지</v>
      </c>
      <c r="Q243" t="str">
        <f>VLOOKUP(D243,상품정보!$A$2:$D$151,3,FALSE)</f>
        <v>의류</v>
      </c>
      <c r="R243" t="str">
        <f>VLOOKUP(D243,상품정보!$A$2:$D$151,4,FALSE)</f>
        <v>브랜드F</v>
      </c>
    </row>
    <row r="244" spans="1:18" x14ac:dyDescent="0.45">
      <c r="A244" t="s">
        <v>55</v>
      </c>
      <c r="B244" t="s">
        <v>643</v>
      </c>
      <c r="C244" t="s">
        <v>2420</v>
      </c>
      <c r="D244" t="s">
        <v>2601</v>
      </c>
      <c r="E244">
        <v>2</v>
      </c>
      <c r="F244">
        <v>17000</v>
      </c>
      <c r="G244">
        <v>0</v>
      </c>
      <c r="H244">
        <v>100</v>
      </c>
      <c r="I244" t="s">
        <v>2613</v>
      </c>
      <c r="J244" s="4">
        <f t="shared" si="9"/>
        <v>33900</v>
      </c>
      <c r="K244" s="4" t="str">
        <f t="shared" si="10"/>
        <v>2024-05</v>
      </c>
      <c r="L244" s="4" t="str">
        <f t="shared" si="11"/>
        <v>수</v>
      </c>
      <c r="M244" s="2" t="str">
        <f>VLOOKUP($C244, 고객정보!$A$2:$E$151, 2, FALSE)</f>
        <v>대전</v>
      </c>
      <c r="N244" t="str">
        <f>VLOOKUP(C244,고객정보!$A$2:$D$151,4,FALSE)</f>
        <v>L3</v>
      </c>
      <c r="O244" t="str">
        <f>VLOOKUP($C244, 고객정보!$A$2:$E$151, 5, FALSE)</f>
        <v>30대</v>
      </c>
      <c r="P244" t="str">
        <f>VLOOKUP(D244,상품정보!$A$2:$E$61,2,FALSE)</f>
        <v>자켓</v>
      </c>
      <c r="Q244" t="str">
        <f>VLOOKUP(D244,상품정보!$A$2:$D$151,3,FALSE)</f>
        <v>의류</v>
      </c>
      <c r="R244" t="str">
        <f>VLOOKUP(D244,상품정보!$A$2:$D$151,4,FALSE)</f>
        <v>브랜드E</v>
      </c>
    </row>
    <row r="245" spans="1:18" x14ac:dyDescent="0.45">
      <c r="A245" t="s">
        <v>191</v>
      </c>
      <c r="B245" t="s">
        <v>644</v>
      </c>
      <c r="C245" t="s">
        <v>2414</v>
      </c>
      <c r="D245" t="s">
        <v>2566</v>
      </c>
      <c r="E245">
        <v>2</v>
      </c>
      <c r="F245">
        <v>60600</v>
      </c>
      <c r="G245">
        <v>0</v>
      </c>
      <c r="H245">
        <v>0</v>
      </c>
      <c r="I245" t="s">
        <v>2652</v>
      </c>
      <c r="J245" s="4">
        <f t="shared" si="9"/>
        <v>121200</v>
      </c>
      <c r="K245" s="4" t="str">
        <f t="shared" si="10"/>
        <v>2024-03</v>
      </c>
      <c r="L245" s="4" t="str">
        <f t="shared" si="11"/>
        <v>금</v>
      </c>
      <c r="M245" s="2" t="str">
        <f>VLOOKUP($C245, 고객정보!$A$2:$E$151, 2, FALSE)</f>
        <v>대구</v>
      </c>
      <c r="N245" t="str">
        <f>VLOOKUP(C245,고객정보!$A$2:$D$151,4,FALSE)</f>
        <v>L3</v>
      </c>
      <c r="O245" t="str">
        <f>VLOOKUP($C245, 고객정보!$A$2:$E$151, 5, FALSE)</f>
        <v>30대</v>
      </c>
      <c r="P245" t="str">
        <f>VLOOKUP(D245,상품정보!$A$2:$E$61,2,FALSE)</f>
        <v>반팔 티셔츠</v>
      </c>
      <c r="Q245" t="str">
        <f>VLOOKUP(D245,상품정보!$A$2:$D$151,3,FALSE)</f>
        <v>의류</v>
      </c>
      <c r="R245" t="str">
        <f>VLOOKUP(D245,상품정보!$A$2:$D$151,4,FALSE)</f>
        <v>브랜드A</v>
      </c>
    </row>
    <row r="246" spans="1:18" x14ac:dyDescent="0.45">
      <c r="A246" t="s">
        <v>192</v>
      </c>
      <c r="B246" t="s">
        <v>645</v>
      </c>
      <c r="C246" t="s">
        <v>2472</v>
      </c>
      <c r="D246" t="s">
        <v>2571</v>
      </c>
      <c r="E246">
        <v>2</v>
      </c>
      <c r="F246">
        <v>55600</v>
      </c>
      <c r="G246">
        <v>0</v>
      </c>
      <c r="H246">
        <v>0</v>
      </c>
      <c r="I246" t="s">
        <v>2652</v>
      </c>
      <c r="J246" s="4">
        <f t="shared" si="9"/>
        <v>111200</v>
      </c>
      <c r="K246" s="4" t="str">
        <f t="shared" si="10"/>
        <v>2024-01</v>
      </c>
      <c r="L246" s="4" t="str">
        <f t="shared" si="11"/>
        <v>화</v>
      </c>
      <c r="M246" s="2" t="str">
        <f>VLOOKUP($C246, 고객정보!$A$2:$E$151, 2, FALSE)</f>
        <v>서울</v>
      </c>
      <c r="N246" t="str">
        <f>VLOOKUP(C246,고객정보!$A$2:$D$151,4,FALSE)</f>
        <v>L1</v>
      </c>
      <c r="O246" t="str">
        <f>VLOOKUP($C246, 고객정보!$A$2:$E$151, 5, FALSE)</f>
        <v>20대</v>
      </c>
      <c r="P246" t="str">
        <f>VLOOKUP(D246,상품정보!$A$2:$E$61,2,FALSE)</f>
        <v>자켓</v>
      </c>
      <c r="Q246" t="str">
        <f>VLOOKUP(D246,상품정보!$A$2:$D$151,3,FALSE)</f>
        <v>의류</v>
      </c>
      <c r="R246" t="str">
        <f>VLOOKUP(D246,상품정보!$A$2:$D$151,4,FALSE)</f>
        <v>브랜드B</v>
      </c>
    </row>
    <row r="247" spans="1:18" x14ac:dyDescent="0.45">
      <c r="A247" t="s">
        <v>105</v>
      </c>
      <c r="B247" t="s">
        <v>646</v>
      </c>
      <c r="C247" t="s">
        <v>2460</v>
      </c>
      <c r="D247" t="s">
        <v>2556</v>
      </c>
      <c r="E247">
        <v>5</v>
      </c>
      <c r="F247">
        <v>70100</v>
      </c>
      <c r="G247">
        <v>0</v>
      </c>
      <c r="H247">
        <v>2100</v>
      </c>
      <c r="I247" t="s">
        <v>2614</v>
      </c>
      <c r="J247" s="4">
        <f t="shared" si="9"/>
        <v>348400</v>
      </c>
      <c r="K247" s="4" t="str">
        <f t="shared" si="10"/>
        <v>2024-08</v>
      </c>
      <c r="L247" s="4" t="str">
        <f t="shared" si="11"/>
        <v>수</v>
      </c>
      <c r="M247" s="2" t="str">
        <f>VLOOKUP($C247, 고객정보!$A$2:$E$151, 2, FALSE)</f>
        <v>대전</v>
      </c>
      <c r="N247" t="str">
        <f>VLOOKUP(C247,고객정보!$A$2:$D$151,4,FALSE)</f>
        <v>L4</v>
      </c>
      <c r="O247" t="str">
        <f>VLOOKUP($C247, 고객정보!$A$2:$E$151, 5, FALSE)</f>
        <v>20대</v>
      </c>
      <c r="P247" t="str">
        <f>VLOOKUP(D247,상품정보!$A$2:$E$61,2,FALSE)</f>
        <v>핸드폰케이스</v>
      </c>
      <c r="Q247" t="str">
        <f>VLOOKUP(D247,상품정보!$A$2:$D$151,3,FALSE)</f>
        <v>액세서리</v>
      </c>
      <c r="R247" t="str">
        <f>VLOOKUP(D247,상품정보!$A$2:$D$151,4,FALSE)</f>
        <v>브랜드F</v>
      </c>
    </row>
    <row r="248" spans="1:18" x14ac:dyDescent="0.45">
      <c r="A248" t="s">
        <v>193</v>
      </c>
      <c r="B248" t="s">
        <v>647</v>
      </c>
      <c r="C248" t="s">
        <v>2417</v>
      </c>
      <c r="D248" t="s">
        <v>2564</v>
      </c>
      <c r="E248">
        <v>2</v>
      </c>
      <c r="F248">
        <v>66600</v>
      </c>
      <c r="G248">
        <v>500</v>
      </c>
      <c r="H248">
        <v>0</v>
      </c>
      <c r="I248" t="s">
        <v>2652</v>
      </c>
      <c r="J248" s="4">
        <f t="shared" si="9"/>
        <v>133700</v>
      </c>
      <c r="K248" s="4" t="str">
        <f t="shared" si="10"/>
        <v>2024-05</v>
      </c>
      <c r="L248" s="4" t="str">
        <f t="shared" si="11"/>
        <v>월</v>
      </c>
      <c r="M248" s="2" t="str">
        <f>VLOOKUP($C248, 고객정보!$A$2:$E$151, 2, FALSE)</f>
        <v>인천</v>
      </c>
      <c r="N248" t="str">
        <f>VLOOKUP(C248,고객정보!$A$2:$D$151,4,FALSE)</f>
        <v>L1</v>
      </c>
      <c r="O248" t="str">
        <f>VLOOKUP($C248, 고객정보!$A$2:$E$151, 5, FALSE)</f>
        <v>30대</v>
      </c>
      <c r="P248" t="str">
        <f>VLOOKUP(D248,상품정보!$A$2:$E$61,2,FALSE)</f>
        <v>청바지</v>
      </c>
      <c r="Q248" t="str">
        <f>VLOOKUP(D248,상품정보!$A$2:$D$151,3,FALSE)</f>
        <v>의류</v>
      </c>
      <c r="R248" t="str">
        <f>VLOOKUP(D248,상품정보!$A$2:$D$151,4,FALSE)</f>
        <v>브랜드B</v>
      </c>
    </row>
    <row r="249" spans="1:18" x14ac:dyDescent="0.45">
      <c r="A249" t="s">
        <v>194</v>
      </c>
      <c r="B249" t="s">
        <v>648</v>
      </c>
      <c r="C249" t="s">
        <v>2517</v>
      </c>
      <c r="D249" t="s">
        <v>2606</v>
      </c>
      <c r="E249">
        <v>4</v>
      </c>
      <c r="F249">
        <v>15000</v>
      </c>
      <c r="G249">
        <v>0</v>
      </c>
      <c r="H249">
        <v>4700</v>
      </c>
      <c r="I249" t="s">
        <v>2614</v>
      </c>
      <c r="J249" s="4">
        <f t="shared" si="9"/>
        <v>55300</v>
      </c>
      <c r="K249" s="4" t="str">
        <f t="shared" si="10"/>
        <v>2024-02</v>
      </c>
      <c r="L249" s="4" t="str">
        <f t="shared" si="11"/>
        <v>화</v>
      </c>
      <c r="M249" s="2" t="str">
        <f>VLOOKUP($C249, 고객정보!$A$2:$E$151, 2, FALSE)</f>
        <v>서울</v>
      </c>
      <c r="N249" t="str">
        <f>VLOOKUP(C249,고객정보!$A$2:$D$151,4,FALSE)</f>
        <v>L4</v>
      </c>
      <c r="O249" t="str">
        <f>VLOOKUP($C249, 고객정보!$A$2:$E$151, 5, FALSE)</f>
        <v>20대</v>
      </c>
      <c r="P249" t="str">
        <f>VLOOKUP(D249,상품정보!$A$2:$E$61,2,FALSE)</f>
        <v>귀걸이</v>
      </c>
      <c r="Q249" t="str">
        <f>VLOOKUP(D249,상품정보!$A$2:$D$151,3,FALSE)</f>
        <v>액세서리</v>
      </c>
      <c r="R249" t="str">
        <f>VLOOKUP(D249,상품정보!$A$2:$D$151,4,FALSE)</f>
        <v>브랜드E</v>
      </c>
    </row>
    <row r="250" spans="1:18" x14ac:dyDescent="0.45">
      <c r="A250" t="s">
        <v>195</v>
      </c>
      <c r="B250" t="s">
        <v>649</v>
      </c>
      <c r="C250" t="s">
        <v>2405</v>
      </c>
      <c r="D250" t="s">
        <v>2568</v>
      </c>
      <c r="E250">
        <v>3</v>
      </c>
      <c r="F250">
        <v>16800</v>
      </c>
      <c r="G250">
        <v>0</v>
      </c>
      <c r="H250">
        <v>5600</v>
      </c>
      <c r="I250" t="s">
        <v>2613</v>
      </c>
      <c r="J250" s="4">
        <f t="shared" si="9"/>
        <v>44800</v>
      </c>
      <c r="K250" s="4" t="str">
        <f t="shared" si="10"/>
        <v>2024-11</v>
      </c>
      <c r="L250" s="4" t="str">
        <f t="shared" si="11"/>
        <v>토</v>
      </c>
      <c r="M250" s="2" t="str">
        <f>VLOOKUP($C250, 고객정보!$A$2:$E$151, 2, FALSE)</f>
        <v>부산</v>
      </c>
      <c r="N250" t="str">
        <f>VLOOKUP(C250,고객정보!$A$2:$D$151,4,FALSE)</f>
        <v>L3</v>
      </c>
      <c r="O250" t="str">
        <f>VLOOKUP($C250, 고객정보!$A$2:$E$151, 5, FALSE)</f>
        <v>40대</v>
      </c>
      <c r="P250" t="str">
        <f>VLOOKUP(D250,상품정보!$A$2:$E$61,2,FALSE)</f>
        <v>청바지</v>
      </c>
      <c r="Q250" t="str">
        <f>VLOOKUP(D250,상품정보!$A$2:$D$151,3,FALSE)</f>
        <v>의류</v>
      </c>
      <c r="R250" t="str">
        <f>VLOOKUP(D250,상품정보!$A$2:$D$151,4,FALSE)</f>
        <v>브랜드C</v>
      </c>
    </row>
    <row r="251" spans="1:18" x14ac:dyDescent="0.45">
      <c r="A251" t="s">
        <v>196</v>
      </c>
      <c r="B251" t="s">
        <v>650</v>
      </c>
      <c r="C251" t="s">
        <v>2486</v>
      </c>
      <c r="D251" t="s">
        <v>2609</v>
      </c>
      <c r="E251">
        <v>1</v>
      </c>
      <c r="F251">
        <v>58600</v>
      </c>
      <c r="G251">
        <v>500</v>
      </c>
      <c r="H251">
        <v>100</v>
      </c>
      <c r="I251" t="s">
        <v>2613</v>
      </c>
      <c r="J251" s="4">
        <f t="shared" si="9"/>
        <v>59000</v>
      </c>
      <c r="K251" s="4" t="str">
        <f t="shared" si="10"/>
        <v>2024-10</v>
      </c>
      <c r="L251" s="4" t="str">
        <f t="shared" si="11"/>
        <v>토</v>
      </c>
      <c r="M251" s="2" t="str">
        <f>VLOOKUP($C251, 고객정보!$A$2:$E$151, 2, FALSE)</f>
        <v>수원</v>
      </c>
      <c r="N251" t="str">
        <f>VLOOKUP(C251,고객정보!$A$2:$D$151,4,FALSE)</f>
        <v>L1</v>
      </c>
      <c r="O251" t="str">
        <f>VLOOKUP($C251, 고객정보!$A$2:$E$151, 5, FALSE)</f>
        <v>40대</v>
      </c>
      <c r="P251" t="str">
        <f>VLOOKUP(D251,상품정보!$A$2:$E$61,2,FALSE)</f>
        <v>목걸이</v>
      </c>
      <c r="Q251" t="str">
        <f>VLOOKUP(D251,상품정보!$A$2:$D$151,3,FALSE)</f>
        <v>액세서리</v>
      </c>
      <c r="R251" t="str">
        <f>VLOOKUP(D251,상품정보!$A$2:$D$151,4,FALSE)</f>
        <v>브랜드F</v>
      </c>
    </row>
    <row r="252" spans="1:18" x14ac:dyDescent="0.45">
      <c r="A252" t="s">
        <v>197</v>
      </c>
      <c r="B252" t="s">
        <v>651</v>
      </c>
      <c r="C252" t="s">
        <v>2402</v>
      </c>
      <c r="D252" t="s">
        <v>2593</v>
      </c>
      <c r="E252">
        <v>2</v>
      </c>
      <c r="F252">
        <v>74600</v>
      </c>
      <c r="G252">
        <v>0</v>
      </c>
      <c r="H252">
        <v>0</v>
      </c>
      <c r="I252" t="s">
        <v>2652</v>
      </c>
      <c r="J252" s="4">
        <f t="shared" si="9"/>
        <v>149200</v>
      </c>
      <c r="K252" s="4" t="str">
        <f t="shared" si="10"/>
        <v>2024-05</v>
      </c>
      <c r="L252" s="4" t="str">
        <f t="shared" si="11"/>
        <v>목</v>
      </c>
      <c r="M252" s="2" t="str">
        <f>VLOOKUP($C252, 고객정보!$A$2:$E$151, 2, FALSE)</f>
        <v>서울</v>
      </c>
      <c r="N252" t="str">
        <f>VLOOKUP(C252,고객정보!$A$2:$D$151,4,FALSE)</f>
        <v>L2</v>
      </c>
      <c r="O252" t="str">
        <f>VLOOKUP($C252, 고객정보!$A$2:$E$151, 5, FALSE)</f>
        <v>30대</v>
      </c>
      <c r="P252" t="str">
        <f>VLOOKUP(D252,상품정보!$A$2:$E$61,2,FALSE)</f>
        <v>반팔 티셔츠</v>
      </c>
      <c r="Q252" t="str">
        <f>VLOOKUP(D252,상품정보!$A$2:$D$151,3,FALSE)</f>
        <v>의류</v>
      </c>
      <c r="R252" t="str">
        <f>VLOOKUP(D252,상품정보!$A$2:$D$151,4,FALSE)</f>
        <v>브랜드B</v>
      </c>
    </row>
    <row r="253" spans="1:18" x14ac:dyDescent="0.45">
      <c r="A253" t="s">
        <v>75</v>
      </c>
      <c r="B253" t="s">
        <v>652</v>
      </c>
      <c r="C253" t="s">
        <v>2518</v>
      </c>
      <c r="D253" t="s">
        <v>2571</v>
      </c>
      <c r="E253">
        <v>1</v>
      </c>
      <c r="F253">
        <v>55600</v>
      </c>
      <c r="G253">
        <v>500</v>
      </c>
      <c r="H253">
        <v>0</v>
      </c>
      <c r="I253" t="s">
        <v>2652</v>
      </c>
      <c r="J253" s="4">
        <f t="shared" si="9"/>
        <v>56100</v>
      </c>
      <c r="K253" s="4" t="str">
        <f t="shared" si="10"/>
        <v>2024-03</v>
      </c>
      <c r="L253" s="4" t="str">
        <f t="shared" si="11"/>
        <v>월</v>
      </c>
      <c r="M253" s="2" t="str">
        <f>VLOOKUP($C253, 고객정보!$A$2:$E$151, 2, FALSE)</f>
        <v>부산</v>
      </c>
      <c r="N253" t="str">
        <f>VLOOKUP(C253,고객정보!$A$2:$D$151,4,FALSE)</f>
        <v>L2</v>
      </c>
      <c r="O253" t="str">
        <f>VLOOKUP($C253, 고객정보!$A$2:$E$151, 5, FALSE)</f>
        <v>40대</v>
      </c>
      <c r="P253" t="str">
        <f>VLOOKUP(D253,상품정보!$A$2:$E$61,2,FALSE)</f>
        <v>자켓</v>
      </c>
      <c r="Q253" t="str">
        <f>VLOOKUP(D253,상품정보!$A$2:$D$151,3,FALSE)</f>
        <v>의류</v>
      </c>
      <c r="R253" t="str">
        <f>VLOOKUP(D253,상품정보!$A$2:$D$151,4,FALSE)</f>
        <v>브랜드B</v>
      </c>
    </row>
    <row r="254" spans="1:18" x14ac:dyDescent="0.45">
      <c r="A254" t="s">
        <v>193</v>
      </c>
      <c r="B254" t="s">
        <v>653</v>
      </c>
      <c r="C254" t="s">
        <v>2479</v>
      </c>
      <c r="D254" t="s">
        <v>2560</v>
      </c>
      <c r="E254">
        <v>5</v>
      </c>
      <c r="F254">
        <v>60600</v>
      </c>
      <c r="G254">
        <v>0</v>
      </c>
      <c r="H254">
        <v>9700</v>
      </c>
      <c r="I254" t="s">
        <v>2614</v>
      </c>
      <c r="J254" s="4">
        <f t="shared" si="9"/>
        <v>293300</v>
      </c>
      <c r="K254" s="4" t="str">
        <f t="shared" si="10"/>
        <v>2024-05</v>
      </c>
      <c r="L254" s="4" t="str">
        <f t="shared" si="11"/>
        <v>월</v>
      </c>
      <c r="M254" s="2" t="str">
        <f>VLOOKUP($C254, 고객정보!$A$2:$E$151, 2, FALSE)</f>
        <v>부산</v>
      </c>
      <c r="N254" t="str">
        <f>VLOOKUP(C254,고객정보!$A$2:$D$151,4,FALSE)</f>
        <v>L2</v>
      </c>
      <c r="O254" t="str">
        <f>VLOOKUP($C254, 고객정보!$A$2:$E$151, 5, FALSE)</f>
        <v>10대</v>
      </c>
      <c r="P254" t="str">
        <f>VLOOKUP(D254,상품정보!$A$2:$E$61,2,FALSE)</f>
        <v>반팔 티셔츠</v>
      </c>
      <c r="Q254" t="str">
        <f>VLOOKUP(D254,상품정보!$A$2:$D$151,3,FALSE)</f>
        <v>의류</v>
      </c>
      <c r="R254" t="str">
        <f>VLOOKUP(D254,상품정보!$A$2:$D$151,4,FALSE)</f>
        <v>브랜드F</v>
      </c>
    </row>
    <row r="255" spans="1:18" x14ac:dyDescent="0.45">
      <c r="A255" t="s">
        <v>198</v>
      </c>
      <c r="B255" t="s">
        <v>654</v>
      </c>
      <c r="C255" t="s">
        <v>2470</v>
      </c>
      <c r="D255" t="s">
        <v>2580</v>
      </c>
      <c r="E255">
        <v>4</v>
      </c>
      <c r="F255">
        <v>77800</v>
      </c>
      <c r="G255">
        <v>0</v>
      </c>
      <c r="H255">
        <v>0</v>
      </c>
      <c r="I255" t="s">
        <v>2652</v>
      </c>
      <c r="J255" s="4">
        <f t="shared" si="9"/>
        <v>311200</v>
      </c>
      <c r="K255" s="4" t="str">
        <f t="shared" si="10"/>
        <v>2024-12</v>
      </c>
      <c r="L255" s="4" t="str">
        <f t="shared" si="11"/>
        <v>수</v>
      </c>
      <c r="M255" s="2" t="str">
        <f>VLOOKUP($C255, 고객정보!$A$2:$E$151, 2, FALSE)</f>
        <v>대전</v>
      </c>
      <c r="N255" t="str">
        <f>VLOOKUP(C255,고객정보!$A$2:$D$151,4,FALSE)</f>
        <v>L5</v>
      </c>
      <c r="O255" t="str">
        <f>VLOOKUP($C255, 고객정보!$A$2:$E$151, 5, FALSE)</f>
        <v>20대</v>
      </c>
      <c r="P255" t="str">
        <f>VLOOKUP(D255,상품정보!$A$2:$E$61,2,FALSE)</f>
        <v>청바지</v>
      </c>
      <c r="Q255" t="str">
        <f>VLOOKUP(D255,상품정보!$A$2:$D$151,3,FALSE)</f>
        <v>의류</v>
      </c>
      <c r="R255" t="str">
        <f>VLOOKUP(D255,상품정보!$A$2:$D$151,4,FALSE)</f>
        <v>브랜드A</v>
      </c>
    </row>
    <row r="256" spans="1:18" x14ac:dyDescent="0.45">
      <c r="A256" t="s">
        <v>145</v>
      </c>
      <c r="B256" t="s">
        <v>655</v>
      </c>
      <c r="C256" t="s">
        <v>2471</v>
      </c>
      <c r="D256" t="s">
        <v>2606</v>
      </c>
      <c r="E256">
        <v>4</v>
      </c>
      <c r="F256">
        <v>15000</v>
      </c>
      <c r="G256">
        <v>500</v>
      </c>
      <c r="H256">
        <v>0</v>
      </c>
      <c r="I256" t="s">
        <v>2652</v>
      </c>
      <c r="J256" s="4">
        <f t="shared" si="9"/>
        <v>60500</v>
      </c>
      <c r="K256" s="4" t="str">
        <f t="shared" si="10"/>
        <v>2024-05</v>
      </c>
      <c r="L256" s="4" t="str">
        <f t="shared" si="11"/>
        <v>일</v>
      </c>
      <c r="M256" s="2" t="str">
        <f>VLOOKUP($C256, 고객정보!$A$2:$E$151, 2, FALSE)</f>
        <v>서울</v>
      </c>
      <c r="N256" t="str">
        <f>VLOOKUP(C256,고객정보!$A$2:$D$151,4,FALSE)</f>
        <v>L5</v>
      </c>
      <c r="O256" t="str">
        <f>VLOOKUP($C256, 고객정보!$A$2:$E$151, 5, FALSE)</f>
        <v>40대</v>
      </c>
      <c r="P256" t="str">
        <f>VLOOKUP(D256,상품정보!$A$2:$E$61,2,FALSE)</f>
        <v>귀걸이</v>
      </c>
      <c r="Q256" t="str">
        <f>VLOOKUP(D256,상품정보!$A$2:$D$151,3,FALSE)</f>
        <v>액세서리</v>
      </c>
      <c r="R256" t="str">
        <f>VLOOKUP(D256,상품정보!$A$2:$D$151,4,FALSE)</f>
        <v>브랜드E</v>
      </c>
    </row>
    <row r="257" spans="1:18" x14ac:dyDescent="0.45">
      <c r="A257" t="s">
        <v>199</v>
      </c>
      <c r="B257" t="s">
        <v>656</v>
      </c>
      <c r="C257" t="s">
        <v>2519</v>
      </c>
      <c r="D257" t="s">
        <v>2561</v>
      </c>
      <c r="E257">
        <v>4</v>
      </c>
      <c r="F257">
        <v>63300</v>
      </c>
      <c r="G257">
        <v>0</v>
      </c>
      <c r="H257">
        <v>0</v>
      </c>
      <c r="I257" t="s">
        <v>2652</v>
      </c>
      <c r="J257" s="4">
        <f t="shared" si="9"/>
        <v>253200</v>
      </c>
      <c r="K257" s="4" t="str">
        <f t="shared" si="10"/>
        <v>2024-08</v>
      </c>
      <c r="L257" s="4" t="str">
        <f t="shared" si="11"/>
        <v>월</v>
      </c>
      <c r="M257" s="2" t="str">
        <f>VLOOKUP($C257, 고객정보!$A$2:$E$151, 2, FALSE)</f>
        <v>서울</v>
      </c>
      <c r="N257" t="str">
        <f>VLOOKUP(C257,고객정보!$A$2:$D$151,4,FALSE)</f>
        <v>L4</v>
      </c>
      <c r="O257" t="str">
        <f>VLOOKUP($C257, 고객정보!$A$2:$E$151, 5, FALSE)</f>
        <v>20대</v>
      </c>
      <c r="P257" t="str">
        <f>VLOOKUP(D257,상품정보!$A$2:$E$61,2,FALSE)</f>
        <v>귀걸이</v>
      </c>
      <c r="Q257" t="str">
        <f>VLOOKUP(D257,상품정보!$A$2:$D$151,3,FALSE)</f>
        <v>액세서리</v>
      </c>
      <c r="R257" t="str">
        <f>VLOOKUP(D257,상품정보!$A$2:$D$151,4,FALSE)</f>
        <v>브랜드B</v>
      </c>
    </row>
    <row r="258" spans="1:18" x14ac:dyDescent="0.45">
      <c r="A258" t="s">
        <v>200</v>
      </c>
      <c r="B258" t="s">
        <v>657</v>
      </c>
      <c r="C258" t="s">
        <v>2414</v>
      </c>
      <c r="D258" t="s">
        <v>2560</v>
      </c>
      <c r="E258">
        <v>1</v>
      </c>
      <c r="F258">
        <v>60600</v>
      </c>
      <c r="G258">
        <v>0</v>
      </c>
      <c r="H258">
        <v>1500</v>
      </c>
      <c r="I258" t="s">
        <v>2612</v>
      </c>
      <c r="J258" s="4">
        <f t="shared" si="9"/>
        <v>59100</v>
      </c>
      <c r="K258" s="4" t="str">
        <f t="shared" si="10"/>
        <v>2024-08</v>
      </c>
      <c r="L258" s="4" t="str">
        <f t="shared" si="11"/>
        <v>금</v>
      </c>
      <c r="M258" s="2" t="str">
        <f>VLOOKUP($C258, 고객정보!$A$2:$E$151, 2, FALSE)</f>
        <v>대구</v>
      </c>
      <c r="N258" t="str">
        <f>VLOOKUP(C258,고객정보!$A$2:$D$151,4,FALSE)</f>
        <v>L3</v>
      </c>
      <c r="O258" t="str">
        <f>VLOOKUP($C258, 고객정보!$A$2:$E$151, 5, FALSE)</f>
        <v>30대</v>
      </c>
      <c r="P258" t="str">
        <f>VLOOKUP(D258,상품정보!$A$2:$E$61,2,FALSE)</f>
        <v>반팔 티셔츠</v>
      </c>
      <c r="Q258" t="str">
        <f>VLOOKUP(D258,상품정보!$A$2:$D$151,3,FALSE)</f>
        <v>의류</v>
      </c>
      <c r="R258" t="str">
        <f>VLOOKUP(D258,상품정보!$A$2:$D$151,4,FALSE)</f>
        <v>브랜드F</v>
      </c>
    </row>
    <row r="259" spans="1:18" x14ac:dyDescent="0.45">
      <c r="A259" t="s">
        <v>12</v>
      </c>
      <c r="B259" t="s">
        <v>658</v>
      </c>
      <c r="C259" t="s">
        <v>2442</v>
      </c>
      <c r="D259" t="s">
        <v>2560</v>
      </c>
      <c r="E259">
        <v>3</v>
      </c>
      <c r="F259">
        <v>60600</v>
      </c>
      <c r="G259">
        <v>0</v>
      </c>
      <c r="H259">
        <v>0</v>
      </c>
      <c r="I259" t="s">
        <v>2652</v>
      </c>
      <c r="J259" s="4">
        <f t="shared" ref="J259:J322" si="12">E259*F259+G259-H259</f>
        <v>181800</v>
      </c>
      <c r="K259" s="4" t="str">
        <f t="shared" ref="K259:K322" si="13">LEFT(A259,7)</f>
        <v>2024-01</v>
      </c>
      <c r="L259" s="4" t="str">
        <f t="shared" ref="L259:L322" si="14">TEXT(WEEKDAY(A259),"aaa")</f>
        <v>일</v>
      </c>
      <c r="M259" s="2" t="str">
        <f>VLOOKUP($C259, 고객정보!$A$2:$E$151, 2, FALSE)</f>
        <v>부산</v>
      </c>
      <c r="N259" t="str">
        <f>VLOOKUP(C259,고객정보!$A$2:$D$151,4,FALSE)</f>
        <v>L1</v>
      </c>
      <c r="O259" t="str">
        <f>VLOOKUP($C259, 고객정보!$A$2:$E$151, 5, FALSE)</f>
        <v>40대</v>
      </c>
      <c r="P259" t="str">
        <f>VLOOKUP(D259,상품정보!$A$2:$E$61,2,FALSE)</f>
        <v>반팔 티셔츠</v>
      </c>
      <c r="Q259" t="str">
        <f>VLOOKUP(D259,상품정보!$A$2:$D$151,3,FALSE)</f>
        <v>의류</v>
      </c>
      <c r="R259" t="str">
        <f>VLOOKUP(D259,상품정보!$A$2:$D$151,4,FALSE)</f>
        <v>브랜드F</v>
      </c>
    </row>
    <row r="260" spans="1:18" x14ac:dyDescent="0.45">
      <c r="A260" t="s">
        <v>201</v>
      </c>
      <c r="B260" t="s">
        <v>659</v>
      </c>
      <c r="C260" t="s">
        <v>2411</v>
      </c>
      <c r="D260" t="s">
        <v>2607</v>
      </c>
      <c r="E260">
        <v>5</v>
      </c>
      <c r="F260">
        <v>16000</v>
      </c>
      <c r="G260">
        <v>2000</v>
      </c>
      <c r="H260">
        <v>0</v>
      </c>
      <c r="I260" t="s">
        <v>2652</v>
      </c>
      <c r="J260" s="4">
        <f t="shared" si="12"/>
        <v>82000</v>
      </c>
      <c r="K260" s="4" t="str">
        <f t="shared" si="13"/>
        <v>2024-10</v>
      </c>
      <c r="L260" s="4" t="str">
        <f t="shared" si="14"/>
        <v>일</v>
      </c>
      <c r="M260" s="2" t="str">
        <f>VLOOKUP($C260, 고객정보!$A$2:$E$151, 2, FALSE)</f>
        <v>부산</v>
      </c>
      <c r="N260" t="str">
        <f>VLOOKUP(C260,고객정보!$A$2:$D$151,4,FALSE)</f>
        <v>L5</v>
      </c>
      <c r="O260" t="str">
        <f>VLOOKUP($C260, 고객정보!$A$2:$E$151, 5, FALSE)</f>
        <v>30대</v>
      </c>
      <c r="P260" t="str">
        <f>VLOOKUP(D260,상품정보!$A$2:$E$61,2,FALSE)</f>
        <v>목걸이</v>
      </c>
      <c r="Q260" t="str">
        <f>VLOOKUP(D260,상품정보!$A$2:$D$151,3,FALSE)</f>
        <v>액세서리</v>
      </c>
      <c r="R260" t="str">
        <f>VLOOKUP(D260,상품정보!$A$2:$D$151,4,FALSE)</f>
        <v>브랜드E</v>
      </c>
    </row>
    <row r="261" spans="1:18" x14ac:dyDescent="0.45">
      <c r="A261" t="s">
        <v>110</v>
      </c>
      <c r="B261" t="s">
        <v>660</v>
      </c>
      <c r="C261" t="s">
        <v>2520</v>
      </c>
      <c r="D261" t="s">
        <v>2557</v>
      </c>
      <c r="E261">
        <v>3</v>
      </c>
      <c r="F261">
        <v>77700</v>
      </c>
      <c r="G261">
        <v>0</v>
      </c>
      <c r="H261">
        <v>0</v>
      </c>
      <c r="I261" t="s">
        <v>2652</v>
      </c>
      <c r="J261" s="4">
        <f t="shared" si="12"/>
        <v>233100</v>
      </c>
      <c r="K261" s="4" t="str">
        <f t="shared" si="13"/>
        <v>2024-10</v>
      </c>
      <c r="L261" s="4" t="str">
        <f t="shared" si="14"/>
        <v>화</v>
      </c>
      <c r="M261" s="2" t="str">
        <f>VLOOKUP($C261, 고객정보!$A$2:$E$151, 2, FALSE)</f>
        <v>서울</v>
      </c>
      <c r="N261" t="str">
        <f>VLOOKUP(C261,고객정보!$A$2:$D$151,4,FALSE)</f>
        <v>L2</v>
      </c>
      <c r="O261" t="str">
        <f>VLOOKUP($C261, 고객정보!$A$2:$E$151, 5, FALSE)</f>
        <v>40대</v>
      </c>
      <c r="P261" t="str">
        <f>VLOOKUP(D261,상품정보!$A$2:$E$61,2,FALSE)</f>
        <v>귀걸이</v>
      </c>
      <c r="Q261" t="str">
        <f>VLOOKUP(D261,상품정보!$A$2:$D$151,3,FALSE)</f>
        <v>액세서리</v>
      </c>
      <c r="R261" t="str">
        <f>VLOOKUP(D261,상품정보!$A$2:$D$151,4,FALSE)</f>
        <v>브랜드B</v>
      </c>
    </row>
    <row r="262" spans="1:18" x14ac:dyDescent="0.45">
      <c r="A262" t="s">
        <v>105</v>
      </c>
      <c r="B262" t="s">
        <v>661</v>
      </c>
      <c r="C262" t="s">
        <v>2476</v>
      </c>
      <c r="D262" t="s">
        <v>2557</v>
      </c>
      <c r="E262">
        <v>2</v>
      </c>
      <c r="F262">
        <v>77700</v>
      </c>
      <c r="G262">
        <v>0</v>
      </c>
      <c r="H262">
        <v>0</v>
      </c>
      <c r="I262" t="s">
        <v>2652</v>
      </c>
      <c r="J262" s="4">
        <f t="shared" si="12"/>
        <v>155400</v>
      </c>
      <c r="K262" s="4" t="str">
        <f t="shared" si="13"/>
        <v>2024-08</v>
      </c>
      <c r="L262" s="4" t="str">
        <f t="shared" si="14"/>
        <v>수</v>
      </c>
      <c r="M262" s="2" t="str">
        <f>VLOOKUP($C262, 고객정보!$A$2:$E$151, 2, FALSE)</f>
        <v>서울</v>
      </c>
      <c r="N262" t="str">
        <f>VLOOKUP(C262,고객정보!$A$2:$D$151,4,FALSE)</f>
        <v>L2</v>
      </c>
      <c r="O262" t="str">
        <f>VLOOKUP($C262, 고객정보!$A$2:$E$151, 5, FALSE)</f>
        <v>10대</v>
      </c>
      <c r="P262" t="str">
        <f>VLOOKUP(D262,상품정보!$A$2:$E$61,2,FALSE)</f>
        <v>귀걸이</v>
      </c>
      <c r="Q262" t="str">
        <f>VLOOKUP(D262,상품정보!$A$2:$D$151,3,FALSE)</f>
        <v>액세서리</v>
      </c>
      <c r="R262" t="str">
        <f>VLOOKUP(D262,상품정보!$A$2:$D$151,4,FALSE)</f>
        <v>브랜드B</v>
      </c>
    </row>
    <row r="263" spans="1:18" x14ac:dyDescent="0.45">
      <c r="A263" t="s">
        <v>14</v>
      </c>
      <c r="B263" t="s">
        <v>662</v>
      </c>
      <c r="C263" t="s">
        <v>2521</v>
      </c>
      <c r="D263" t="s">
        <v>2593</v>
      </c>
      <c r="E263">
        <v>4</v>
      </c>
      <c r="F263">
        <v>74600</v>
      </c>
      <c r="G263">
        <v>0</v>
      </c>
      <c r="H263">
        <v>12400</v>
      </c>
      <c r="I263" t="s">
        <v>2612</v>
      </c>
      <c r="J263" s="4">
        <f t="shared" si="12"/>
        <v>286000</v>
      </c>
      <c r="K263" s="4" t="str">
        <f t="shared" si="13"/>
        <v>2024-05</v>
      </c>
      <c r="L263" s="4" t="str">
        <f t="shared" si="14"/>
        <v>수</v>
      </c>
      <c r="M263" s="2" t="str">
        <f>VLOOKUP($C263, 고객정보!$A$2:$E$151, 2, FALSE)</f>
        <v>서울</v>
      </c>
      <c r="N263" t="str">
        <f>VLOOKUP(C263,고객정보!$A$2:$D$151,4,FALSE)</f>
        <v>L1</v>
      </c>
      <c r="O263" t="str">
        <f>VLOOKUP($C263, 고객정보!$A$2:$E$151, 5, FALSE)</f>
        <v>30대</v>
      </c>
      <c r="P263" t="str">
        <f>VLOOKUP(D263,상품정보!$A$2:$E$61,2,FALSE)</f>
        <v>반팔 티셔츠</v>
      </c>
      <c r="Q263" t="str">
        <f>VLOOKUP(D263,상품정보!$A$2:$D$151,3,FALSE)</f>
        <v>의류</v>
      </c>
      <c r="R263" t="str">
        <f>VLOOKUP(D263,상품정보!$A$2:$D$151,4,FALSE)</f>
        <v>브랜드B</v>
      </c>
    </row>
    <row r="264" spans="1:18" x14ac:dyDescent="0.45">
      <c r="A264" t="s">
        <v>25</v>
      </c>
      <c r="B264" t="s">
        <v>663</v>
      </c>
      <c r="C264" t="s">
        <v>2522</v>
      </c>
      <c r="D264" t="s">
        <v>2589</v>
      </c>
      <c r="E264">
        <v>4</v>
      </c>
      <c r="F264">
        <v>71400</v>
      </c>
      <c r="G264">
        <v>0</v>
      </c>
      <c r="H264">
        <v>0</v>
      </c>
      <c r="I264" t="s">
        <v>2652</v>
      </c>
      <c r="J264" s="4">
        <f t="shared" si="12"/>
        <v>285600</v>
      </c>
      <c r="K264" s="4" t="str">
        <f t="shared" si="13"/>
        <v>2024-11</v>
      </c>
      <c r="L264" s="4" t="str">
        <f t="shared" si="14"/>
        <v>목</v>
      </c>
      <c r="M264" s="2" t="str">
        <f>VLOOKUP($C264, 고객정보!$A$2:$E$151, 2, FALSE)</f>
        <v>부산</v>
      </c>
      <c r="N264" t="str">
        <f>VLOOKUP(C264,고객정보!$A$2:$D$151,4,FALSE)</f>
        <v>L4</v>
      </c>
      <c r="O264" t="str">
        <f>VLOOKUP($C264, 고객정보!$A$2:$E$151, 5, FALSE)</f>
        <v>40대</v>
      </c>
      <c r="P264" t="str">
        <f>VLOOKUP(D264,상품정보!$A$2:$E$61,2,FALSE)</f>
        <v>셔츠</v>
      </c>
      <c r="Q264" t="str">
        <f>VLOOKUP(D264,상품정보!$A$2:$D$151,3,FALSE)</f>
        <v>의류</v>
      </c>
      <c r="R264" t="str">
        <f>VLOOKUP(D264,상품정보!$A$2:$D$151,4,FALSE)</f>
        <v>브랜드A</v>
      </c>
    </row>
    <row r="265" spans="1:18" x14ac:dyDescent="0.45">
      <c r="A265" t="s">
        <v>202</v>
      </c>
      <c r="B265" t="s">
        <v>664</v>
      </c>
      <c r="C265" t="s">
        <v>2510</v>
      </c>
      <c r="D265" t="s">
        <v>2553</v>
      </c>
      <c r="E265">
        <v>4</v>
      </c>
      <c r="F265">
        <v>63400</v>
      </c>
      <c r="G265">
        <v>1500</v>
      </c>
      <c r="H265">
        <v>0</v>
      </c>
      <c r="I265" t="s">
        <v>2652</v>
      </c>
      <c r="J265" s="4">
        <f t="shared" si="12"/>
        <v>255100</v>
      </c>
      <c r="K265" s="4" t="str">
        <f t="shared" si="13"/>
        <v>2024-06</v>
      </c>
      <c r="L265" s="4" t="str">
        <f t="shared" si="14"/>
        <v>목</v>
      </c>
      <c r="M265" s="2" t="str">
        <f>VLOOKUP($C265, 고객정보!$A$2:$E$151, 2, FALSE)</f>
        <v>부산</v>
      </c>
      <c r="N265" t="str">
        <f>VLOOKUP(C265,고객정보!$A$2:$D$151,4,FALSE)</f>
        <v>L3</v>
      </c>
      <c r="O265" t="str">
        <f>VLOOKUP($C265, 고객정보!$A$2:$E$151, 5, FALSE)</f>
        <v>20대</v>
      </c>
      <c r="P265" t="str">
        <f>VLOOKUP(D265,상품정보!$A$2:$E$61,2,FALSE)</f>
        <v>귀걸이</v>
      </c>
      <c r="Q265" t="str">
        <f>VLOOKUP(D265,상품정보!$A$2:$D$151,3,FALSE)</f>
        <v>액세서리</v>
      </c>
      <c r="R265" t="str">
        <f>VLOOKUP(D265,상품정보!$A$2:$D$151,4,FALSE)</f>
        <v>브랜드F</v>
      </c>
    </row>
    <row r="266" spans="1:18" x14ac:dyDescent="0.45">
      <c r="A266" t="s">
        <v>203</v>
      </c>
      <c r="B266" t="s">
        <v>665</v>
      </c>
      <c r="C266" t="s">
        <v>2460</v>
      </c>
      <c r="D266" t="s">
        <v>2558</v>
      </c>
      <c r="E266">
        <v>3</v>
      </c>
      <c r="F266">
        <v>63700</v>
      </c>
      <c r="G266">
        <v>0</v>
      </c>
      <c r="H266">
        <v>16600</v>
      </c>
      <c r="I266" t="s">
        <v>2613</v>
      </c>
      <c r="J266" s="4">
        <f t="shared" si="12"/>
        <v>174500</v>
      </c>
      <c r="K266" s="4" t="str">
        <f t="shared" si="13"/>
        <v>2024-12</v>
      </c>
      <c r="L266" s="4" t="str">
        <f t="shared" si="14"/>
        <v>월</v>
      </c>
      <c r="M266" s="2" t="str">
        <f>VLOOKUP($C266, 고객정보!$A$2:$E$151, 2, FALSE)</f>
        <v>대전</v>
      </c>
      <c r="N266" t="str">
        <f>VLOOKUP(C266,고객정보!$A$2:$D$151,4,FALSE)</f>
        <v>L4</v>
      </c>
      <c r="O266" t="str">
        <f>VLOOKUP($C266, 고객정보!$A$2:$E$151, 5, FALSE)</f>
        <v>20대</v>
      </c>
      <c r="P266" t="str">
        <f>VLOOKUP(D266,상품정보!$A$2:$E$61,2,FALSE)</f>
        <v>셔츠</v>
      </c>
      <c r="Q266" t="str">
        <f>VLOOKUP(D266,상품정보!$A$2:$D$151,3,FALSE)</f>
        <v>의류</v>
      </c>
      <c r="R266" t="str">
        <f>VLOOKUP(D266,상품정보!$A$2:$D$151,4,FALSE)</f>
        <v>브랜드A</v>
      </c>
    </row>
    <row r="267" spans="1:18" x14ac:dyDescent="0.45">
      <c r="A267" t="s">
        <v>204</v>
      </c>
      <c r="B267" t="s">
        <v>666</v>
      </c>
      <c r="C267" t="s">
        <v>2523</v>
      </c>
      <c r="D267" t="s">
        <v>2610</v>
      </c>
      <c r="E267">
        <v>2</v>
      </c>
      <c r="F267">
        <v>18800</v>
      </c>
      <c r="G267">
        <v>0</v>
      </c>
      <c r="H267">
        <v>2100</v>
      </c>
      <c r="I267" t="s">
        <v>2612</v>
      </c>
      <c r="J267" s="4">
        <f t="shared" si="12"/>
        <v>35500</v>
      </c>
      <c r="K267" s="4" t="str">
        <f t="shared" si="13"/>
        <v>2024-06</v>
      </c>
      <c r="L267" s="4" t="str">
        <f t="shared" si="14"/>
        <v>월</v>
      </c>
      <c r="M267" s="2" t="str">
        <f>VLOOKUP($C267, 고객정보!$A$2:$E$151, 2, FALSE)</f>
        <v>서울</v>
      </c>
      <c r="N267" t="str">
        <f>VLOOKUP(C267,고객정보!$A$2:$D$151,4,FALSE)</f>
        <v>L3</v>
      </c>
      <c r="O267" t="str">
        <f>VLOOKUP($C267, 고객정보!$A$2:$E$151, 5, FALSE)</f>
        <v>20대</v>
      </c>
      <c r="P267" t="str">
        <f>VLOOKUP(D267,상품정보!$A$2:$E$61,2,FALSE)</f>
        <v>자켓</v>
      </c>
      <c r="Q267" t="str">
        <f>VLOOKUP(D267,상품정보!$A$2:$D$151,3,FALSE)</f>
        <v>의류</v>
      </c>
      <c r="R267" t="str">
        <f>VLOOKUP(D267,상품정보!$A$2:$D$151,4,FALSE)</f>
        <v>브랜드E</v>
      </c>
    </row>
    <row r="268" spans="1:18" x14ac:dyDescent="0.45">
      <c r="A268" t="s">
        <v>193</v>
      </c>
      <c r="B268" t="s">
        <v>667</v>
      </c>
      <c r="C268" t="s">
        <v>2524</v>
      </c>
      <c r="D268" t="s">
        <v>2606</v>
      </c>
      <c r="E268">
        <v>4</v>
      </c>
      <c r="F268">
        <v>15000</v>
      </c>
      <c r="G268">
        <v>0</v>
      </c>
      <c r="H268">
        <v>0</v>
      </c>
      <c r="I268" t="s">
        <v>2652</v>
      </c>
      <c r="J268" s="4">
        <f t="shared" si="12"/>
        <v>60000</v>
      </c>
      <c r="K268" s="4" t="str">
        <f t="shared" si="13"/>
        <v>2024-05</v>
      </c>
      <c r="L268" s="4" t="str">
        <f t="shared" si="14"/>
        <v>월</v>
      </c>
      <c r="M268" s="2" t="str">
        <f>VLOOKUP($C268, 고객정보!$A$2:$E$151, 2, FALSE)</f>
        <v>서울</v>
      </c>
      <c r="N268" t="str">
        <f>VLOOKUP(C268,고객정보!$A$2:$D$151,4,FALSE)</f>
        <v>L5</v>
      </c>
      <c r="O268" t="str">
        <f>VLOOKUP($C268, 고객정보!$A$2:$E$151, 5, FALSE)</f>
        <v>10대</v>
      </c>
      <c r="P268" t="str">
        <f>VLOOKUP(D268,상품정보!$A$2:$E$61,2,FALSE)</f>
        <v>귀걸이</v>
      </c>
      <c r="Q268" t="str">
        <f>VLOOKUP(D268,상품정보!$A$2:$D$151,3,FALSE)</f>
        <v>액세서리</v>
      </c>
      <c r="R268" t="str">
        <f>VLOOKUP(D268,상품정보!$A$2:$D$151,4,FALSE)</f>
        <v>브랜드E</v>
      </c>
    </row>
    <row r="269" spans="1:18" x14ac:dyDescent="0.45">
      <c r="A269" t="s">
        <v>205</v>
      </c>
      <c r="B269" t="s">
        <v>668</v>
      </c>
      <c r="C269" t="s">
        <v>2461</v>
      </c>
      <c r="D269" t="s">
        <v>2602</v>
      </c>
      <c r="E269">
        <v>5</v>
      </c>
      <c r="F269">
        <v>59900</v>
      </c>
      <c r="G269">
        <v>0</v>
      </c>
      <c r="H269">
        <v>7500</v>
      </c>
      <c r="I269" t="s">
        <v>2614</v>
      </c>
      <c r="J269" s="4">
        <f t="shared" si="12"/>
        <v>292000</v>
      </c>
      <c r="K269" s="4" t="str">
        <f t="shared" si="13"/>
        <v>2024-01</v>
      </c>
      <c r="L269" s="4" t="str">
        <f t="shared" si="14"/>
        <v>금</v>
      </c>
      <c r="M269" s="2" t="str">
        <f>VLOOKUP($C269, 고객정보!$A$2:$E$151, 2, FALSE)</f>
        <v>부산</v>
      </c>
      <c r="N269" t="str">
        <f>VLOOKUP(C269,고객정보!$A$2:$D$151,4,FALSE)</f>
        <v>L2</v>
      </c>
      <c r="O269" t="str">
        <f>VLOOKUP($C269, 고객정보!$A$2:$E$151, 5, FALSE)</f>
        <v>40대</v>
      </c>
      <c r="P269" t="str">
        <f>VLOOKUP(D269,상품정보!$A$2:$E$61,2,FALSE)</f>
        <v>셔츠</v>
      </c>
      <c r="Q269" t="str">
        <f>VLOOKUP(D269,상품정보!$A$2:$D$151,3,FALSE)</f>
        <v>의류</v>
      </c>
      <c r="R269" t="str">
        <f>VLOOKUP(D269,상품정보!$A$2:$D$151,4,FALSE)</f>
        <v>브랜드A</v>
      </c>
    </row>
    <row r="270" spans="1:18" x14ac:dyDescent="0.45">
      <c r="A270" t="s">
        <v>150</v>
      </c>
      <c r="B270" t="s">
        <v>669</v>
      </c>
      <c r="C270" t="s">
        <v>2462</v>
      </c>
      <c r="D270" t="s">
        <v>2553</v>
      </c>
      <c r="E270">
        <v>3</v>
      </c>
      <c r="F270">
        <v>63400</v>
      </c>
      <c r="G270">
        <v>1000</v>
      </c>
      <c r="H270">
        <v>0</v>
      </c>
      <c r="I270" t="s">
        <v>2652</v>
      </c>
      <c r="J270" s="4">
        <f t="shared" si="12"/>
        <v>191200</v>
      </c>
      <c r="K270" s="4" t="str">
        <f t="shared" si="13"/>
        <v>2024-05</v>
      </c>
      <c r="L270" s="4" t="str">
        <f t="shared" si="14"/>
        <v>목</v>
      </c>
      <c r="M270" s="2" t="str">
        <f>VLOOKUP($C270, 고객정보!$A$2:$E$151, 2, FALSE)</f>
        <v>광주</v>
      </c>
      <c r="N270" t="str">
        <f>VLOOKUP(C270,고객정보!$A$2:$D$151,4,FALSE)</f>
        <v>L5</v>
      </c>
      <c r="O270" t="str">
        <f>VLOOKUP($C270, 고객정보!$A$2:$E$151, 5, FALSE)</f>
        <v>50대 이상</v>
      </c>
      <c r="P270" t="str">
        <f>VLOOKUP(D270,상품정보!$A$2:$E$61,2,FALSE)</f>
        <v>귀걸이</v>
      </c>
      <c r="Q270" t="str">
        <f>VLOOKUP(D270,상품정보!$A$2:$D$151,3,FALSE)</f>
        <v>액세서리</v>
      </c>
      <c r="R270" t="str">
        <f>VLOOKUP(D270,상품정보!$A$2:$D$151,4,FALSE)</f>
        <v>브랜드F</v>
      </c>
    </row>
    <row r="271" spans="1:18" x14ac:dyDescent="0.45">
      <c r="A271" t="s">
        <v>206</v>
      </c>
      <c r="B271" t="s">
        <v>670</v>
      </c>
      <c r="C271" t="s">
        <v>2442</v>
      </c>
      <c r="D271" t="s">
        <v>2580</v>
      </c>
      <c r="E271">
        <v>4</v>
      </c>
      <c r="F271">
        <v>77800</v>
      </c>
      <c r="G271">
        <v>500</v>
      </c>
      <c r="H271">
        <v>0</v>
      </c>
      <c r="I271" t="s">
        <v>2652</v>
      </c>
      <c r="J271" s="4">
        <f t="shared" si="12"/>
        <v>311700</v>
      </c>
      <c r="K271" s="4" t="str">
        <f t="shared" si="13"/>
        <v>2024-09</v>
      </c>
      <c r="L271" s="4" t="str">
        <f t="shared" si="14"/>
        <v>금</v>
      </c>
      <c r="M271" s="2" t="str">
        <f>VLOOKUP($C271, 고객정보!$A$2:$E$151, 2, FALSE)</f>
        <v>부산</v>
      </c>
      <c r="N271" t="str">
        <f>VLOOKUP(C271,고객정보!$A$2:$D$151,4,FALSE)</f>
        <v>L1</v>
      </c>
      <c r="O271" t="str">
        <f>VLOOKUP($C271, 고객정보!$A$2:$E$151, 5, FALSE)</f>
        <v>40대</v>
      </c>
      <c r="P271" t="str">
        <f>VLOOKUP(D271,상품정보!$A$2:$E$61,2,FALSE)</f>
        <v>청바지</v>
      </c>
      <c r="Q271" t="str">
        <f>VLOOKUP(D271,상품정보!$A$2:$D$151,3,FALSE)</f>
        <v>의류</v>
      </c>
      <c r="R271" t="str">
        <f>VLOOKUP(D271,상품정보!$A$2:$D$151,4,FALSE)</f>
        <v>브랜드A</v>
      </c>
    </row>
    <row r="272" spans="1:18" x14ac:dyDescent="0.45">
      <c r="A272" t="s">
        <v>207</v>
      </c>
      <c r="B272" t="s">
        <v>671</v>
      </c>
      <c r="C272" t="s">
        <v>2490</v>
      </c>
      <c r="D272" t="s">
        <v>2567</v>
      </c>
      <c r="E272">
        <v>5</v>
      </c>
      <c r="F272">
        <v>58600</v>
      </c>
      <c r="G272">
        <v>500</v>
      </c>
      <c r="H272">
        <v>8700</v>
      </c>
      <c r="I272" t="s">
        <v>2611</v>
      </c>
      <c r="J272" s="4">
        <f t="shared" si="12"/>
        <v>284800</v>
      </c>
      <c r="K272" s="4" t="str">
        <f t="shared" si="13"/>
        <v>2024-08</v>
      </c>
      <c r="L272" s="4" t="str">
        <f t="shared" si="14"/>
        <v>토</v>
      </c>
      <c r="M272" s="2" t="str">
        <f>VLOOKUP($C272, 고객정보!$A$2:$E$151, 2, FALSE)</f>
        <v>부산</v>
      </c>
      <c r="N272" t="str">
        <f>VLOOKUP(C272,고객정보!$A$2:$D$151,4,FALSE)</f>
        <v>L3</v>
      </c>
      <c r="O272" t="str">
        <f>VLOOKUP($C272, 고객정보!$A$2:$E$151, 5, FALSE)</f>
        <v>20대</v>
      </c>
      <c r="P272" t="str">
        <f>VLOOKUP(D272,상품정보!$A$2:$E$61,2,FALSE)</f>
        <v>귀걸이</v>
      </c>
      <c r="Q272" t="str">
        <f>VLOOKUP(D272,상품정보!$A$2:$D$151,3,FALSE)</f>
        <v>액세서리</v>
      </c>
      <c r="R272" t="str">
        <f>VLOOKUP(D272,상품정보!$A$2:$D$151,4,FALSE)</f>
        <v>브랜드B</v>
      </c>
    </row>
    <row r="273" spans="1:18" x14ac:dyDescent="0.45">
      <c r="A273" t="s">
        <v>208</v>
      </c>
      <c r="B273" t="s">
        <v>672</v>
      </c>
      <c r="C273" t="s">
        <v>2524</v>
      </c>
      <c r="D273" t="s">
        <v>2596</v>
      </c>
      <c r="E273">
        <v>2</v>
      </c>
      <c r="F273">
        <v>59700</v>
      </c>
      <c r="G273">
        <v>1000</v>
      </c>
      <c r="H273">
        <v>3900</v>
      </c>
      <c r="I273" t="s">
        <v>2611</v>
      </c>
      <c r="J273" s="4">
        <f t="shared" si="12"/>
        <v>116500</v>
      </c>
      <c r="K273" s="4" t="str">
        <f t="shared" si="13"/>
        <v>2024-09</v>
      </c>
      <c r="L273" s="4" t="str">
        <f t="shared" si="14"/>
        <v>일</v>
      </c>
      <c r="M273" s="2" t="str">
        <f>VLOOKUP($C273, 고객정보!$A$2:$E$151, 2, FALSE)</f>
        <v>서울</v>
      </c>
      <c r="N273" t="str">
        <f>VLOOKUP(C273,고객정보!$A$2:$D$151,4,FALSE)</f>
        <v>L5</v>
      </c>
      <c r="O273" t="str">
        <f>VLOOKUP($C273, 고객정보!$A$2:$E$151, 5, FALSE)</f>
        <v>10대</v>
      </c>
      <c r="P273" t="str">
        <f>VLOOKUP(D273,상품정보!$A$2:$E$61,2,FALSE)</f>
        <v>청바지</v>
      </c>
      <c r="Q273" t="str">
        <f>VLOOKUP(D273,상품정보!$A$2:$D$151,3,FALSE)</f>
        <v>의류</v>
      </c>
      <c r="R273" t="str">
        <f>VLOOKUP(D273,상품정보!$A$2:$D$151,4,FALSE)</f>
        <v>브랜드A</v>
      </c>
    </row>
    <row r="274" spans="1:18" x14ac:dyDescent="0.45">
      <c r="A274" t="s">
        <v>195</v>
      </c>
      <c r="B274" t="s">
        <v>673</v>
      </c>
      <c r="C274" t="s">
        <v>2415</v>
      </c>
      <c r="D274" t="s">
        <v>2598</v>
      </c>
      <c r="E274">
        <v>4</v>
      </c>
      <c r="F274">
        <v>77300</v>
      </c>
      <c r="G274">
        <v>0</v>
      </c>
      <c r="H274">
        <v>29300</v>
      </c>
      <c r="I274" t="s">
        <v>2612</v>
      </c>
      <c r="J274" s="4">
        <f t="shared" si="12"/>
        <v>279900</v>
      </c>
      <c r="K274" s="4" t="str">
        <f t="shared" si="13"/>
        <v>2024-11</v>
      </c>
      <c r="L274" s="4" t="str">
        <f t="shared" si="14"/>
        <v>토</v>
      </c>
      <c r="M274" s="2" t="str">
        <f>VLOOKUP($C274, 고객정보!$A$2:$E$151, 2, FALSE)</f>
        <v>광주</v>
      </c>
      <c r="N274" t="str">
        <f>VLOOKUP(C274,고객정보!$A$2:$D$151,4,FALSE)</f>
        <v>L3</v>
      </c>
      <c r="O274" t="str">
        <f>VLOOKUP($C274, 고객정보!$A$2:$E$151, 5, FALSE)</f>
        <v>30대</v>
      </c>
      <c r="P274" t="str">
        <f>VLOOKUP(D274,상품정보!$A$2:$E$61,2,FALSE)</f>
        <v>청바지</v>
      </c>
      <c r="Q274" t="str">
        <f>VLOOKUP(D274,상품정보!$A$2:$D$151,3,FALSE)</f>
        <v>의류</v>
      </c>
      <c r="R274" t="str">
        <f>VLOOKUP(D274,상품정보!$A$2:$D$151,4,FALSE)</f>
        <v>브랜드F</v>
      </c>
    </row>
    <row r="275" spans="1:18" x14ac:dyDescent="0.45">
      <c r="A275" t="s">
        <v>85</v>
      </c>
      <c r="B275" t="s">
        <v>674</v>
      </c>
      <c r="C275" t="s">
        <v>2459</v>
      </c>
      <c r="D275" t="s">
        <v>2557</v>
      </c>
      <c r="E275">
        <v>1</v>
      </c>
      <c r="F275">
        <v>77700</v>
      </c>
      <c r="G275">
        <v>0</v>
      </c>
      <c r="H275">
        <v>2700</v>
      </c>
      <c r="I275" t="s">
        <v>2613</v>
      </c>
      <c r="J275" s="4">
        <f t="shared" si="12"/>
        <v>75000</v>
      </c>
      <c r="K275" s="4" t="str">
        <f t="shared" si="13"/>
        <v>2024-04</v>
      </c>
      <c r="L275" s="4" t="str">
        <f t="shared" si="14"/>
        <v>일</v>
      </c>
      <c r="M275" s="2" t="str">
        <f>VLOOKUP($C275, 고객정보!$A$2:$E$151, 2, FALSE)</f>
        <v>광주</v>
      </c>
      <c r="N275" t="str">
        <f>VLOOKUP(C275,고객정보!$A$2:$D$151,4,FALSE)</f>
        <v>L4</v>
      </c>
      <c r="O275" t="str">
        <f>VLOOKUP($C275, 고객정보!$A$2:$E$151, 5, FALSE)</f>
        <v>50대 이상</v>
      </c>
      <c r="P275" t="str">
        <f>VLOOKUP(D275,상품정보!$A$2:$E$61,2,FALSE)</f>
        <v>귀걸이</v>
      </c>
      <c r="Q275" t="str">
        <f>VLOOKUP(D275,상품정보!$A$2:$D$151,3,FALSE)</f>
        <v>액세서리</v>
      </c>
      <c r="R275" t="str">
        <f>VLOOKUP(D275,상품정보!$A$2:$D$151,4,FALSE)</f>
        <v>브랜드B</v>
      </c>
    </row>
    <row r="276" spans="1:18" x14ac:dyDescent="0.45">
      <c r="A276" t="s">
        <v>193</v>
      </c>
      <c r="B276" t="s">
        <v>675</v>
      </c>
      <c r="C276" t="s">
        <v>2425</v>
      </c>
      <c r="D276" t="s">
        <v>2562</v>
      </c>
      <c r="E276">
        <v>2</v>
      </c>
      <c r="F276">
        <v>15600</v>
      </c>
      <c r="G276">
        <v>500</v>
      </c>
      <c r="H276">
        <v>0</v>
      </c>
      <c r="I276" t="s">
        <v>2652</v>
      </c>
      <c r="J276" s="4">
        <f t="shared" si="12"/>
        <v>31700</v>
      </c>
      <c r="K276" s="4" t="str">
        <f t="shared" si="13"/>
        <v>2024-05</v>
      </c>
      <c r="L276" s="4" t="str">
        <f t="shared" si="14"/>
        <v>월</v>
      </c>
      <c r="M276" s="2" t="str">
        <f>VLOOKUP($C276, 고객정보!$A$2:$E$151, 2, FALSE)</f>
        <v>서울</v>
      </c>
      <c r="N276" t="str">
        <f>VLOOKUP(C276,고객정보!$A$2:$D$151,4,FALSE)</f>
        <v>L4</v>
      </c>
      <c r="O276" t="str">
        <f>VLOOKUP($C276, 고객정보!$A$2:$E$151, 5, FALSE)</f>
        <v>30대</v>
      </c>
      <c r="P276" t="str">
        <f>VLOOKUP(D276,상품정보!$A$2:$E$61,2,FALSE)</f>
        <v>반팔 티셔츠</v>
      </c>
      <c r="Q276" t="str">
        <f>VLOOKUP(D276,상품정보!$A$2:$D$151,3,FALSE)</f>
        <v>의류</v>
      </c>
      <c r="R276" t="str">
        <f>VLOOKUP(D276,상품정보!$A$2:$D$151,4,FALSE)</f>
        <v>브랜드E</v>
      </c>
    </row>
    <row r="277" spans="1:18" x14ac:dyDescent="0.45">
      <c r="A277" t="s">
        <v>130</v>
      </c>
      <c r="B277" t="s">
        <v>676</v>
      </c>
      <c r="C277" t="s">
        <v>2470</v>
      </c>
      <c r="D277" t="s">
        <v>2584</v>
      </c>
      <c r="E277">
        <v>4</v>
      </c>
      <c r="F277">
        <v>59700</v>
      </c>
      <c r="G277">
        <v>2000</v>
      </c>
      <c r="H277">
        <v>0</v>
      </c>
      <c r="I277" t="s">
        <v>2652</v>
      </c>
      <c r="J277" s="4">
        <f t="shared" si="12"/>
        <v>240800</v>
      </c>
      <c r="K277" s="4" t="str">
        <f t="shared" si="13"/>
        <v>2024-03</v>
      </c>
      <c r="L277" s="4" t="str">
        <f t="shared" si="14"/>
        <v>일</v>
      </c>
      <c r="M277" s="2" t="str">
        <f>VLOOKUP($C277, 고객정보!$A$2:$E$151, 2, FALSE)</f>
        <v>대전</v>
      </c>
      <c r="N277" t="str">
        <f>VLOOKUP(C277,고객정보!$A$2:$D$151,4,FALSE)</f>
        <v>L5</v>
      </c>
      <c r="O277" t="str">
        <f>VLOOKUP($C277, 고객정보!$A$2:$E$151, 5, FALSE)</f>
        <v>20대</v>
      </c>
      <c r="P277" t="str">
        <f>VLOOKUP(D277,상품정보!$A$2:$E$61,2,FALSE)</f>
        <v>목걸이</v>
      </c>
      <c r="Q277" t="str">
        <f>VLOOKUP(D277,상품정보!$A$2:$D$151,3,FALSE)</f>
        <v>액세서리</v>
      </c>
      <c r="R277" t="str">
        <f>VLOOKUP(D277,상품정보!$A$2:$D$151,4,FALSE)</f>
        <v>브랜드B</v>
      </c>
    </row>
    <row r="278" spans="1:18" x14ac:dyDescent="0.45">
      <c r="A278" t="s">
        <v>51</v>
      </c>
      <c r="B278" t="s">
        <v>677</v>
      </c>
      <c r="C278" t="s">
        <v>2503</v>
      </c>
      <c r="D278" t="s">
        <v>2601</v>
      </c>
      <c r="E278">
        <v>5</v>
      </c>
      <c r="F278">
        <v>17000</v>
      </c>
      <c r="G278">
        <v>1000</v>
      </c>
      <c r="H278">
        <v>5800</v>
      </c>
      <c r="I278" t="s">
        <v>2613</v>
      </c>
      <c r="J278" s="4">
        <f t="shared" si="12"/>
        <v>80200</v>
      </c>
      <c r="K278" s="4" t="str">
        <f t="shared" si="13"/>
        <v>2024-05</v>
      </c>
      <c r="L278" s="4" t="str">
        <f t="shared" si="14"/>
        <v>목</v>
      </c>
      <c r="M278" s="2" t="str">
        <f>VLOOKUP($C278, 고객정보!$A$2:$E$151, 2, FALSE)</f>
        <v>대전</v>
      </c>
      <c r="N278" t="str">
        <f>VLOOKUP(C278,고객정보!$A$2:$D$151,4,FALSE)</f>
        <v>L3</v>
      </c>
      <c r="O278" t="str">
        <f>VLOOKUP($C278, 고객정보!$A$2:$E$151, 5, FALSE)</f>
        <v>40대</v>
      </c>
      <c r="P278" t="str">
        <f>VLOOKUP(D278,상품정보!$A$2:$E$61,2,FALSE)</f>
        <v>자켓</v>
      </c>
      <c r="Q278" t="str">
        <f>VLOOKUP(D278,상품정보!$A$2:$D$151,3,FALSE)</f>
        <v>의류</v>
      </c>
      <c r="R278" t="str">
        <f>VLOOKUP(D278,상품정보!$A$2:$D$151,4,FALSE)</f>
        <v>브랜드E</v>
      </c>
    </row>
    <row r="279" spans="1:18" x14ac:dyDescent="0.45">
      <c r="A279" t="s">
        <v>72</v>
      </c>
      <c r="B279" t="s">
        <v>678</v>
      </c>
      <c r="C279" t="s">
        <v>2432</v>
      </c>
      <c r="D279" t="s">
        <v>2600</v>
      </c>
      <c r="E279">
        <v>5</v>
      </c>
      <c r="F279">
        <v>10900</v>
      </c>
      <c r="G279">
        <v>0</v>
      </c>
      <c r="H279">
        <v>0</v>
      </c>
      <c r="I279" t="s">
        <v>2652</v>
      </c>
      <c r="J279" s="4">
        <f t="shared" si="12"/>
        <v>54500</v>
      </c>
      <c r="K279" s="4" t="str">
        <f t="shared" si="13"/>
        <v>2024-01</v>
      </c>
      <c r="L279" s="4" t="str">
        <f t="shared" si="14"/>
        <v>월</v>
      </c>
      <c r="M279" s="2" t="str">
        <f>VLOOKUP($C279, 고객정보!$A$2:$E$151, 2, FALSE)</f>
        <v>서울</v>
      </c>
      <c r="N279" t="str">
        <f>VLOOKUP(C279,고객정보!$A$2:$D$151,4,FALSE)</f>
        <v>L5</v>
      </c>
      <c r="O279" t="str">
        <f>VLOOKUP($C279, 고객정보!$A$2:$E$151, 5, FALSE)</f>
        <v>20대</v>
      </c>
      <c r="P279" t="str">
        <f>VLOOKUP(D279,상품정보!$A$2:$E$61,2,FALSE)</f>
        <v>셔츠</v>
      </c>
      <c r="Q279" t="str">
        <f>VLOOKUP(D279,상품정보!$A$2:$D$151,3,FALSE)</f>
        <v>의류</v>
      </c>
      <c r="R279" t="str">
        <f>VLOOKUP(D279,상품정보!$A$2:$D$151,4,FALSE)</f>
        <v>브랜드E</v>
      </c>
    </row>
    <row r="280" spans="1:18" x14ac:dyDescent="0.45">
      <c r="A280" t="s">
        <v>209</v>
      </c>
      <c r="B280" t="s">
        <v>679</v>
      </c>
      <c r="C280" t="s">
        <v>2472</v>
      </c>
      <c r="D280" t="s">
        <v>2592</v>
      </c>
      <c r="E280">
        <v>1</v>
      </c>
      <c r="F280">
        <v>72700</v>
      </c>
      <c r="G280">
        <v>500</v>
      </c>
      <c r="H280">
        <v>900</v>
      </c>
      <c r="I280" t="s">
        <v>2613</v>
      </c>
      <c r="J280" s="4">
        <f t="shared" si="12"/>
        <v>72300</v>
      </c>
      <c r="K280" s="4" t="str">
        <f t="shared" si="13"/>
        <v>2024-04</v>
      </c>
      <c r="L280" s="4" t="str">
        <f t="shared" si="14"/>
        <v>목</v>
      </c>
      <c r="M280" s="2" t="str">
        <f>VLOOKUP($C280, 고객정보!$A$2:$E$151, 2, FALSE)</f>
        <v>서울</v>
      </c>
      <c r="N280" t="str">
        <f>VLOOKUP(C280,고객정보!$A$2:$D$151,4,FALSE)</f>
        <v>L1</v>
      </c>
      <c r="O280" t="str">
        <f>VLOOKUP($C280, 고객정보!$A$2:$E$151, 5, FALSE)</f>
        <v>20대</v>
      </c>
      <c r="P280" t="str">
        <f>VLOOKUP(D280,상품정보!$A$2:$E$61,2,FALSE)</f>
        <v>귀걸이</v>
      </c>
      <c r="Q280" t="str">
        <f>VLOOKUP(D280,상품정보!$A$2:$D$151,3,FALSE)</f>
        <v>액세서리</v>
      </c>
      <c r="R280" t="str">
        <f>VLOOKUP(D280,상품정보!$A$2:$D$151,4,FALSE)</f>
        <v>브랜드A</v>
      </c>
    </row>
    <row r="281" spans="1:18" x14ac:dyDescent="0.45">
      <c r="A281" t="s">
        <v>160</v>
      </c>
      <c r="B281" t="s">
        <v>680</v>
      </c>
      <c r="C281" t="s">
        <v>2504</v>
      </c>
      <c r="D281" t="s">
        <v>2581</v>
      </c>
      <c r="E281">
        <v>1</v>
      </c>
      <c r="F281">
        <v>72900</v>
      </c>
      <c r="G281">
        <v>500</v>
      </c>
      <c r="H281">
        <v>200</v>
      </c>
      <c r="I281" t="s">
        <v>2613</v>
      </c>
      <c r="J281" s="4">
        <f t="shared" si="12"/>
        <v>73200</v>
      </c>
      <c r="K281" s="4" t="str">
        <f t="shared" si="13"/>
        <v>2024-11</v>
      </c>
      <c r="L281" s="4" t="str">
        <f t="shared" si="14"/>
        <v>수</v>
      </c>
      <c r="M281" s="2" t="str">
        <f>VLOOKUP($C281, 고객정보!$A$2:$E$151, 2, FALSE)</f>
        <v>서울</v>
      </c>
      <c r="N281" t="str">
        <f>VLOOKUP(C281,고객정보!$A$2:$D$151,4,FALSE)</f>
        <v>L1</v>
      </c>
      <c r="O281" t="str">
        <f>VLOOKUP($C281, 고객정보!$A$2:$E$151, 5, FALSE)</f>
        <v>40대</v>
      </c>
      <c r="P281" t="str">
        <f>VLOOKUP(D281,상품정보!$A$2:$E$61,2,FALSE)</f>
        <v>귀걸이</v>
      </c>
      <c r="Q281" t="str">
        <f>VLOOKUP(D281,상품정보!$A$2:$D$151,3,FALSE)</f>
        <v>액세서리</v>
      </c>
      <c r="R281" t="str">
        <f>VLOOKUP(D281,상품정보!$A$2:$D$151,4,FALSE)</f>
        <v>브랜드F</v>
      </c>
    </row>
    <row r="282" spans="1:18" x14ac:dyDescent="0.45">
      <c r="A282" t="s">
        <v>210</v>
      </c>
      <c r="B282" t="s">
        <v>681</v>
      </c>
      <c r="C282" t="s">
        <v>2477</v>
      </c>
      <c r="D282" t="s">
        <v>2583</v>
      </c>
      <c r="E282">
        <v>3</v>
      </c>
      <c r="F282">
        <v>6600</v>
      </c>
      <c r="G282">
        <v>500</v>
      </c>
      <c r="H282">
        <v>6300</v>
      </c>
      <c r="I282" t="s">
        <v>2613</v>
      </c>
      <c r="J282" s="4">
        <f t="shared" si="12"/>
        <v>14000</v>
      </c>
      <c r="K282" s="4" t="str">
        <f t="shared" si="13"/>
        <v>2024-09</v>
      </c>
      <c r="L282" s="4" t="str">
        <f t="shared" si="14"/>
        <v>화</v>
      </c>
      <c r="M282" s="2" t="str">
        <f>VLOOKUP($C282, 고객정보!$A$2:$E$151, 2, FALSE)</f>
        <v>부산</v>
      </c>
      <c r="N282" t="str">
        <f>VLOOKUP(C282,고객정보!$A$2:$D$151,4,FALSE)</f>
        <v>L4</v>
      </c>
      <c r="O282" t="str">
        <f>VLOOKUP($C282, 고객정보!$A$2:$E$151, 5, FALSE)</f>
        <v>20대</v>
      </c>
      <c r="P282" t="str">
        <f>VLOOKUP(D282,상품정보!$A$2:$E$61,2,FALSE)</f>
        <v>셔츠</v>
      </c>
      <c r="Q282" t="str">
        <f>VLOOKUP(D282,상품정보!$A$2:$D$151,3,FALSE)</f>
        <v>의류</v>
      </c>
      <c r="R282" t="str">
        <f>VLOOKUP(D282,상품정보!$A$2:$D$151,4,FALSE)</f>
        <v>브랜드E</v>
      </c>
    </row>
    <row r="283" spans="1:18" x14ac:dyDescent="0.45">
      <c r="A283" t="s">
        <v>211</v>
      </c>
      <c r="B283" t="s">
        <v>682</v>
      </c>
      <c r="C283" t="s">
        <v>2423</v>
      </c>
      <c r="D283" t="s">
        <v>2592</v>
      </c>
      <c r="E283">
        <v>4</v>
      </c>
      <c r="F283">
        <v>72700</v>
      </c>
      <c r="G283">
        <v>500</v>
      </c>
      <c r="H283">
        <v>0</v>
      </c>
      <c r="I283" t="s">
        <v>2652</v>
      </c>
      <c r="J283" s="4">
        <f t="shared" si="12"/>
        <v>291300</v>
      </c>
      <c r="K283" s="4" t="str">
        <f t="shared" si="13"/>
        <v>2024-08</v>
      </c>
      <c r="L283" s="4" t="str">
        <f t="shared" si="14"/>
        <v>목</v>
      </c>
      <c r="M283" s="2" t="str">
        <f>VLOOKUP($C283, 고객정보!$A$2:$E$151, 2, FALSE)</f>
        <v>수원</v>
      </c>
      <c r="N283" t="str">
        <f>VLOOKUP(C283,고객정보!$A$2:$D$151,4,FALSE)</f>
        <v>L5</v>
      </c>
      <c r="O283" t="str">
        <f>VLOOKUP($C283, 고객정보!$A$2:$E$151, 5, FALSE)</f>
        <v>30대</v>
      </c>
      <c r="P283" t="str">
        <f>VLOOKUP(D283,상품정보!$A$2:$E$61,2,FALSE)</f>
        <v>귀걸이</v>
      </c>
      <c r="Q283" t="str">
        <f>VLOOKUP(D283,상품정보!$A$2:$D$151,3,FALSE)</f>
        <v>액세서리</v>
      </c>
      <c r="R283" t="str">
        <f>VLOOKUP(D283,상품정보!$A$2:$D$151,4,FALSE)</f>
        <v>브랜드A</v>
      </c>
    </row>
    <row r="284" spans="1:18" x14ac:dyDescent="0.45">
      <c r="A284" t="s">
        <v>212</v>
      </c>
      <c r="B284" t="s">
        <v>683</v>
      </c>
      <c r="C284" t="s">
        <v>2422</v>
      </c>
      <c r="D284" t="s">
        <v>2581</v>
      </c>
      <c r="E284">
        <v>5</v>
      </c>
      <c r="F284">
        <v>72900</v>
      </c>
      <c r="G284">
        <v>500</v>
      </c>
      <c r="H284">
        <v>0</v>
      </c>
      <c r="I284" t="s">
        <v>2652</v>
      </c>
      <c r="J284" s="4">
        <f t="shared" si="12"/>
        <v>365000</v>
      </c>
      <c r="K284" s="4" t="str">
        <f t="shared" si="13"/>
        <v>2024-03</v>
      </c>
      <c r="L284" s="4" t="str">
        <f t="shared" si="14"/>
        <v>금</v>
      </c>
      <c r="M284" s="2" t="str">
        <f>VLOOKUP($C284, 고객정보!$A$2:$E$151, 2, FALSE)</f>
        <v>광주</v>
      </c>
      <c r="N284" t="str">
        <f>VLOOKUP(C284,고객정보!$A$2:$D$151,4,FALSE)</f>
        <v>L5</v>
      </c>
      <c r="O284" t="str">
        <f>VLOOKUP($C284, 고객정보!$A$2:$E$151, 5, FALSE)</f>
        <v>30대</v>
      </c>
      <c r="P284" t="str">
        <f>VLOOKUP(D284,상품정보!$A$2:$E$61,2,FALSE)</f>
        <v>귀걸이</v>
      </c>
      <c r="Q284" t="str">
        <f>VLOOKUP(D284,상품정보!$A$2:$D$151,3,FALSE)</f>
        <v>액세서리</v>
      </c>
      <c r="R284" t="str">
        <f>VLOOKUP(D284,상품정보!$A$2:$D$151,4,FALSE)</f>
        <v>브랜드F</v>
      </c>
    </row>
    <row r="285" spans="1:18" x14ac:dyDescent="0.45">
      <c r="A285" t="s">
        <v>210</v>
      </c>
      <c r="B285" t="s">
        <v>684</v>
      </c>
      <c r="C285" t="s">
        <v>2496</v>
      </c>
      <c r="D285" t="s">
        <v>2555</v>
      </c>
      <c r="E285">
        <v>5</v>
      </c>
      <c r="F285">
        <v>8300</v>
      </c>
      <c r="G285">
        <v>1000</v>
      </c>
      <c r="H285">
        <v>0</v>
      </c>
      <c r="I285" t="s">
        <v>2652</v>
      </c>
      <c r="J285" s="4">
        <f t="shared" si="12"/>
        <v>42500</v>
      </c>
      <c r="K285" s="4" t="str">
        <f t="shared" si="13"/>
        <v>2024-09</v>
      </c>
      <c r="L285" s="4" t="str">
        <f t="shared" si="14"/>
        <v>화</v>
      </c>
      <c r="M285" s="2" t="str">
        <f>VLOOKUP($C285, 고객정보!$A$2:$E$151, 2, FALSE)</f>
        <v>서울</v>
      </c>
      <c r="N285" t="str">
        <f>VLOOKUP(C285,고객정보!$A$2:$D$151,4,FALSE)</f>
        <v>L3</v>
      </c>
      <c r="O285" t="str">
        <f>VLOOKUP($C285, 고객정보!$A$2:$E$151, 5, FALSE)</f>
        <v>50대 이상</v>
      </c>
      <c r="P285" t="str">
        <f>VLOOKUP(D285,상품정보!$A$2:$E$61,2,FALSE)</f>
        <v>청바지</v>
      </c>
      <c r="Q285" t="str">
        <f>VLOOKUP(D285,상품정보!$A$2:$D$151,3,FALSE)</f>
        <v>의류</v>
      </c>
      <c r="R285" t="str">
        <f>VLOOKUP(D285,상품정보!$A$2:$D$151,4,FALSE)</f>
        <v>브랜드E</v>
      </c>
    </row>
    <row r="286" spans="1:18" x14ac:dyDescent="0.45">
      <c r="A286" t="s">
        <v>92</v>
      </c>
      <c r="B286" t="s">
        <v>685</v>
      </c>
      <c r="C286" t="s">
        <v>2525</v>
      </c>
      <c r="D286" t="s">
        <v>2576</v>
      </c>
      <c r="E286">
        <v>1</v>
      </c>
      <c r="F286">
        <v>8800</v>
      </c>
      <c r="G286">
        <v>0</v>
      </c>
      <c r="H286">
        <v>0</v>
      </c>
      <c r="I286" t="s">
        <v>2652</v>
      </c>
      <c r="J286" s="4">
        <f t="shared" si="12"/>
        <v>8800</v>
      </c>
      <c r="K286" s="4" t="str">
        <f t="shared" si="13"/>
        <v>2024-05</v>
      </c>
      <c r="L286" s="4" t="str">
        <f t="shared" si="14"/>
        <v>화</v>
      </c>
      <c r="M286" s="2" t="str">
        <f>VLOOKUP($C286, 고객정보!$A$2:$E$151, 2, FALSE)</f>
        <v>수원</v>
      </c>
      <c r="N286" t="str">
        <f>VLOOKUP(C286,고객정보!$A$2:$D$151,4,FALSE)</f>
        <v>L4</v>
      </c>
      <c r="O286" t="str">
        <f>VLOOKUP($C286, 고객정보!$A$2:$E$151, 5, FALSE)</f>
        <v>20대</v>
      </c>
      <c r="P286" t="str">
        <f>VLOOKUP(D286,상품정보!$A$2:$E$61,2,FALSE)</f>
        <v>핸드폰케이스</v>
      </c>
      <c r="Q286" t="str">
        <f>VLOOKUP(D286,상품정보!$A$2:$D$151,3,FALSE)</f>
        <v>액세서리</v>
      </c>
      <c r="R286" t="str">
        <f>VLOOKUP(D286,상품정보!$A$2:$D$151,4,FALSE)</f>
        <v>브랜드D</v>
      </c>
    </row>
    <row r="287" spans="1:18" x14ac:dyDescent="0.45">
      <c r="A287" t="s">
        <v>197</v>
      </c>
      <c r="B287" t="s">
        <v>686</v>
      </c>
      <c r="C287" t="s">
        <v>2515</v>
      </c>
      <c r="D287" t="s">
        <v>2558</v>
      </c>
      <c r="E287">
        <v>5</v>
      </c>
      <c r="F287">
        <v>63700</v>
      </c>
      <c r="G287">
        <v>0</v>
      </c>
      <c r="H287">
        <v>0</v>
      </c>
      <c r="I287" t="s">
        <v>2652</v>
      </c>
      <c r="J287" s="4">
        <f t="shared" si="12"/>
        <v>318500</v>
      </c>
      <c r="K287" s="4" t="str">
        <f t="shared" si="13"/>
        <v>2024-05</v>
      </c>
      <c r="L287" s="4" t="str">
        <f t="shared" si="14"/>
        <v>목</v>
      </c>
      <c r="M287" s="2" t="str">
        <f>VLOOKUP($C287, 고객정보!$A$2:$E$151, 2, FALSE)</f>
        <v>부산</v>
      </c>
      <c r="N287" t="str">
        <f>VLOOKUP(C287,고객정보!$A$2:$D$151,4,FALSE)</f>
        <v>L5</v>
      </c>
      <c r="O287" t="str">
        <f>VLOOKUP($C287, 고객정보!$A$2:$E$151, 5, FALSE)</f>
        <v>40대</v>
      </c>
      <c r="P287" t="str">
        <f>VLOOKUP(D287,상품정보!$A$2:$E$61,2,FALSE)</f>
        <v>셔츠</v>
      </c>
      <c r="Q287" t="str">
        <f>VLOOKUP(D287,상품정보!$A$2:$D$151,3,FALSE)</f>
        <v>의류</v>
      </c>
      <c r="R287" t="str">
        <f>VLOOKUP(D287,상품정보!$A$2:$D$151,4,FALSE)</f>
        <v>브랜드A</v>
      </c>
    </row>
    <row r="288" spans="1:18" x14ac:dyDescent="0.45">
      <c r="A288" t="s">
        <v>201</v>
      </c>
      <c r="B288" t="s">
        <v>687</v>
      </c>
      <c r="C288" t="s">
        <v>2490</v>
      </c>
      <c r="D288" t="s">
        <v>2595</v>
      </c>
      <c r="E288">
        <v>3</v>
      </c>
      <c r="F288">
        <v>12700</v>
      </c>
      <c r="G288">
        <v>0</v>
      </c>
      <c r="H288">
        <v>0</v>
      </c>
      <c r="I288" t="s">
        <v>2652</v>
      </c>
      <c r="J288" s="4">
        <f t="shared" si="12"/>
        <v>38100</v>
      </c>
      <c r="K288" s="4" t="str">
        <f t="shared" si="13"/>
        <v>2024-10</v>
      </c>
      <c r="L288" s="4" t="str">
        <f t="shared" si="14"/>
        <v>일</v>
      </c>
      <c r="M288" s="2" t="str">
        <f>VLOOKUP($C288, 고객정보!$A$2:$E$151, 2, FALSE)</f>
        <v>부산</v>
      </c>
      <c r="N288" t="str">
        <f>VLOOKUP(C288,고객정보!$A$2:$D$151,4,FALSE)</f>
        <v>L3</v>
      </c>
      <c r="O288" t="str">
        <f>VLOOKUP($C288, 고객정보!$A$2:$E$151, 5, FALSE)</f>
        <v>20대</v>
      </c>
      <c r="P288" t="str">
        <f>VLOOKUP(D288,상품정보!$A$2:$E$61,2,FALSE)</f>
        <v>반지</v>
      </c>
      <c r="Q288" t="str">
        <f>VLOOKUP(D288,상품정보!$A$2:$D$151,3,FALSE)</f>
        <v>액세서리</v>
      </c>
      <c r="R288" t="str">
        <f>VLOOKUP(D288,상품정보!$A$2:$D$151,4,FALSE)</f>
        <v>브랜드C</v>
      </c>
    </row>
    <row r="289" spans="1:18" x14ac:dyDescent="0.45">
      <c r="A289" t="s">
        <v>213</v>
      </c>
      <c r="B289" t="s">
        <v>688</v>
      </c>
      <c r="C289" t="s">
        <v>2465</v>
      </c>
      <c r="D289" t="s">
        <v>2567</v>
      </c>
      <c r="E289">
        <v>4</v>
      </c>
      <c r="F289">
        <v>58600</v>
      </c>
      <c r="G289">
        <v>1500</v>
      </c>
      <c r="H289">
        <v>0</v>
      </c>
      <c r="I289" t="s">
        <v>2652</v>
      </c>
      <c r="J289" s="4">
        <f t="shared" si="12"/>
        <v>235900</v>
      </c>
      <c r="K289" s="4" t="str">
        <f t="shared" si="13"/>
        <v>2024-03</v>
      </c>
      <c r="L289" s="4" t="str">
        <f t="shared" si="14"/>
        <v>일</v>
      </c>
      <c r="M289" s="2" t="str">
        <f>VLOOKUP($C289, 고객정보!$A$2:$E$151, 2, FALSE)</f>
        <v>서울</v>
      </c>
      <c r="N289" t="str">
        <f>VLOOKUP(C289,고객정보!$A$2:$D$151,4,FALSE)</f>
        <v>L1</v>
      </c>
      <c r="O289" t="str">
        <f>VLOOKUP($C289, 고객정보!$A$2:$E$151, 5, FALSE)</f>
        <v>20대</v>
      </c>
      <c r="P289" t="str">
        <f>VLOOKUP(D289,상품정보!$A$2:$E$61,2,FALSE)</f>
        <v>귀걸이</v>
      </c>
      <c r="Q289" t="str">
        <f>VLOOKUP(D289,상품정보!$A$2:$D$151,3,FALSE)</f>
        <v>액세서리</v>
      </c>
      <c r="R289" t="str">
        <f>VLOOKUP(D289,상품정보!$A$2:$D$151,4,FALSE)</f>
        <v>브랜드B</v>
      </c>
    </row>
    <row r="290" spans="1:18" x14ac:dyDescent="0.45">
      <c r="A290" t="s">
        <v>176</v>
      </c>
      <c r="B290" t="s">
        <v>689</v>
      </c>
      <c r="C290" t="s">
        <v>2457</v>
      </c>
      <c r="D290" t="s">
        <v>2561</v>
      </c>
      <c r="E290">
        <v>4</v>
      </c>
      <c r="F290">
        <v>63300</v>
      </c>
      <c r="G290">
        <v>1000</v>
      </c>
      <c r="H290">
        <v>0</v>
      </c>
      <c r="I290" t="s">
        <v>2652</v>
      </c>
      <c r="J290" s="4">
        <f t="shared" si="12"/>
        <v>254200</v>
      </c>
      <c r="K290" s="4" t="str">
        <f t="shared" si="13"/>
        <v>2024-06</v>
      </c>
      <c r="L290" s="4" t="str">
        <f t="shared" si="14"/>
        <v>화</v>
      </c>
      <c r="M290" s="2" t="str">
        <f>VLOOKUP($C290, 고객정보!$A$2:$E$151, 2, FALSE)</f>
        <v>인천</v>
      </c>
      <c r="N290" t="str">
        <f>VLOOKUP(C290,고객정보!$A$2:$D$151,4,FALSE)</f>
        <v>L4</v>
      </c>
      <c r="O290" t="str">
        <f>VLOOKUP($C290, 고객정보!$A$2:$E$151, 5, FALSE)</f>
        <v>50대 이상</v>
      </c>
      <c r="P290" t="str">
        <f>VLOOKUP(D290,상품정보!$A$2:$E$61,2,FALSE)</f>
        <v>귀걸이</v>
      </c>
      <c r="Q290" t="str">
        <f>VLOOKUP(D290,상품정보!$A$2:$D$151,3,FALSE)</f>
        <v>액세서리</v>
      </c>
      <c r="R290" t="str">
        <f>VLOOKUP(D290,상품정보!$A$2:$D$151,4,FALSE)</f>
        <v>브랜드B</v>
      </c>
    </row>
    <row r="291" spans="1:18" x14ac:dyDescent="0.45">
      <c r="A291" t="s">
        <v>20</v>
      </c>
      <c r="B291" t="s">
        <v>690</v>
      </c>
      <c r="C291" t="s">
        <v>2526</v>
      </c>
      <c r="D291" t="s">
        <v>2562</v>
      </c>
      <c r="E291">
        <v>5</v>
      </c>
      <c r="F291">
        <v>15600</v>
      </c>
      <c r="G291">
        <v>0</v>
      </c>
      <c r="H291">
        <v>0</v>
      </c>
      <c r="I291" t="s">
        <v>2652</v>
      </c>
      <c r="J291" s="4">
        <f t="shared" si="12"/>
        <v>78000</v>
      </c>
      <c r="K291" s="4" t="str">
        <f t="shared" si="13"/>
        <v>2024-07</v>
      </c>
      <c r="L291" s="4" t="str">
        <f t="shared" si="14"/>
        <v>금</v>
      </c>
      <c r="M291" s="2" t="str">
        <f>VLOOKUP($C291, 고객정보!$A$2:$E$151, 2, FALSE)</f>
        <v>부산</v>
      </c>
      <c r="N291" t="str">
        <f>VLOOKUP(C291,고객정보!$A$2:$D$151,4,FALSE)</f>
        <v>L3</v>
      </c>
      <c r="O291" t="str">
        <f>VLOOKUP($C291, 고객정보!$A$2:$E$151, 5, FALSE)</f>
        <v>10대</v>
      </c>
      <c r="P291" t="str">
        <f>VLOOKUP(D291,상품정보!$A$2:$E$61,2,FALSE)</f>
        <v>반팔 티셔츠</v>
      </c>
      <c r="Q291" t="str">
        <f>VLOOKUP(D291,상품정보!$A$2:$D$151,3,FALSE)</f>
        <v>의류</v>
      </c>
      <c r="R291" t="str">
        <f>VLOOKUP(D291,상품정보!$A$2:$D$151,4,FALSE)</f>
        <v>브랜드E</v>
      </c>
    </row>
    <row r="292" spans="1:18" x14ac:dyDescent="0.45">
      <c r="A292" t="s">
        <v>214</v>
      </c>
      <c r="B292" t="s">
        <v>691</v>
      </c>
      <c r="C292" t="s">
        <v>2462</v>
      </c>
      <c r="D292" t="s">
        <v>2568</v>
      </c>
      <c r="E292">
        <v>3</v>
      </c>
      <c r="F292">
        <v>16800</v>
      </c>
      <c r="G292">
        <v>1500</v>
      </c>
      <c r="H292">
        <v>0</v>
      </c>
      <c r="I292" t="s">
        <v>2652</v>
      </c>
      <c r="J292" s="4">
        <f t="shared" si="12"/>
        <v>51900</v>
      </c>
      <c r="K292" s="4" t="str">
        <f t="shared" si="13"/>
        <v>2024-04</v>
      </c>
      <c r="L292" s="4" t="str">
        <f t="shared" si="14"/>
        <v>토</v>
      </c>
      <c r="M292" s="2" t="str">
        <f>VLOOKUP($C292, 고객정보!$A$2:$E$151, 2, FALSE)</f>
        <v>광주</v>
      </c>
      <c r="N292" t="str">
        <f>VLOOKUP(C292,고객정보!$A$2:$D$151,4,FALSE)</f>
        <v>L5</v>
      </c>
      <c r="O292" t="str">
        <f>VLOOKUP($C292, 고객정보!$A$2:$E$151, 5, FALSE)</f>
        <v>50대 이상</v>
      </c>
      <c r="P292" t="str">
        <f>VLOOKUP(D292,상품정보!$A$2:$E$61,2,FALSE)</f>
        <v>청바지</v>
      </c>
      <c r="Q292" t="str">
        <f>VLOOKUP(D292,상품정보!$A$2:$D$151,3,FALSE)</f>
        <v>의류</v>
      </c>
      <c r="R292" t="str">
        <f>VLOOKUP(D292,상품정보!$A$2:$D$151,4,FALSE)</f>
        <v>브랜드C</v>
      </c>
    </row>
    <row r="293" spans="1:18" x14ac:dyDescent="0.45">
      <c r="A293" t="s">
        <v>215</v>
      </c>
      <c r="B293" t="s">
        <v>692</v>
      </c>
      <c r="C293" t="s">
        <v>2509</v>
      </c>
      <c r="D293" t="s">
        <v>2563</v>
      </c>
      <c r="E293">
        <v>4</v>
      </c>
      <c r="F293">
        <v>6900</v>
      </c>
      <c r="G293">
        <v>1500</v>
      </c>
      <c r="H293">
        <v>0</v>
      </c>
      <c r="I293" t="s">
        <v>2652</v>
      </c>
      <c r="J293" s="4">
        <f t="shared" si="12"/>
        <v>29100</v>
      </c>
      <c r="K293" s="4" t="str">
        <f t="shared" si="13"/>
        <v>2024-04</v>
      </c>
      <c r="L293" s="4" t="str">
        <f t="shared" si="14"/>
        <v>월</v>
      </c>
      <c r="M293" s="2" t="str">
        <f>VLOOKUP($C293, 고객정보!$A$2:$E$151, 2, FALSE)</f>
        <v>서울</v>
      </c>
      <c r="N293" t="str">
        <f>VLOOKUP(C293,고객정보!$A$2:$D$151,4,FALSE)</f>
        <v>L4</v>
      </c>
      <c r="O293" t="str">
        <f>VLOOKUP($C293, 고객정보!$A$2:$E$151, 5, FALSE)</f>
        <v>40대</v>
      </c>
      <c r="P293" t="str">
        <f>VLOOKUP(D293,상품정보!$A$2:$E$61,2,FALSE)</f>
        <v>귀걸이</v>
      </c>
      <c r="Q293" t="str">
        <f>VLOOKUP(D293,상품정보!$A$2:$D$151,3,FALSE)</f>
        <v>액세서리</v>
      </c>
      <c r="R293" t="str">
        <f>VLOOKUP(D293,상품정보!$A$2:$D$151,4,FALSE)</f>
        <v>브랜드D</v>
      </c>
    </row>
    <row r="294" spans="1:18" x14ac:dyDescent="0.45">
      <c r="A294" t="s">
        <v>216</v>
      </c>
      <c r="B294" t="s">
        <v>693</v>
      </c>
      <c r="C294" t="s">
        <v>2524</v>
      </c>
      <c r="D294" t="s">
        <v>2564</v>
      </c>
      <c r="E294">
        <v>3</v>
      </c>
      <c r="F294">
        <v>66600</v>
      </c>
      <c r="G294">
        <v>1500</v>
      </c>
      <c r="H294">
        <v>6200</v>
      </c>
      <c r="I294" t="s">
        <v>2612</v>
      </c>
      <c r="J294" s="4">
        <f t="shared" si="12"/>
        <v>195100</v>
      </c>
      <c r="K294" s="4" t="str">
        <f t="shared" si="13"/>
        <v>2025-01</v>
      </c>
      <c r="L294" s="4" t="str">
        <f t="shared" si="14"/>
        <v>목</v>
      </c>
      <c r="M294" s="2" t="str">
        <f>VLOOKUP($C294, 고객정보!$A$2:$E$151, 2, FALSE)</f>
        <v>서울</v>
      </c>
      <c r="N294" t="str">
        <f>VLOOKUP(C294,고객정보!$A$2:$D$151,4,FALSE)</f>
        <v>L5</v>
      </c>
      <c r="O294" t="str">
        <f>VLOOKUP($C294, 고객정보!$A$2:$E$151, 5, FALSE)</f>
        <v>10대</v>
      </c>
      <c r="P294" t="str">
        <f>VLOOKUP(D294,상품정보!$A$2:$E$61,2,FALSE)</f>
        <v>청바지</v>
      </c>
      <c r="Q294" t="str">
        <f>VLOOKUP(D294,상품정보!$A$2:$D$151,3,FALSE)</f>
        <v>의류</v>
      </c>
      <c r="R294" t="str">
        <f>VLOOKUP(D294,상품정보!$A$2:$D$151,4,FALSE)</f>
        <v>브랜드B</v>
      </c>
    </row>
    <row r="295" spans="1:18" x14ac:dyDescent="0.45">
      <c r="A295" t="s">
        <v>217</v>
      </c>
      <c r="B295" t="s">
        <v>694</v>
      </c>
      <c r="C295" t="s">
        <v>2446</v>
      </c>
      <c r="D295" t="s">
        <v>2588</v>
      </c>
      <c r="E295">
        <v>4</v>
      </c>
      <c r="F295">
        <v>7700</v>
      </c>
      <c r="G295">
        <v>500</v>
      </c>
      <c r="H295">
        <v>0</v>
      </c>
      <c r="I295" t="s">
        <v>2652</v>
      </c>
      <c r="J295" s="4">
        <f t="shared" si="12"/>
        <v>31300</v>
      </c>
      <c r="K295" s="4" t="str">
        <f t="shared" si="13"/>
        <v>2024-07</v>
      </c>
      <c r="L295" s="4" t="str">
        <f t="shared" si="14"/>
        <v>화</v>
      </c>
      <c r="M295" s="2" t="str">
        <f>VLOOKUP($C295, 고객정보!$A$2:$E$151, 2, FALSE)</f>
        <v>대전</v>
      </c>
      <c r="N295" t="str">
        <f>VLOOKUP(C295,고객정보!$A$2:$D$151,4,FALSE)</f>
        <v>L2</v>
      </c>
      <c r="O295" t="str">
        <f>VLOOKUP($C295, 고객정보!$A$2:$E$151, 5, FALSE)</f>
        <v>50대 이상</v>
      </c>
      <c r="P295" t="str">
        <f>VLOOKUP(D295,상품정보!$A$2:$E$61,2,FALSE)</f>
        <v>귀걸이</v>
      </c>
      <c r="Q295" t="str">
        <f>VLOOKUP(D295,상품정보!$A$2:$D$151,3,FALSE)</f>
        <v>액세서리</v>
      </c>
      <c r="R295" t="str">
        <f>VLOOKUP(D295,상품정보!$A$2:$D$151,4,FALSE)</f>
        <v>브랜드D</v>
      </c>
    </row>
    <row r="296" spans="1:18" x14ac:dyDescent="0.45">
      <c r="A296" t="s">
        <v>218</v>
      </c>
      <c r="B296" t="s">
        <v>695</v>
      </c>
      <c r="C296" t="s">
        <v>2474</v>
      </c>
      <c r="D296" t="s">
        <v>2583</v>
      </c>
      <c r="E296">
        <v>1</v>
      </c>
      <c r="F296">
        <v>6600</v>
      </c>
      <c r="G296">
        <v>0</v>
      </c>
      <c r="H296">
        <v>0</v>
      </c>
      <c r="I296" t="s">
        <v>2652</v>
      </c>
      <c r="J296" s="4">
        <f t="shared" si="12"/>
        <v>6600</v>
      </c>
      <c r="K296" s="4" t="str">
        <f t="shared" si="13"/>
        <v>2024-03</v>
      </c>
      <c r="L296" s="4" t="str">
        <f t="shared" si="14"/>
        <v>화</v>
      </c>
      <c r="M296" s="2" t="str">
        <f>VLOOKUP($C296, 고객정보!$A$2:$E$151, 2, FALSE)</f>
        <v>인천</v>
      </c>
      <c r="N296" t="str">
        <f>VLOOKUP(C296,고객정보!$A$2:$D$151,4,FALSE)</f>
        <v>L2</v>
      </c>
      <c r="O296" t="str">
        <f>VLOOKUP($C296, 고객정보!$A$2:$E$151, 5, FALSE)</f>
        <v>10대</v>
      </c>
      <c r="P296" t="str">
        <f>VLOOKUP(D296,상품정보!$A$2:$E$61,2,FALSE)</f>
        <v>셔츠</v>
      </c>
      <c r="Q296" t="str">
        <f>VLOOKUP(D296,상품정보!$A$2:$D$151,3,FALSE)</f>
        <v>의류</v>
      </c>
      <c r="R296" t="str">
        <f>VLOOKUP(D296,상품정보!$A$2:$D$151,4,FALSE)</f>
        <v>브랜드E</v>
      </c>
    </row>
    <row r="297" spans="1:18" x14ac:dyDescent="0.45">
      <c r="A297" t="s">
        <v>24</v>
      </c>
      <c r="B297" t="s">
        <v>696</v>
      </c>
      <c r="C297" t="s">
        <v>2519</v>
      </c>
      <c r="D297" t="s">
        <v>2589</v>
      </c>
      <c r="E297">
        <v>3</v>
      </c>
      <c r="F297">
        <v>71400</v>
      </c>
      <c r="G297">
        <v>0</v>
      </c>
      <c r="H297">
        <v>0</v>
      </c>
      <c r="I297" t="s">
        <v>2652</v>
      </c>
      <c r="J297" s="4">
        <f t="shared" si="12"/>
        <v>214200</v>
      </c>
      <c r="K297" s="4" t="str">
        <f t="shared" si="13"/>
        <v>2024-02</v>
      </c>
      <c r="L297" s="4" t="str">
        <f t="shared" si="14"/>
        <v>수</v>
      </c>
      <c r="M297" s="2" t="str">
        <f>VLOOKUP($C297, 고객정보!$A$2:$E$151, 2, FALSE)</f>
        <v>서울</v>
      </c>
      <c r="N297" t="str">
        <f>VLOOKUP(C297,고객정보!$A$2:$D$151,4,FALSE)</f>
        <v>L4</v>
      </c>
      <c r="O297" t="str">
        <f>VLOOKUP($C297, 고객정보!$A$2:$E$151, 5, FALSE)</f>
        <v>20대</v>
      </c>
      <c r="P297" t="str">
        <f>VLOOKUP(D297,상품정보!$A$2:$E$61,2,FALSE)</f>
        <v>셔츠</v>
      </c>
      <c r="Q297" t="str">
        <f>VLOOKUP(D297,상품정보!$A$2:$D$151,3,FALSE)</f>
        <v>의류</v>
      </c>
      <c r="R297" t="str">
        <f>VLOOKUP(D297,상품정보!$A$2:$D$151,4,FALSE)</f>
        <v>브랜드A</v>
      </c>
    </row>
    <row r="298" spans="1:18" x14ac:dyDescent="0.45">
      <c r="A298" t="s">
        <v>219</v>
      </c>
      <c r="B298" t="s">
        <v>697</v>
      </c>
      <c r="C298" t="s">
        <v>2470</v>
      </c>
      <c r="D298" t="s">
        <v>2591</v>
      </c>
      <c r="E298">
        <v>5</v>
      </c>
      <c r="F298">
        <v>69200</v>
      </c>
      <c r="G298">
        <v>1000</v>
      </c>
      <c r="H298">
        <v>4800</v>
      </c>
      <c r="I298" t="s">
        <v>2611</v>
      </c>
      <c r="J298" s="4">
        <f t="shared" si="12"/>
        <v>342200</v>
      </c>
      <c r="K298" s="4" t="str">
        <f t="shared" si="13"/>
        <v>2024-08</v>
      </c>
      <c r="L298" s="4" t="str">
        <f t="shared" si="14"/>
        <v>수</v>
      </c>
      <c r="M298" s="2" t="str">
        <f>VLOOKUP($C298, 고객정보!$A$2:$E$151, 2, FALSE)</f>
        <v>대전</v>
      </c>
      <c r="N298" t="str">
        <f>VLOOKUP(C298,고객정보!$A$2:$D$151,4,FALSE)</f>
        <v>L5</v>
      </c>
      <c r="O298" t="str">
        <f>VLOOKUP($C298, 고객정보!$A$2:$E$151, 5, FALSE)</f>
        <v>20대</v>
      </c>
      <c r="P298" t="str">
        <f>VLOOKUP(D298,상품정보!$A$2:$E$61,2,FALSE)</f>
        <v>셔츠</v>
      </c>
      <c r="Q298" t="str">
        <f>VLOOKUP(D298,상품정보!$A$2:$D$151,3,FALSE)</f>
        <v>의류</v>
      </c>
      <c r="R298" t="str">
        <f>VLOOKUP(D298,상품정보!$A$2:$D$151,4,FALSE)</f>
        <v>브랜드F</v>
      </c>
    </row>
    <row r="299" spans="1:18" x14ac:dyDescent="0.45">
      <c r="A299" t="s">
        <v>220</v>
      </c>
      <c r="B299" t="s">
        <v>698</v>
      </c>
      <c r="C299" t="s">
        <v>2514</v>
      </c>
      <c r="D299" t="s">
        <v>2586</v>
      </c>
      <c r="E299">
        <v>2</v>
      </c>
      <c r="F299">
        <v>73000</v>
      </c>
      <c r="G299">
        <v>1000</v>
      </c>
      <c r="H299">
        <v>0</v>
      </c>
      <c r="I299" t="s">
        <v>2652</v>
      </c>
      <c r="J299" s="4">
        <f t="shared" si="12"/>
        <v>147000</v>
      </c>
      <c r="K299" s="4" t="str">
        <f t="shared" si="13"/>
        <v>2024-07</v>
      </c>
      <c r="L299" s="4" t="str">
        <f t="shared" si="14"/>
        <v>일</v>
      </c>
      <c r="M299" s="2" t="str">
        <f>VLOOKUP($C299, 고객정보!$A$2:$E$151, 2, FALSE)</f>
        <v>대구</v>
      </c>
      <c r="N299" t="str">
        <f>VLOOKUP(C299,고객정보!$A$2:$D$151,4,FALSE)</f>
        <v>L1</v>
      </c>
      <c r="O299" t="str">
        <f>VLOOKUP($C299, 고객정보!$A$2:$E$151, 5, FALSE)</f>
        <v>20대</v>
      </c>
      <c r="P299" t="str">
        <f>VLOOKUP(D299,상품정보!$A$2:$E$61,2,FALSE)</f>
        <v>귀걸이</v>
      </c>
      <c r="Q299" t="str">
        <f>VLOOKUP(D299,상품정보!$A$2:$D$151,3,FALSE)</f>
        <v>액세서리</v>
      </c>
      <c r="R299" t="str">
        <f>VLOOKUP(D299,상품정보!$A$2:$D$151,4,FALSE)</f>
        <v>브랜드B</v>
      </c>
    </row>
    <row r="300" spans="1:18" x14ac:dyDescent="0.45">
      <c r="A300" t="s">
        <v>55</v>
      </c>
      <c r="B300" t="s">
        <v>699</v>
      </c>
      <c r="C300" t="s">
        <v>2477</v>
      </c>
      <c r="D300" t="s">
        <v>2571</v>
      </c>
      <c r="E300">
        <v>4</v>
      </c>
      <c r="F300">
        <v>55600</v>
      </c>
      <c r="G300">
        <v>1500</v>
      </c>
      <c r="H300">
        <v>0</v>
      </c>
      <c r="I300" t="s">
        <v>2652</v>
      </c>
      <c r="J300" s="4">
        <f t="shared" si="12"/>
        <v>223900</v>
      </c>
      <c r="K300" s="4" t="str">
        <f t="shared" si="13"/>
        <v>2024-05</v>
      </c>
      <c r="L300" s="4" t="str">
        <f t="shared" si="14"/>
        <v>수</v>
      </c>
      <c r="M300" s="2" t="str">
        <f>VLOOKUP($C300, 고객정보!$A$2:$E$151, 2, FALSE)</f>
        <v>부산</v>
      </c>
      <c r="N300" t="str">
        <f>VLOOKUP(C300,고객정보!$A$2:$D$151,4,FALSE)</f>
        <v>L4</v>
      </c>
      <c r="O300" t="str">
        <f>VLOOKUP($C300, 고객정보!$A$2:$E$151, 5, FALSE)</f>
        <v>20대</v>
      </c>
      <c r="P300" t="str">
        <f>VLOOKUP(D300,상품정보!$A$2:$E$61,2,FALSE)</f>
        <v>자켓</v>
      </c>
      <c r="Q300" t="str">
        <f>VLOOKUP(D300,상품정보!$A$2:$D$151,3,FALSE)</f>
        <v>의류</v>
      </c>
      <c r="R300" t="str">
        <f>VLOOKUP(D300,상품정보!$A$2:$D$151,4,FALSE)</f>
        <v>브랜드B</v>
      </c>
    </row>
    <row r="301" spans="1:18" x14ac:dyDescent="0.45">
      <c r="A301" t="s">
        <v>221</v>
      </c>
      <c r="B301" t="s">
        <v>700</v>
      </c>
      <c r="C301" t="s">
        <v>2450</v>
      </c>
      <c r="D301" t="s">
        <v>2598</v>
      </c>
      <c r="E301">
        <v>4</v>
      </c>
      <c r="F301">
        <v>77300</v>
      </c>
      <c r="G301">
        <v>0</v>
      </c>
      <c r="H301">
        <v>0</v>
      </c>
      <c r="I301" t="s">
        <v>2652</v>
      </c>
      <c r="J301" s="4">
        <f t="shared" si="12"/>
        <v>309200</v>
      </c>
      <c r="K301" s="4" t="str">
        <f t="shared" si="13"/>
        <v>2024-11</v>
      </c>
      <c r="L301" s="4" t="str">
        <f t="shared" si="14"/>
        <v>목</v>
      </c>
      <c r="M301" s="2" t="str">
        <f>VLOOKUP($C301, 고객정보!$A$2:$E$151, 2, FALSE)</f>
        <v>인천</v>
      </c>
      <c r="N301" t="str">
        <f>VLOOKUP(C301,고객정보!$A$2:$D$151,4,FALSE)</f>
        <v>L5</v>
      </c>
      <c r="O301" t="str">
        <f>VLOOKUP($C301, 고객정보!$A$2:$E$151, 5, FALSE)</f>
        <v>40대</v>
      </c>
      <c r="P301" t="str">
        <f>VLOOKUP(D301,상품정보!$A$2:$E$61,2,FALSE)</f>
        <v>청바지</v>
      </c>
      <c r="Q301" t="str">
        <f>VLOOKUP(D301,상품정보!$A$2:$D$151,3,FALSE)</f>
        <v>의류</v>
      </c>
      <c r="R301" t="str">
        <f>VLOOKUP(D301,상품정보!$A$2:$D$151,4,FALSE)</f>
        <v>브랜드F</v>
      </c>
    </row>
    <row r="302" spans="1:18" x14ac:dyDescent="0.45">
      <c r="A302" t="s">
        <v>81</v>
      </c>
      <c r="B302" t="s">
        <v>701</v>
      </c>
      <c r="C302" t="s">
        <v>2414</v>
      </c>
      <c r="D302" t="s">
        <v>2610</v>
      </c>
      <c r="E302">
        <v>3</v>
      </c>
      <c r="F302">
        <v>18800</v>
      </c>
      <c r="G302">
        <v>0</v>
      </c>
      <c r="H302">
        <v>0</v>
      </c>
      <c r="I302" t="s">
        <v>2652</v>
      </c>
      <c r="J302" s="4">
        <f t="shared" si="12"/>
        <v>56400</v>
      </c>
      <c r="K302" s="4" t="str">
        <f t="shared" si="13"/>
        <v>2024-12</v>
      </c>
      <c r="L302" s="4" t="str">
        <f t="shared" si="14"/>
        <v>수</v>
      </c>
      <c r="M302" s="2" t="str">
        <f>VLOOKUP($C302, 고객정보!$A$2:$E$151, 2, FALSE)</f>
        <v>대구</v>
      </c>
      <c r="N302" t="str">
        <f>VLOOKUP(C302,고객정보!$A$2:$D$151,4,FALSE)</f>
        <v>L3</v>
      </c>
      <c r="O302" t="str">
        <f>VLOOKUP($C302, 고객정보!$A$2:$E$151, 5, FALSE)</f>
        <v>30대</v>
      </c>
      <c r="P302" t="str">
        <f>VLOOKUP(D302,상품정보!$A$2:$E$61,2,FALSE)</f>
        <v>자켓</v>
      </c>
      <c r="Q302" t="str">
        <f>VLOOKUP(D302,상품정보!$A$2:$D$151,3,FALSE)</f>
        <v>의류</v>
      </c>
      <c r="R302" t="str">
        <f>VLOOKUP(D302,상품정보!$A$2:$D$151,4,FALSE)</f>
        <v>브랜드E</v>
      </c>
    </row>
    <row r="303" spans="1:18" x14ac:dyDescent="0.45">
      <c r="A303" t="s">
        <v>195</v>
      </c>
      <c r="B303" t="s">
        <v>702</v>
      </c>
      <c r="C303" t="s">
        <v>2445</v>
      </c>
      <c r="D303" t="s">
        <v>2559</v>
      </c>
      <c r="E303">
        <v>3</v>
      </c>
      <c r="F303">
        <v>5400</v>
      </c>
      <c r="G303">
        <v>0</v>
      </c>
      <c r="H303">
        <v>0</v>
      </c>
      <c r="I303" t="s">
        <v>2652</v>
      </c>
      <c r="J303" s="4">
        <f t="shared" si="12"/>
        <v>16200</v>
      </c>
      <c r="K303" s="4" t="str">
        <f t="shared" si="13"/>
        <v>2024-11</v>
      </c>
      <c r="L303" s="4" t="str">
        <f t="shared" si="14"/>
        <v>토</v>
      </c>
      <c r="M303" s="2" t="str">
        <f>VLOOKUP($C303, 고객정보!$A$2:$E$151, 2, FALSE)</f>
        <v>대구</v>
      </c>
      <c r="N303" t="str">
        <f>VLOOKUP(C303,고객정보!$A$2:$D$151,4,FALSE)</f>
        <v>L3</v>
      </c>
      <c r="O303" t="str">
        <f>VLOOKUP($C303, 고객정보!$A$2:$E$151, 5, FALSE)</f>
        <v>10대</v>
      </c>
      <c r="P303" t="str">
        <f>VLOOKUP(D303,상품정보!$A$2:$E$61,2,FALSE)</f>
        <v>반지</v>
      </c>
      <c r="Q303" t="str">
        <f>VLOOKUP(D303,상품정보!$A$2:$D$151,3,FALSE)</f>
        <v>액세서리</v>
      </c>
      <c r="R303" t="str">
        <f>VLOOKUP(D303,상품정보!$A$2:$D$151,4,FALSE)</f>
        <v>브랜드D</v>
      </c>
    </row>
    <row r="304" spans="1:18" x14ac:dyDescent="0.45">
      <c r="A304" t="s">
        <v>205</v>
      </c>
      <c r="B304" t="s">
        <v>703</v>
      </c>
      <c r="C304" t="s">
        <v>2452</v>
      </c>
      <c r="D304" t="s">
        <v>2576</v>
      </c>
      <c r="E304">
        <v>5</v>
      </c>
      <c r="F304">
        <v>8800</v>
      </c>
      <c r="G304">
        <v>0</v>
      </c>
      <c r="H304">
        <v>0</v>
      </c>
      <c r="I304" t="s">
        <v>2652</v>
      </c>
      <c r="J304" s="4">
        <f t="shared" si="12"/>
        <v>44000</v>
      </c>
      <c r="K304" s="4" t="str">
        <f t="shared" si="13"/>
        <v>2024-01</v>
      </c>
      <c r="L304" s="4" t="str">
        <f t="shared" si="14"/>
        <v>금</v>
      </c>
      <c r="M304" s="2" t="str">
        <f>VLOOKUP($C304, 고객정보!$A$2:$E$151, 2, FALSE)</f>
        <v>서울</v>
      </c>
      <c r="N304" t="str">
        <f>VLOOKUP(C304,고객정보!$A$2:$D$151,4,FALSE)</f>
        <v>L3</v>
      </c>
      <c r="O304" t="str">
        <f>VLOOKUP($C304, 고객정보!$A$2:$E$151, 5, FALSE)</f>
        <v>30대</v>
      </c>
      <c r="P304" t="str">
        <f>VLOOKUP(D304,상품정보!$A$2:$E$61,2,FALSE)</f>
        <v>핸드폰케이스</v>
      </c>
      <c r="Q304" t="str">
        <f>VLOOKUP(D304,상품정보!$A$2:$D$151,3,FALSE)</f>
        <v>액세서리</v>
      </c>
      <c r="R304" t="str">
        <f>VLOOKUP(D304,상품정보!$A$2:$D$151,4,FALSE)</f>
        <v>브랜드D</v>
      </c>
    </row>
    <row r="305" spans="1:18" x14ac:dyDescent="0.45">
      <c r="A305" t="s">
        <v>222</v>
      </c>
      <c r="B305" t="s">
        <v>704</v>
      </c>
      <c r="C305" t="s">
        <v>2416</v>
      </c>
      <c r="D305" t="s">
        <v>2585</v>
      </c>
      <c r="E305">
        <v>3</v>
      </c>
      <c r="F305">
        <v>14900</v>
      </c>
      <c r="G305">
        <v>1500</v>
      </c>
      <c r="H305">
        <v>0</v>
      </c>
      <c r="I305" t="s">
        <v>2652</v>
      </c>
      <c r="J305" s="4">
        <f t="shared" si="12"/>
        <v>46200</v>
      </c>
      <c r="K305" s="4" t="str">
        <f t="shared" si="13"/>
        <v>2024-04</v>
      </c>
      <c r="L305" s="4" t="str">
        <f t="shared" si="14"/>
        <v>금</v>
      </c>
      <c r="M305" s="2" t="str">
        <f>VLOOKUP($C305, 고객정보!$A$2:$E$151, 2, FALSE)</f>
        <v>대구</v>
      </c>
      <c r="N305" t="str">
        <f>VLOOKUP(C305,고객정보!$A$2:$D$151,4,FALSE)</f>
        <v>L3</v>
      </c>
      <c r="O305" t="str">
        <f>VLOOKUP($C305, 고객정보!$A$2:$E$151, 5, FALSE)</f>
        <v>40대</v>
      </c>
      <c r="P305" t="str">
        <f>VLOOKUP(D305,상품정보!$A$2:$E$61,2,FALSE)</f>
        <v>반팔 티셔츠</v>
      </c>
      <c r="Q305" t="str">
        <f>VLOOKUP(D305,상품정보!$A$2:$D$151,3,FALSE)</f>
        <v>의류</v>
      </c>
      <c r="R305" t="str">
        <f>VLOOKUP(D305,상품정보!$A$2:$D$151,4,FALSE)</f>
        <v>브랜드C</v>
      </c>
    </row>
    <row r="306" spans="1:18" x14ac:dyDescent="0.45">
      <c r="A306" t="s">
        <v>223</v>
      </c>
      <c r="B306" t="s">
        <v>705</v>
      </c>
      <c r="C306" t="s">
        <v>2411</v>
      </c>
      <c r="D306" t="s">
        <v>2609</v>
      </c>
      <c r="E306">
        <v>1</v>
      </c>
      <c r="F306">
        <v>58600</v>
      </c>
      <c r="G306">
        <v>500</v>
      </c>
      <c r="H306">
        <v>600</v>
      </c>
      <c r="I306" t="s">
        <v>2611</v>
      </c>
      <c r="J306" s="4">
        <f t="shared" si="12"/>
        <v>58500</v>
      </c>
      <c r="K306" s="4" t="str">
        <f t="shared" si="13"/>
        <v>2025-01</v>
      </c>
      <c r="L306" s="4" t="str">
        <f t="shared" si="14"/>
        <v>금</v>
      </c>
      <c r="M306" s="2" t="str">
        <f>VLOOKUP($C306, 고객정보!$A$2:$E$151, 2, FALSE)</f>
        <v>부산</v>
      </c>
      <c r="N306" t="str">
        <f>VLOOKUP(C306,고객정보!$A$2:$D$151,4,FALSE)</f>
        <v>L5</v>
      </c>
      <c r="O306" t="str">
        <f>VLOOKUP($C306, 고객정보!$A$2:$E$151, 5, FALSE)</f>
        <v>30대</v>
      </c>
      <c r="P306" t="str">
        <f>VLOOKUP(D306,상품정보!$A$2:$E$61,2,FALSE)</f>
        <v>목걸이</v>
      </c>
      <c r="Q306" t="str">
        <f>VLOOKUP(D306,상품정보!$A$2:$D$151,3,FALSE)</f>
        <v>액세서리</v>
      </c>
      <c r="R306" t="str">
        <f>VLOOKUP(D306,상품정보!$A$2:$D$151,4,FALSE)</f>
        <v>브랜드F</v>
      </c>
    </row>
    <row r="307" spans="1:18" x14ac:dyDescent="0.45">
      <c r="A307" t="s">
        <v>224</v>
      </c>
      <c r="B307" t="s">
        <v>706</v>
      </c>
      <c r="C307" t="s">
        <v>2527</v>
      </c>
      <c r="D307" t="s">
        <v>2556</v>
      </c>
      <c r="E307">
        <v>2</v>
      </c>
      <c r="F307">
        <v>70100</v>
      </c>
      <c r="G307">
        <v>500</v>
      </c>
      <c r="H307">
        <v>300</v>
      </c>
      <c r="I307" t="s">
        <v>2612</v>
      </c>
      <c r="J307" s="4">
        <f t="shared" si="12"/>
        <v>140400</v>
      </c>
      <c r="K307" s="4" t="str">
        <f t="shared" si="13"/>
        <v>2024-12</v>
      </c>
      <c r="L307" s="4" t="str">
        <f t="shared" si="14"/>
        <v>토</v>
      </c>
      <c r="M307" s="2" t="str">
        <f>VLOOKUP($C307, 고객정보!$A$2:$E$151, 2, FALSE)</f>
        <v>광주</v>
      </c>
      <c r="N307" t="str">
        <f>VLOOKUP(C307,고객정보!$A$2:$D$151,4,FALSE)</f>
        <v>L2</v>
      </c>
      <c r="O307" t="str">
        <f>VLOOKUP($C307, 고객정보!$A$2:$E$151, 5, FALSE)</f>
        <v>30대</v>
      </c>
      <c r="P307" t="str">
        <f>VLOOKUP(D307,상품정보!$A$2:$E$61,2,FALSE)</f>
        <v>핸드폰케이스</v>
      </c>
      <c r="Q307" t="str">
        <f>VLOOKUP(D307,상품정보!$A$2:$D$151,3,FALSE)</f>
        <v>액세서리</v>
      </c>
      <c r="R307" t="str">
        <f>VLOOKUP(D307,상품정보!$A$2:$D$151,4,FALSE)</f>
        <v>브랜드F</v>
      </c>
    </row>
    <row r="308" spans="1:18" x14ac:dyDescent="0.45">
      <c r="A308" t="s">
        <v>181</v>
      </c>
      <c r="B308" t="s">
        <v>707</v>
      </c>
      <c r="C308" t="s">
        <v>2528</v>
      </c>
      <c r="D308" t="s">
        <v>2590</v>
      </c>
      <c r="E308">
        <v>1</v>
      </c>
      <c r="F308">
        <v>68900</v>
      </c>
      <c r="G308">
        <v>0</v>
      </c>
      <c r="H308">
        <v>0</v>
      </c>
      <c r="I308" t="s">
        <v>2652</v>
      </c>
      <c r="J308" s="4">
        <f t="shared" si="12"/>
        <v>68900</v>
      </c>
      <c r="K308" s="4" t="str">
        <f t="shared" si="13"/>
        <v>2024-01</v>
      </c>
      <c r="L308" s="4" t="str">
        <f t="shared" si="14"/>
        <v>수</v>
      </c>
      <c r="M308" s="2" t="str">
        <f>VLOOKUP($C308, 고객정보!$A$2:$E$151, 2, FALSE)</f>
        <v>광주</v>
      </c>
      <c r="N308" t="str">
        <f>VLOOKUP(C308,고객정보!$A$2:$D$151,4,FALSE)</f>
        <v>L3</v>
      </c>
      <c r="O308" t="str">
        <f>VLOOKUP($C308, 고객정보!$A$2:$E$151, 5, FALSE)</f>
        <v>10대</v>
      </c>
      <c r="P308" t="str">
        <f>VLOOKUP(D308,상품정보!$A$2:$E$61,2,FALSE)</f>
        <v>반팔 티셔츠</v>
      </c>
      <c r="Q308" t="str">
        <f>VLOOKUP(D308,상품정보!$A$2:$D$151,3,FALSE)</f>
        <v>의류</v>
      </c>
      <c r="R308" t="str">
        <f>VLOOKUP(D308,상품정보!$A$2:$D$151,4,FALSE)</f>
        <v>브랜드A</v>
      </c>
    </row>
    <row r="309" spans="1:18" x14ac:dyDescent="0.45">
      <c r="A309" t="s">
        <v>225</v>
      </c>
      <c r="B309" t="s">
        <v>708</v>
      </c>
      <c r="C309" t="s">
        <v>2424</v>
      </c>
      <c r="D309" t="s">
        <v>2577</v>
      </c>
      <c r="E309">
        <v>1</v>
      </c>
      <c r="F309">
        <v>10200</v>
      </c>
      <c r="G309">
        <v>1000</v>
      </c>
      <c r="H309">
        <v>0</v>
      </c>
      <c r="I309" t="s">
        <v>2652</v>
      </c>
      <c r="J309" s="4">
        <f t="shared" si="12"/>
        <v>11200</v>
      </c>
      <c r="K309" s="4" t="str">
        <f t="shared" si="13"/>
        <v>2024-05</v>
      </c>
      <c r="L309" s="4" t="str">
        <f t="shared" si="14"/>
        <v>목</v>
      </c>
      <c r="M309" s="2" t="str">
        <f>VLOOKUP($C309, 고객정보!$A$2:$E$151, 2, FALSE)</f>
        <v>서울</v>
      </c>
      <c r="N309" t="str">
        <f>VLOOKUP(C309,고객정보!$A$2:$D$151,4,FALSE)</f>
        <v>L1</v>
      </c>
      <c r="O309" t="str">
        <f>VLOOKUP($C309, 고객정보!$A$2:$E$151, 5, FALSE)</f>
        <v>30대</v>
      </c>
      <c r="P309" t="str">
        <f>VLOOKUP(D309,상품정보!$A$2:$E$61,2,FALSE)</f>
        <v>셔츠</v>
      </c>
      <c r="Q309" t="str">
        <f>VLOOKUP(D309,상품정보!$A$2:$D$151,3,FALSE)</f>
        <v>의류</v>
      </c>
      <c r="R309" t="str">
        <f>VLOOKUP(D309,상품정보!$A$2:$D$151,4,FALSE)</f>
        <v>브랜드C</v>
      </c>
    </row>
    <row r="310" spans="1:18" x14ac:dyDescent="0.45">
      <c r="A310" t="s">
        <v>212</v>
      </c>
      <c r="B310" t="s">
        <v>709</v>
      </c>
      <c r="C310" t="s">
        <v>2529</v>
      </c>
      <c r="D310" t="s">
        <v>2599</v>
      </c>
      <c r="E310">
        <v>4</v>
      </c>
      <c r="F310">
        <v>73800</v>
      </c>
      <c r="G310">
        <v>1500</v>
      </c>
      <c r="H310">
        <v>1400</v>
      </c>
      <c r="I310" t="s">
        <v>2613</v>
      </c>
      <c r="J310" s="4">
        <f t="shared" si="12"/>
        <v>295300</v>
      </c>
      <c r="K310" s="4" t="str">
        <f t="shared" si="13"/>
        <v>2024-03</v>
      </c>
      <c r="L310" s="4" t="str">
        <f t="shared" si="14"/>
        <v>금</v>
      </c>
      <c r="M310" s="2" t="str">
        <f>VLOOKUP($C310, 고객정보!$A$2:$E$151, 2, FALSE)</f>
        <v>인천</v>
      </c>
      <c r="N310" t="str">
        <f>VLOOKUP(C310,고객정보!$A$2:$D$151,4,FALSE)</f>
        <v>L2</v>
      </c>
      <c r="O310" t="str">
        <f>VLOOKUP($C310, 고객정보!$A$2:$E$151, 5, FALSE)</f>
        <v>30대</v>
      </c>
      <c r="P310" t="str">
        <f>VLOOKUP(D310,상품정보!$A$2:$E$61,2,FALSE)</f>
        <v>핸드폰케이스</v>
      </c>
      <c r="Q310" t="str">
        <f>VLOOKUP(D310,상품정보!$A$2:$D$151,3,FALSE)</f>
        <v>액세서리</v>
      </c>
      <c r="R310" t="str">
        <f>VLOOKUP(D310,상품정보!$A$2:$D$151,4,FALSE)</f>
        <v>브랜드F</v>
      </c>
    </row>
    <row r="311" spans="1:18" x14ac:dyDescent="0.45">
      <c r="A311" t="s">
        <v>84</v>
      </c>
      <c r="B311" t="s">
        <v>710</v>
      </c>
      <c r="C311" t="s">
        <v>2422</v>
      </c>
      <c r="D311" t="s">
        <v>2578</v>
      </c>
      <c r="E311">
        <v>4</v>
      </c>
      <c r="F311">
        <v>78000</v>
      </c>
      <c r="G311">
        <v>500</v>
      </c>
      <c r="H311">
        <v>0</v>
      </c>
      <c r="I311" t="s">
        <v>2652</v>
      </c>
      <c r="J311" s="4">
        <f t="shared" si="12"/>
        <v>312500</v>
      </c>
      <c r="K311" s="4" t="str">
        <f t="shared" si="13"/>
        <v>2024-10</v>
      </c>
      <c r="L311" s="4" t="str">
        <f t="shared" si="14"/>
        <v>수</v>
      </c>
      <c r="M311" s="2" t="str">
        <f>VLOOKUP($C311, 고객정보!$A$2:$E$151, 2, FALSE)</f>
        <v>광주</v>
      </c>
      <c r="N311" t="str">
        <f>VLOOKUP(C311,고객정보!$A$2:$D$151,4,FALSE)</f>
        <v>L5</v>
      </c>
      <c r="O311" t="str">
        <f>VLOOKUP($C311, 고객정보!$A$2:$E$151, 5, FALSE)</f>
        <v>30대</v>
      </c>
      <c r="P311" t="str">
        <f>VLOOKUP(D311,상품정보!$A$2:$E$61,2,FALSE)</f>
        <v>귀걸이</v>
      </c>
      <c r="Q311" t="str">
        <f>VLOOKUP(D311,상품정보!$A$2:$D$151,3,FALSE)</f>
        <v>액세서리</v>
      </c>
      <c r="R311" t="str">
        <f>VLOOKUP(D311,상품정보!$A$2:$D$151,4,FALSE)</f>
        <v>브랜드B</v>
      </c>
    </row>
    <row r="312" spans="1:18" x14ac:dyDescent="0.45">
      <c r="A312" t="s">
        <v>52</v>
      </c>
      <c r="B312" t="s">
        <v>711</v>
      </c>
      <c r="C312" t="s">
        <v>2522</v>
      </c>
      <c r="D312" t="s">
        <v>2566</v>
      </c>
      <c r="E312">
        <v>2</v>
      </c>
      <c r="F312">
        <v>60600</v>
      </c>
      <c r="G312">
        <v>0</v>
      </c>
      <c r="H312">
        <v>0</v>
      </c>
      <c r="I312" t="s">
        <v>2652</v>
      </c>
      <c r="J312" s="4">
        <f t="shared" si="12"/>
        <v>121200</v>
      </c>
      <c r="K312" s="4" t="str">
        <f t="shared" si="13"/>
        <v>2024-02</v>
      </c>
      <c r="L312" s="4" t="str">
        <f t="shared" si="14"/>
        <v>토</v>
      </c>
      <c r="M312" s="2" t="str">
        <f>VLOOKUP($C312, 고객정보!$A$2:$E$151, 2, FALSE)</f>
        <v>부산</v>
      </c>
      <c r="N312" t="str">
        <f>VLOOKUP(C312,고객정보!$A$2:$D$151,4,FALSE)</f>
        <v>L4</v>
      </c>
      <c r="O312" t="str">
        <f>VLOOKUP($C312, 고객정보!$A$2:$E$151, 5, FALSE)</f>
        <v>40대</v>
      </c>
      <c r="P312" t="str">
        <f>VLOOKUP(D312,상품정보!$A$2:$E$61,2,FALSE)</f>
        <v>반팔 티셔츠</v>
      </c>
      <c r="Q312" t="str">
        <f>VLOOKUP(D312,상품정보!$A$2:$D$151,3,FALSE)</f>
        <v>의류</v>
      </c>
      <c r="R312" t="str">
        <f>VLOOKUP(D312,상품정보!$A$2:$D$151,4,FALSE)</f>
        <v>브랜드A</v>
      </c>
    </row>
    <row r="313" spans="1:18" x14ac:dyDescent="0.45">
      <c r="A313" t="s">
        <v>226</v>
      </c>
      <c r="B313" t="s">
        <v>712</v>
      </c>
      <c r="C313" t="s">
        <v>2418</v>
      </c>
      <c r="D313" t="s">
        <v>2598</v>
      </c>
      <c r="E313">
        <v>2</v>
      </c>
      <c r="F313">
        <v>77300</v>
      </c>
      <c r="G313">
        <v>500</v>
      </c>
      <c r="H313">
        <v>0</v>
      </c>
      <c r="I313" t="s">
        <v>2652</v>
      </c>
      <c r="J313" s="4">
        <f t="shared" si="12"/>
        <v>155100</v>
      </c>
      <c r="K313" s="4" t="str">
        <f t="shared" si="13"/>
        <v>2024-09</v>
      </c>
      <c r="L313" s="4" t="str">
        <f t="shared" si="14"/>
        <v>수</v>
      </c>
      <c r="M313" s="2" t="str">
        <f>VLOOKUP($C313, 고객정보!$A$2:$E$151, 2, FALSE)</f>
        <v>부산</v>
      </c>
      <c r="N313" t="str">
        <f>VLOOKUP(C313,고객정보!$A$2:$D$151,4,FALSE)</f>
        <v>L5</v>
      </c>
      <c r="O313" t="str">
        <f>VLOOKUP($C313, 고객정보!$A$2:$E$151, 5, FALSE)</f>
        <v>30대</v>
      </c>
      <c r="P313" t="str">
        <f>VLOOKUP(D313,상품정보!$A$2:$E$61,2,FALSE)</f>
        <v>청바지</v>
      </c>
      <c r="Q313" t="str">
        <f>VLOOKUP(D313,상품정보!$A$2:$D$151,3,FALSE)</f>
        <v>의류</v>
      </c>
      <c r="R313" t="str">
        <f>VLOOKUP(D313,상품정보!$A$2:$D$151,4,FALSE)</f>
        <v>브랜드F</v>
      </c>
    </row>
    <row r="314" spans="1:18" x14ac:dyDescent="0.45">
      <c r="A314" t="s">
        <v>207</v>
      </c>
      <c r="B314" t="s">
        <v>713</v>
      </c>
      <c r="C314" t="s">
        <v>2429</v>
      </c>
      <c r="D314" t="s">
        <v>2573</v>
      </c>
      <c r="E314">
        <v>2</v>
      </c>
      <c r="F314">
        <v>6400</v>
      </c>
      <c r="G314">
        <v>2000</v>
      </c>
      <c r="H314">
        <v>0</v>
      </c>
      <c r="I314" t="s">
        <v>2652</v>
      </c>
      <c r="J314" s="4">
        <f t="shared" si="12"/>
        <v>14800</v>
      </c>
      <c r="K314" s="4" t="str">
        <f t="shared" si="13"/>
        <v>2024-08</v>
      </c>
      <c r="L314" s="4" t="str">
        <f t="shared" si="14"/>
        <v>토</v>
      </c>
      <c r="M314" s="2" t="str">
        <f>VLOOKUP($C314, 고객정보!$A$2:$E$151, 2, FALSE)</f>
        <v>서울</v>
      </c>
      <c r="N314" t="str">
        <f>VLOOKUP(C314,고객정보!$A$2:$D$151,4,FALSE)</f>
        <v>L1</v>
      </c>
      <c r="O314" t="str">
        <f>VLOOKUP($C314, 고객정보!$A$2:$E$151, 5, FALSE)</f>
        <v>10대</v>
      </c>
      <c r="P314" t="str">
        <f>VLOOKUP(D314,상품정보!$A$2:$E$61,2,FALSE)</f>
        <v>귀걸이</v>
      </c>
      <c r="Q314" t="str">
        <f>VLOOKUP(D314,상품정보!$A$2:$D$151,3,FALSE)</f>
        <v>액세서리</v>
      </c>
      <c r="R314" t="str">
        <f>VLOOKUP(D314,상품정보!$A$2:$D$151,4,FALSE)</f>
        <v>브랜드E</v>
      </c>
    </row>
    <row r="315" spans="1:18" x14ac:dyDescent="0.45">
      <c r="A315" t="s">
        <v>131</v>
      </c>
      <c r="B315" t="s">
        <v>714</v>
      </c>
      <c r="C315" t="s">
        <v>2505</v>
      </c>
      <c r="D315" t="s">
        <v>2581</v>
      </c>
      <c r="E315">
        <v>3</v>
      </c>
      <c r="F315">
        <v>72900</v>
      </c>
      <c r="G315">
        <v>1500</v>
      </c>
      <c r="H315">
        <v>2300</v>
      </c>
      <c r="I315" t="s">
        <v>2612</v>
      </c>
      <c r="J315" s="4">
        <f t="shared" si="12"/>
        <v>217900</v>
      </c>
      <c r="K315" s="4" t="str">
        <f t="shared" si="13"/>
        <v>2024-12</v>
      </c>
      <c r="L315" s="4" t="str">
        <f t="shared" si="14"/>
        <v>토</v>
      </c>
      <c r="M315" s="2" t="str">
        <f>VLOOKUP($C315, 고객정보!$A$2:$E$151, 2, FALSE)</f>
        <v>대구</v>
      </c>
      <c r="N315" t="str">
        <f>VLOOKUP(C315,고객정보!$A$2:$D$151,4,FALSE)</f>
        <v>L4</v>
      </c>
      <c r="O315" t="str">
        <f>VLOOKUP($C315, 고객정보!$A$2:$E$151, 5, FALSE)</f>
        <v>40대</v>
      </c>
      <c r="P315" t="str">
        <f>VLOOKUP(D315,상품정보!$A$2:$E$61,2,FALSE)</f>
        <v>귀걸이</v>
      </c>
      <c r="Q315" t="str">
        <f>VLOOKUP(D315,상품정보!$A$2:$D$151,3,FALSE)</f>
        <v>액세서리</v>
      </c>
      <c r="R315" t="str">
        <f>VLOOKUP(D315,상품정보!$A$2:$D$151,4,FALSE)</f>
        <v>브랜드F</v>
      </c>
    </row>
    <row r="316" spans="1:18" x14ac:dyDescent="0.45">
      <c r="A316" t="s">
        <v>193</v>
      </c>
      <c r="B316" t="s">
        <v>715</v>
      </c>
      <c r="C316" t="s">
        <v>2435</v>
      </c>
      <c r="D316" t="s">
        <v>2590</v>
      </c>
      <c r="E316">
        <v>4</v>
      </c>
      <c r="F316">
        <v>68900</v>
      </c>
      <c r="G316">
        <v>0</v>
      </c>
      <c r="H316">
        <v>23100</v>
      </c>
      <c r="I316" t="s">
        <v>2611</v>
      </c>
      <c r="J316" s="4">
        <f t="shared" si="12"/>
        <v>252500</v>
      </c>
      <c r="K316" s="4" t="str">
        <f t="shared" si="13"/>
        <v>2024-05</v>
      </c>
      <c r="L316" s="4" t="str">
        <f t="shared" si="14"/>
        <v>월</v>
      </c>
      <c r="M316" s="2" t="str">
        <f>VLOOKUP($C316, 고객정보!$A$2:$E$151, 2, FALSE)</f>
        <v>인천</v>
      </c>
      <c r="N316" t="str">
        <f>VLOOKUP(C316,고객정보!$A$2:$D$151,4,FALSE)</f>
        <v>L5</v>
      </c>
      <c r="O316" t="str">
        <f>VLOOKUP($C316, 고객정보!$A$2:$E$151, 5, FALSE)</f>
        <v>30대</v>
      </c>
      <c r="P316" t="str">
        <f>VLOOKUP(D316,상품정보!$A$2:$E$61,2,FALSE)</f>
        <v>반팔 티셔츠</v>
      </c>
      <c r="Q316" t="str">
        <f>VLOOKUP(D316,상품정보!$A$2:$D$151,3,FALSE)</f>
        <v>의류</v>
      </c>
      <c r="R316" t="str">
        <f>VLOOKUP(D316,상품정보!$A$2:$D$151,4,FALSE)</f>
        <v>브랜드A</v>
      </c>
    </row>
    <row r="317" spans="1:18" x14ac:dyDescent="0.45">
      <c r="A317" t="s">
        <v>118</v>
      </c>
      <c r="B317" t="s">
        <v>716</v>
      </c>
      <c r="C317" t="s">
        <v>2403</v>
      </c>
      <c r="D317" t="s">
        <v>2566</v>
      </c>
      <c r="E317">
        <v>1</v>
      </c>
      <c r="F317">
        <v>60600</v>
      </c>
      <c r="G317">
        <v>1000</v>
      </c>
      <c r="H317">
        <v>0</v>
      </c>
      <c r="I317" t="s">
        <v>2652</v>
      </c>
      <c r="J317" s="4">
        <f t="shared" si="12"/>
        <v>61600</v>
      </c>
      <c r="K317" s="4" t="str">
        <f t="shared" si="13"/>
        <v>2024-08</v>
      </c>
      <c r="L317" s="4" t="str">
        <f t="shared" si="14"/>
        <v>수</v>
      </c>
      <c r="M317" s="2" t="str">
        <f>VLOOKUP($C317, 고객정보!$A$2:$E$151, 2, FALSE)</f>
        <v>수원</v>
      </c>
      <c r="N317" t="str">
        <f>VLOOKUP(C317,고객정보!$A$2:$D$151,4,FALSE)</f>
        <v>L3</v>
      </c>
      <c r="O317" t="str">
        <f>VLOOKUP($C317, 고객정보!$A$2:$E$151, 5, FALSE)</f>
        <v>30대</v>
      </c>
      <c r="P317" t="str">
        <f>VLOOKUP(D317,상품정보!$A$2:$E$61,2,FALSE)</f>
        <v>반팔 티셔츠</v>
      </c>
      <c r="Q317" t="str">
        <f>VLOOKUP(D317,상품정보!$A$2:$D$151,3,FALSE)</f>
        <v>의류</v>
      </c>
      <c r="R317" t="str">
        <f>VLOOKUP(D317,상품정보!$A$2:$D$151,4,FALSE)</f>
        <v>브랜드A</v>
      </c>
    </row>
    <row r="318" spans="1:18" x14ac:dyDescent="0.45">
      <c r="A318" t="s">
        <v>47</v>
      </c>
      <c r="B318" t="s">
        <v>717</v>
      </c>
      <c r="C318" t="s">
        <v>2412</v>
      </c>
      <c r="D318" t="s">
        <v>2589</v>
      </c>
      <c r="E318">
        <v>3</v>
      </c>
      <c r="F318">
        <v>71400</v>
      </c>
      <c r="G318">
        <v>500</v>
      </c>
      <c r="H318">
        <v>0</v>
      </c>
      <c r="I318" t="s">
        <v>2652</v>
      </c>
      <c r="J318" s="4">
        <f t="shared" si="12"/>
        <v>214700</v>
      </c>
      <c r="K318" s="4" t="str">
        <f t="shared" si="13"/>
        <v>2024-11</v>
      </c>
      <c r="L318" s="4" t="str">
        <f t="shared" si="14"/>
        <v>토</v>
      </c>
      <c r="M318" s="2" t="str">
        <f>VLOOKUP($C318, 고객정보!$A$2:$E$151, 2, FALSE)</f>
        <v>대전</v>
      </c>
      <c r="N318" t="str">
        <f>VLOOKUP(C318,고객정보!$A$2:$D$151,4,FALSE)</f>
        <v>L4</v>
      </c>
      <c r="O318" t="str">
        <f>VLOOKUP($C318, 고객정보!$A$2:$E$151, 5, FALSE)</f>
        <v>30대</v>
      </c>
      <c r="P318" t="str">
        <f>VLOOKUP(D318,상품정보!$A$2:$E$61,2,FALSE)</f>
        <v>셔츠</v>
      </c>
      <c r="Q318" t="str">
        <f>VLOOKUP(D318,상품정보!$A$2:$D$151,3,FALSE)</f>
        <v>의류</v>
      </c>
      <c r="R318" t="str">
        <f>VLOOKUP(D318,상품정보!$A$2:$D$151,4,FALSE)</f>
        <v>브랜드A</v>
      </c>
    </row>
    <row r="319" spans="1:18" x14ac:dyDescent="0.45">
      <c r="A319" t="s">
        <v>219</v>
      </c>
      <c r="B319" t="s">
        <v>718</v>
      </c>
      <c r="C319" t="s">
        <v>2409</v>
      </c>
      <c r="D319" t="s">
        <v>2606</v>
      </c>
      <c r="E319">
        <v>3</v>
      </c>
      <c r="F319">
        <v>15000</v>
      </c>
      <c r="G319">
        <v>0</v>
      </c>
      <c r="H319">
        <v>0</v>
      </c>
      <c r="I319" t="s">
        <v>2652</v>
      </c>
      <c r="J319" s="4">
        <f t="shared" si="12"/>
        <v>45000</v>
      </c>
      <c r="K319" s="4" t="str">
        <f t="shared" si="13"/>
        <v>2024-08</v>
      </c>
      <c r="L319" s="4" t="str">
        <f t="shared" si="14"/>
        <v>수</v>
      </c>
      <c r="M319" s="2" t="str">
        <f>VLOOKUP($C319, 고객정보!$A$2:$E$151, 2, FALSE)</f>
        <v>서울</v>
      </c>
      <c r="N319" t="str">
        <f>VLOOKUP(C319,고객정보!$A$2:$D$151,4,FALSE)</f>
        <v>L3</v>
      </c>
      <c r="O319" t="str">
        <f>VLOOKUP($C319, 고객정보!$A$2:$E$151, 5, FALSE)</f>
        <v>50대 이상</v>
      </c>
      <c r="P319" t="str">
        <f>VLOOKUP(D319,상품정보!$A$2:$E$61,2,FALSE)</f>
        <v>귀걸이</v>
      </c>
      <c r="Q319" t="str">
        <f>VLOOKUP(D319,상품정보!$A$2:$D$151,3,FALSE)</f>
        <v>액세서리</v>
      </c>
      <c r="R319" t="str">
        <f>VLOOKUP(D319,상품정보!$A$2:$D$151,4,FALSE)</f>
        <v>브랜드E</v>
      </c>
    </row>
    <row r="320" spans="1:18" x14ac:dyDescent="0.45">
      <c r="A320" t="s">
        <v>163</v>
      </c>
      <c r="B320" t="s">
        <v>719</v>
      </c>
      <c r="C320" t="s">
        <v>2471</v>
      </c>
      <c r="D320" t="s">
        <v>2555</v>
      </c>
      <c r="E320">
        <v>4</v>
      </c>
      <c r="F320">
        <v>8300</v>
      </c>
      <c r="G320">
        <v>2000</v>
      </c>
      <c r="H320">
        <v>0</v>
      </c>
      <c r="I320" t="s">
        <v>2652</v>
      </c>
      <c r="J320" s="4">
        <f t="shared" si="12"/>
        <v>35200</v>
      </c>
      <c r="K320" s="4" t="str">
        <f t="shared" si="13"/>
        <v>2024-09</v>
      </c>
      <c r="L320" s="4" t="str">
        <f t="shared" si="14"/>
        <v>수</v>
      </c>
      <c r="M320" s="2" t="str">
        <f>VLOOKUP($C320, 고객정보!$A$2:$E$151, 2, FALSE)</f>
        <v>서울</v>
      </c>
      <c r="N320" t="str">
        <f>VLOOKUP(C320,고객정보!$A$2:$D$151,4,FALSE)</f>
        <v>L5</v>
      </c>
      <c r="O320" t="str">
        <f>VLOOKUP($C320, 고객정보!$A$2:$E$151, 5, FALSE)</f>
        <v>40대</v>
      </c>
      <c r="P320" t="str">
        <f>VLOOKUP(D320,상품정보!$A$2:$E$61,2,FALSE)</f>
        <v>청바지</v>
      </c>
      <c r="Q320" t="str">
        <f>VLOOKUP(D320,상품정보!$A$2:$D$151,3,FALSE)</f>
        <v>의류</v>
      </c>
      <c r="R320" t="str">
        <f>VLOOKUP(D320,상품정보!$A$2:$D$151,4,FALSE)</f>
        <v>브랜드E</v>
      </c>
    </row>
    <row r="321" spans="1:18" x14ac:dyDescent="0.45">
      <c r="A321" t="s">
        <v>227</v>
      </c>
      <c r="B321" t="s">
        <v>720</v>
      </c>
      <c r="C321" t="s">
        <v>2438</v>
      </c>
      <c r="D321" t="s">
        <v>2585</v>
      </c>
      <c r="E321">
        <v>4</v>
      </c>
      <c r="F321">
        <v>14900</v>
      </c>
      <c r="G321">
        <v>0</v>
      </c>
      <c r="H321">
        <v>0</v>
      </c>
      <c r="I321" t="s">
        <v>2652</v>
      </c>
      <c r="J321" s="4">
        <f t="shared" si="12"/>
        <v>59600</v>
      </c>
      <c r="K321" s="4" t="str">
        <f t="shared" si="13"/>
        <v>2024-10</v>
      </c>
      <c r="L321" s="4" t="str">
        <f t="shared" si="14"/>
        <v>토</v>
      </c>
      <c r="M321" s="2" t="str">
        <f>VLOOKUP($C321, 고객정보!$A$2:$E$151, 2, FALSE)</f>
        <v>대구</v>
      </c>
      <c r="N321" t="str">
        <f>VLOOKUP(C321,고객정보!$A$2:$D$151,4,FALSE)</f>
        <v>L4</v>
      </c>
      <c r="O321" t="str">
        <f>VLOOKUP($C321, 고객정보!$A$2:$E$151, 5, FALSE)</f>
        <v>30대</v>
      </c>
      <c r="P321" t="str">
        <f>VLOOKUP(D321,상품정보!$A$2:$E$61,2,FALSE)</f>
        <v>반팔 티셔츠</v>
      </c>
      <c r="Q321" t="str">
        <f>VLOOKUP(D321,상품정보!$A$2:$D$151,3,FALSE)</f>
        <v>의류</v>
      </c>
      <c r="R321" t="str">
        <f>VLOOKUP(D321,상품정보!$A$2:$D$151,4,FALSE)</f>
        <v>브랜드C</v>
      </c>
    </row>
    <row r="322" spans="1:18" x14ac:dyDescent="0.45">
      <c r="A322" t="s">
        <v>228</v>
      </c>
      <c r="B322" t="s">
        <v>721</v>
      </c>
      <c r="C322" t="s">
        <v>2529</v>
      </c>
      <c r="D322" t="s">
        <v>2563</v>
      </c>
      <c r="E322">
        <v>3</v>
      </c>
      <c r="F322">
        <v>6900</v>
      </c>
      <c r="G322">
        <v>0</v>
      </c>
      <c r="H322">
        <v>0</v>
      </c>
      <c r="I322" t="s">
        <v>2652</v>
      </c>
      <c r="J322" s="4">
        <f t="shared" si="12"/>
        <v>20700</v>
      </c>
      <c r="K322" s="4" t="str">
        <f t="shared" si="13"/>
        <v>2024-12</v>
      </c>
      <c r="L322" s="4" t="str">
        <f t="shared" si="14"/>
        <v>화</v>
      </c>
      <c r="M322" s="2" t="str">
        <f>VLOOKUP($C322, 고객정보!$A$2:$E$151, 2, FALSE)</f>
        <v>인천</v>
      </c>
      <c r="N322" t="str">
        <f>VLOOKUP(C322,고객정보!$A$2:$D$151,4,FALSE)</f>
        <v>L2</v>
      </c>
      <c r="O322" t="str">
        <f>VLOOKUP($C322, 고객정보!$A$2:$E$151, 5, FALSE)</f>
        <v>30대</v>
      </c>
      <c r="P322" t="str">
        <f>VLOOKUP(D322,상품정보!$A$2:$E$61,2,FALSE)</f>
        <v>귀걸이</v>
      </c>
      <c r="Q322" t="str">
        <f>VLOOKUP(D322,상품정보!$A$2:$D$151,3,FALSE)</f>
        <v>액세서리</v>
      </c>
      <c r="R322" t="str">
        <f>VLOOKUP(D322,상품정보!$A$2:$D$151,4,FALSE)</f>
        <v>브랜드D</v>
      </c>
    </row>
    <row r="323" spans="1:18" x14ac:dyDescent="0.45">
      <c r="A323" t="s">
        <v>136</v>
      </c>
      <c r="B323" t="s">
        <v>722</v>
      </c>
      <c r="C323" t="s">
        <v>2511</v>
      </c>
      <c r="D323" t="s">
        <v>2551</v>
      </c>
      <c r="E323">
        <v>4</v>
      </c>
      <c r="F323">
        <v>66600</v>
      </c>
      <c r="G323">
        <v>500</v>
      </c>
      <c r="H323">
        <v>1300</v>
      </c>
      <c r="I323" t="s">
        <v>2614</v>
      </c>
      <c r="J323" s="4">
        <f t="shared" ref="J323:J386" si="15">E323*F323+G323-H323</f>
        <v>265600</v>
      </c>
      <c r="K323" s="4" t="str">
        <f t="shared" ref="K323:K386" si="16">LEFT(A323,7)</f>
        <v>2024-05</v>
      </c>
      <c r="L323" s="4" t="str">
        <f t="shared" ref="L323:L386" si="17">TEXT(WEEKDAY(A323),"aaa")</f>
        <v>월</v>
      </c>
      <c r="M323" s="2" t="str">
        <f>VLOOKUP($C323, 고객정보!$A$2:$E$151, 2, FALSE)</f>
        <v>인천</v>
      </c>
      <c r="N323" t="str">
        <f>VLOOKUP(C323,고객정보!$A$2:$D$151,4,FALSE)</f>
        <v>L1</v>
      </c>
      <c r="O323" t="str">
        <f>VLOOKUP($C323, 고객정보!$A$2:$E$151, 5, FALSE)</f>
        <v>50대 이상</v>
      </c>
      <c r="P323" t="str">
        <f>VLOOKUP(D323,상품정보!$A$2:$E$61,2,FALSE)</f>
        <v>반지</v>
      </c>
      <c r="Q323" t="str">
        <f>VLOOKUP(D323,상품정보!$A$2:$D$151,3,FALSE)</f>
        <v>액세서리</v>
      </c>
      <c r="R323" t="str">
        <f>VLOOKUP(D323,상품정보!$A$2:$D$151,4,FALSE)</f>
        <v>브랜드B</v>
      </c>
    </row>
    <row r="324" spans="1:18" x14ac:dyDescent="0.45">
      <c r="A324" t="s">
        <v>117</v>
      </c>
      <c r="B324" t="s">
        <v>723</v>
      </c>
      <c r="C324" t="s">
        <v>2435</v>
      </c>
      <c r="D324" t="s">
        <v>2563</v>
      </c>
      <c r="E324">
        <v>1</v>
      </c>
      <c r="F324">
        <v>6900</v>
      </c>
      <c r="G324">
        <v>2000</v>
      </c>
      <c r="H324">
        <v>0</v>
      </c>
      <c r="I324" t="s">
        <v>2652</v>
      </c>
      <c r="J324" s="4">
        <f t="shared" si="15"/>
        <v>8900</v>
      </c>
      <c r="K324" s="4" t="str">
        <f t="shared" si="16"/>
        <v>2024-11</v>
      </c>
      <c r="L324" s="4" t="str">
        <f t="shared" si="17"/>
        <v>수</v>
      </c>
      <c r="M324" s="2" t="str">
        <f>VLOOKUP($C324, 고객정보!$A$2:$E$151, 2, FALSE)</f>
        <v>인천</v>
      </c>
      <c r="N324" t="str">
        <f>VLOOKUP(C324,고객정보!$A$2:$D$151,4,FALSE)</f>
        <v>L5</v>
      </c>
      <c r="O324" t="str">
        <f>VLOOKUP($C324, 고객정보!$A$2:$E$151, 5, FALSE)</f>
        <v>30대</v>
      </c>
      <c r="P324" t="str">
        <f>VLOOKUP(D324,상품정보!$A$2:$E$61,2,FALSE)</f>
        <v>귀걸이</v>
      </c>
      <c r="Q324" t="str">
        <f>VLOOKUP(D324,상품정보!$A$2:$D$151,3,FALSE)</f>
        <v>액세서리</v>
      </c>
      <c r="R324" t="str">
        <f>VLOOKUP(D324,상품정보!$A$2:$D$151,4,FALSE)</f>
        <v>브랜드D</v>
      </c>
    </row>
    <row r="325" spans="1:18" x14ac:dyDescent="0.45">
      <c r="A325" t="s">
        <v>31</v>
      </c>
      <c r="B325" t="s">
        <v>724</v>
      </c>
      <c r="C325" t="s">
        <v>2530</v>
      </c>
      <c r="D325" t="s">
        <v>2569</v>
      </c>
      <c r="E325">
        <v>3</v>
      </c>
      <c r="F325">
        <v>11400</v>
      </c>
      <c r="G325">
        <v>500</v>
      </c>
      <c r="H325">
        <v>0</v>
      </c>
      <c r="I325" t="s">
        <v>2652</v>
      </c>
      <c r="J325" s="4">
        <f t="shared" si="15"/>
        <v>34700</v>
      </c>
      <c r="K325" s="4" t="str">
        <f t="shared" si="16"/>
        <v>2024-04</v>
      </c>
      <c r="L325" s="4" t="str">
        <f t="shared" si="17"/>
        <v>토</v>
      </c>
      <c r="M325" s="2" t="str">
        <f>VLOOKUP($C325, 고객정보!$A$2:$E$151, 2, FALSE)</f>
        <v>대전</v>
      </c>
      <c r="N325" t="str">
        <f>VLOOKUP(C325,고객정보!$A$2:$D$151,4,FALSE)</f>
        <v>L2</v>
      </c>
      <c r="O325" t="str">
        <f>VLOOKUP($C325, 고객정보!$A$2:$E$151, 5, FALSE)</f>
        <v>20대</v>
      </c>
      <c r="P325" t="str">
        <f>VLOOKUP(D325,상품정보!$A$2:$E$61,2,FALSE)</f>
        <v>귀걸이</v>
      </c>
      <c r="Q325" t="str">
        <f>VLOOKUP(D325,상품정보!$A$2:$D$151,3,FALSE)</f>
        <v>액세서리</v>
      </c>
      <c r="R325" t="str">
        <f>VLOOKUP(D325,상품정보!$A$2:$D$151,4,FALSE)</f>
        <v>브랜드E</v>
      </c>
    </row>
    <row r="326" spans="1:18" x14ac:dyDescent="0.45">
      <c r="A326" t="s">
        <v>101</v>
      </c>
      <c r="B326" t="s">
        <v>725</v>
      </c>
      <c r="C326" t="s">
        <v>2498</v>
      </c>
      <c r="D326" t="s">
        <v>2607</v>
      </c>
      <c r="E326">
        <v>2</v>
      </c>
      <c r="F326">
        <v>16000</v>
      </c>
      <c r="G326">
        <v>2000</v>
      </c>
      <c r="H326">
        <v>2600</v>
      </c>
      <c r="I326" t="s">
        <v>2612</v>
      </c>
      <c r="J326" s="4">
        <f t="shared" si="15"/>
        <v>31400</v>
      </c>
      <c r="K326" s="4" t="str">
        <f t="shared" si="16"/>
        <v>2024-11</v>
      </c>
      <c r="L326" s="4" t="str">
        <f t="shared" si="17"/>
        <v>수</v>
      </c>
      <c r="M326" s="2" t="str">
        <f>VLOOKUP($C326, 고객정보!$A$2:$E$151, 2, FALSE)</f>
        <v>서울</v>
      </c>
      <c r="N326" t="str">
        <f>VLOOKUP(C326,고객정보!$A$2:$D$151,4,FALSE)</f>
        <v>L3</v>
      </c>
      <c r="O326" t="str">
        <f>VLOOKUP($C326, 고객정보!$A$2:$E$151, 5, FALSE)</f>
        <v>30대</v>
      </c>
      <c r="P326" t="str">
        <f>VLOOKUP(D326,상품정보!$A$2:$E$61,2,FALSE)</f>
        <v>목걸이</v>
      </c>
      <c r="Q326" t="str">
        <f>VLOOKUP(D326,상품정보!$A$2:$D$151,3,FALSE)</f>
        <v>액세서리</v>
      </c>
      <c r="R326" t="str">
        <f>VLOOKUP(D326,상품정보!$A$2:$D$151,4,FALSE)</f>
        <v>브랜드E</v>
      </c>
    </row>
    <row r="327" spans="1:18" x14ac:dyDescent="0.45">
      <c r="A327" t="s">
        <v>21</v>
      </c>
      <c r="B327" t="s">
        <v>726</v>
      </c>
      <c r="C327" t="s">
        <v>2531</v>
      </c>
      <c r="D327" t="s">
        <v>2579</v>
      </c>
      <c r="E327">
        <v>2</v>
      </c>
      <c r="F327">
        <v>51000</v>
      </c>
      <c r="G327">
        <v>0</v>
      </c>
      <c r="H327">
        <v>4000</v>
      </c>
      <c r="I327" t="s">
        <v>2613</v>
      </c>
      <c r="J327" s="4">
        <f t="shared" si="15"/>
        <v>98000</v>
      </c>
      <c r="K327" s="4" t="str">
        <f t="shared" si="16"/>
        <v>2024-11</v>
      </c>
      <c r="L327" s="4" t="str">
        <f t="shared" si="17"/>
        <v>일</v>
      </c>
      <c r="M327" s="2" t="str">
        <f>VLOOKUP($C327, 고객정보!$A$2:$E$151, 2, FALSE)</f>
        <v>서울</v>
      </c>
      <c r="N327" t="str">
        <f>VLOOKUP(C327,고객정보!$A$2:$D$151,4,FALSE)</f>
        <v>L4</v>
      </c>
      <c r="O327" t="str">
        <f>VLOOKUP($C327, 고객정보!$A$2:$E$151, 5, FALSE)</f>
        <v>40대</v>
      </c>
      <c r="P327" t="str">
        <f>VLOOKUP(D327,상품정보!$A$2:$E$61,2,FALSE)</f>
        <v>핸드폰케이스</v>
      </c>
      <c r="Q327" t="str">
        <f>VLOOKUP(D327,상품정보!$A$2:$D$151,3,FALSE)</f>
        <v>액세서리</v>
      </c>
      <c r="R327" t="str">
        <f>VLOOKUP(D327,상품정보!$A$2:$D$151,4,FALSE)</f>
        <v>브랜드F</v>
      </c>
    </row>
    <row r="328" spans="1:18" x14ac:dyDescent="0.45">
      <c r="A328" t="s">
        <v>229</v>
      </c>
      <c r="B328" t="s">
        <v>727</v>
      </c>
      <c r="C328" t="s">
        <v>2454</v>
      </c>
      <c r="D328" t="s">
        <v>2590</v>
      </c>
      <c r="E328">
        <v>1</v>
      </c>
      <c r="F328">
        <v>68900</v>
      </c>
      <c r="G328">
        <v>1500</v>
      </c>
      <c r="H328">
        <v>0</v>
      </c>
      <c r="I328" t="s">
        <v>2652</v>
      </c>
      <c r="J328" s="4">
        <f t="shared" si="15"/>
        <v>70400</v>
      </c>
      <c r="K328" s="4" t="str">
        <f t="shared" si="16"/>
        <v>2024-06</v>
      </c>
      <c r="L328" s="4" t="str">
        <f t="shared" si="17"/>
        <v>금</v>
      </c>
      <c r="M328" s="2" t="str">
        <f>VLOOKUP($C328, 고객정보!$A$2:$E$151, 2, FALSE)</f>
        <v>부산</v>
      </c>
      <c r="N328" t="str">
        <f>VLOOKUP(C328,고객정보!$A$2:$D$151,4,FALSE)</f>
        <v>L3</v>
      </c>
      <c r="O328" t="str">
        <f>VLOOKUP($C328, 고객정보!$A$2:$E$151, 5, FALSE)</f>
        <v>40대</v>
      </c>
      <c r="P328" t="str">
        <f>VLOOKUP(D328,상품정보!$A$2:$E$61,2,FALSE)</f>
        <v>반팔 티셔츠</v>
      </c>
      <c r="Q328" t="str">
        <f>VLOOKUP(D328,상품정보!$A$2:$D$151,3,FALSE)</f>
        <v>의류</v>
      </c>
      <c r="R328" t="str">
        <f>VLOOKUP(D328,상품정보!$A$2:$D$151,4,FALSE)</f>
        <v>브랜드A</v>
      </c>
    </row>
    <row r="329" spans="1:18" x14ac:dyDescent="0.45">
      <c r="A329" t="s">
        <v>99</v>
      </c>
      <c r="B329" t="s">
        <v>728</v>
      </c>
      <c r="C329" t="s">
        <v>2470</v>
      </c>
      <c r="D329" t="s">
        <v>2564</v>
      </c>
      <c r="E329">
        <v>5</v>
      </c>
      <c r="F329">
        <v>66600</v>
      </c>
      <c r="G329">
        <v>500</v>
      </c>
      <c r="H329">
        <v>0</v>
      </c>
      <c r="I329" t="s">
        <v>2652</v>
      </c>
      <c r="J329" s="4">
        <f t="shared" si="15"/>
        <v>333500</v>
      </c>
      <c r="K329" s="4" t="str">
        <f t="shared" si="16"/>
        <v>2024-07</v>
      </c>
      <c r="L329" s="4" t="str">
        <f t="shared" si="17"/>
        <v>금</v>
      </c>
      <c r="M329" s="2" t="str">
        <f>VLOOKUP($C329, 고객정보!$A$2:$E$151, 2, FALSE)</f>
        <v>대전</v>
      </c>
      <c r="N329" t="str">
        <f>VLOOKUP(C329,고객정보!$A$2:$D$151,4,FALSE)</f>
        <v>L5</v>
      </c>
      <c r="O329" t="str">
        <f>VLOOKUP($C329, 고객정보!$A$2:$E$151, 5, FALSE)</f>
        <v>20대</v>
      </c>
      <c r="P329" t="str">
        <f>VLOOKUP(D329,상품정보!$A$2:$E$61,2,FALSE)</f>
        <v>청바지</v>
      </c>
      <c r="Q329" t="str">
        <f>VLOOKUP(D329,상품정보!$A$2:$D$151,3,FALSE)</f>
        <v>의류</v>
      </c>
      <c r="R329" t="str">
        <f>VLOOKUP(D329,상품정보!$A$2:$D$151,4,FALSE)</f>
        <v>브랜드B</v>
      </c>
    </row>
    <row r="330" spans="1:18" x14ac:dyDescent="0.45">
      <c r="A330" t="s">
        <v>113</v>
      </c>
      <c r="B330" t="s">
        <v>729</v>
      </c>
      <c r="C330" t="s">
        <v>2469</v>
      </c>
      <c r="D330" t="s">
        <v>2553</v>
      </c>
      <c r="E330">
        <v>3</v>
      </c>
      <c r="F330">
        <v>63400</v>
      </c>
      <c r="G330">
        <v>1000</v>
      </c>
      <c r="H330">
        <v>0</v>
      </c>
      <c r="I330" t="s">
        <v>2652</v>
      </c>
      <c r="J330" s="4">
        <f t="shared" si="15"/>
        <v>191200</v>
      </c>
      <c r="K330" s="4" t="str">
        <f t="shared" si="16"/>
        <v>2024-06</v>
      </c>
      <c r="L330" s="4" t="str">
        <f t="shared" si="17"/>
        <v>일</v>
      </c>
      <c r="M330" s="2" t="str">
        <f>VLOOKUP($C330, 고객정보!$A$2:$E$151, 2, FALSE)</f>
        <v>수원</v>
      </c>
      <c r="N330" t="str">
        <f>VLOOKUP(C330,고객정보!$A$2:$D$151,4,FALSE)</f>
        <v>L5</v>
      </c>
      <c r="O330" t="str">
        <f>VLOOKUP($C330, 고객정보!$A$2:$E$151, 5, FALSE)</f>
        <v>20대</v>
      </c>
      <c r="P330" t="str">
        <f>VLOOKUP(D330,상품정보!$A$2:$E$61,2,FALSE)</f>
        <v>귀걸이</v>
      </c>
      <c r="Q330" t="str">
        <f>VLOOKUP(D330,상품정보!$A$2:$D$151,3,FALSE)</f>
        <v>액세서리</v>
      </c>
      <c r="R330" t="str">
        <f>VLOOKUP(D330,상품정보!$A$2:$D$151,4,FALSE)</f>
        <v>브랜드F</v>
      </c>
    </row>
    <row r="331" spans="1:18" x14ac:dyDescent="0.45">
      <c r="A331" t="s">
        <v>62</v>
      </c>
      <c r="B331" t="s">
        <v>730</v>
      </c>
      <c r="C331" t="s">
        <v>2515</v>
      </c>
      <c r="D331" t="s">
        <v>2604</v>
      </c>
      <c r="E331">
        <v>2</v>
      </c>
      <c r="F331">
        <v>9700</v>
      </c>
      <c r="G331">
        <v>1000</v>
      </c>
      <c r="H331">
        <v>0</v>
      </c>
      <c r="I331" t="s">
        <v>2652</v>
      </c>
      <c r="J331" s="4">
        <f t="shared" si="15"/>
        <v>20400</v>
      </c>
      <c r="K331" s="4" t="str">
        <f t="shared" si="16"/>
        <v>2024-03</v>
      </c>
      <c r="L331" s="4" t="str">
        <f t="shared" si="17"/>
        <v>금</v>
      </c>
      <c r="M331" s="2" t="str">
        <f>VLOOKUP($C331, 고객정보!$A$2:$E$151, 2, FALSE)</f>
        <v>부산</v>
      </c>
      <c r="N331" t="str">
        <f>VLOOKUP(C331,고객정보!$A$2:$D$151,4,FALSE)</f>
        <v>L5</v>
      </c>
      <c r="O331" t="str">
        <f>VLOOKUP($C331, 고객정보!$A$2:$E$151, 5, FALSE)</f>
        <v>40대</v>
      </c>
      <c r="P331" t="str">
        <f>VLOOKUP(D331,상품정보!$A$2:$E$61,2,FALSE)</f>
        <v>반팔 티셔츠</v>
      </c>
      <c r="Q331" t="str">
        <f>VLOOKUP(D331,상품정보!$A$2:$D$151,3,FALSE)</f>
        <v>의류</v>
      </c>
      <c r="R331" t="str">
        <f>VLOOKUP(D331,상품정보!$A$2:$D$151,4,FALSE)</f>
        <v>브랜드E</v>
      </c>
    </row>
    <row r="332" spans="1:18" x14ac:dyDescent="0.45">
      <c r="A332" t="s">
        <v>230</v>
      </c>
      <c r="B332" t="s">
        <v>731</v>
      </c>
      <c r="C332" t="s">
        <v>2502</v>
      </c>
      <c r="D332" t="s">
        <v>2584</v>
      </c>
      <c r="E332">
        <v>3</v>
      </c>
      <c r="F332">
        <v>59700</v>
      </c>
      <c r="G332">
        <v>500</v>
      </c>
      <c r="H332">
        <v>0</v>
      </c>
      <c r="I332" t="s">
        <v>2652</v>
      </c>
      <c r="J332" s="4">
        <f t="shared" si="15"/>
        <v>179600</v>
      </c>
      <c r="K332" s="4" t="str">
        <f t="shared" si="16"/>
        <v>2024-09</v>
      </c>
      <c r="L332" s="4" t="str">
        <f t="shared" si="17"/>
        <v>토</v>
      </c>
      <c r="M332" s="2" t="str">
        <f>VLOOKUP($C332, 고객정보!$A$2:$E$151, 2, FALSE)</f>
        <v>부산</v>
      </c>
      <c r="N332" t="str">
        <f>VLOOKUP(C332,고객정보!$A$2:$D$151,4,FALSE)</f>
        <v>L4</v>
      </c>
      <c r="O332" t="str">
        <f>VLOOKUP($C332, 고객정보!$A$2:$E$151, 5, FALSE)</f>
        <v>20대</v>
      </c>
      <c r="P332" t="str">
        <f>VLOOKUP(D332,상품정보!$A$2:$E$61,2,FALSE)</f>
        <v>목걸이</v>
      </c>
      <c r="Q332" t="str">
        <f>VLOOKUP(D332,상품정보!$A$2:$D$151,3,FALSE)</f>
        <v>액세서리</v>
      </c>
      <c r="R332" t="str">
        <f>VLOOKUP(D332,상품정보!$A$2:$D$151,4,FALSE)</f>
        <v>브랜드B</v>
      </c>
    </row>
    <row r="333" spans="1:18" x14ac:dyDescent="0.45">
      <c r="A333" t="s">
        <v>75</v>
      </c>
      <c r="B333" t="s">
        <v>732</v>
      </c>
      <c r="C333" t="s">
        <v>2519</v>
      </c>
      <c r="D333" t="s">
        <v>2582</v>
      </c>
      <c r="E333">
        <v>3</v>
      </c>
      <c r="F333">
        <v>12500</v>
      </c>
      <c r="G333">
        <v>0</v>
      </c>
      <c r="H333">
        <v>16700</v>
      </c>
      <c r="I333" t="s">
        <v>2611</v>
      </c>
      <c r="J333" s="4">
        <f t="shared" si="15"/>
        <v>20800</v>
      </c>
      <c r="K333" s="4" t="str">
        <f t="shared" si="16"/>
        <v>2024-03</v>
      </c>
      <c r="L333" s="4" t="str">
        <f t="shared" si="17"/>
        <v>월</v>
      </c>
      <c r="M333" s="2" t="str">
        <f>VLOOKUP($C333, 고객정보!$A$2:$E$151, 2, FALSE)</f>
        <v>서울</v>
      </c>
      <c r="N333" t="str">
        <f>VLOOKUP(C333,고객정보!$A$2:$D$151,4,FALSE)</f>
        <v>L4</v>
      </c>
      <c r="O333" t="str">
        <f>VLOOKUP($C333, 고객정보!$A$2:$E$151, 5, FALSE)</f>
        <v>20대</v>
      </c>
      <c r="P333" t="str">
        <f>VLOOKUP(D333,상품정보!$A$2:$E$61,2,FALSE)</f>
        <v>셔츠</v>
      </c>
      <c r="Q333" t="str">
        <f>VLOOKUP(D333,상품정보!$A$2:$D$151,3,FALSE)</f>
        <v>의류</v>
      </c>
      <c r="R333" t="str">
        <f>VLOOKUP(D333,상품정보!$A$2:$D$151,4,FALSE)</f>
        <v>브랜드D</v>
      </c>
    </row>
    <row r="334" spans="1:18" x14ac:dyDescent="0.45">
      <c r="A334" t="s">
        <v>231</v>
      </c>
      <c r="B334" t="s">
        <v>733</v>
      </c>
      <c r="C334" t="s">
        <v>2505</v>
      </c>
      <c r="D334" t="s">
        <v>2582</v>
      </c>
      <c r="E334">
        <v>4</v>
      </c>
      <c r="F334">
        <v>12500</v>
      </c>
      <c r="G334">
        <v>500</v>
      </c>
      <c r="H334">
        <v>0</v>
      </c>
      <c r="I334" t="s">
        <v>2652</v>
      </c>
      <c r="J334" s="4">
        <f t="shared" si="15"/>
        <v>50500</v>
      </c>
      <c r="K334" s="4" t="str">
        <f t="shared" si="16"/>
        <v>2024-05</v>
      </c>
      <c r="L334" s="4" t="str">
        <f t="shared" si="17"/>
        <v>금</v>
      </c>
      <c r="M334" s="2" t="str">
        <f>VLOOKUP($C334, 고객정보!$A$2:$E$151, 2, FALSE)</f>
        <v>대구</v>
      </c>
      <c r="N334" t="str">
        <f>VLOOKUP(C334,고객정보!$A$2:$D$151,4,FALSE)</f>
        <v>L4</v>
      </c>
      <c r="O334" t="str">
        <f>VLOOKUP($C334, 고객정보!$A$2:$E$151, 5, FALSE)</f>
        <v>40대</v>
      </c>
      <c r="P334" t="str">
        <f>VLOOKUP(D334,상품정보!$A$2:$E$61,2,FALSE)</f>
        <v>셔츠</v>
      </c>
      <c r="Q334" t="str">
        <f>VLOOKUP(D334,상품정보!$A$2:$D$151,3,FALSE)</f>
        <v>의류</v>
      </c>
      <c r="R334" t="str">
        <f>VLOOKUP(D334,상품정보!$A$2:$D$151,4,FALSE)</f>
        <v>브랜드D</v>
      </c>
    </row>
    <row r="335" spans="1:18" x14ac:dyDescent="0.45">
      <c r="A335" t="s">
        <v>232</v>
      </c>
      <c r="B335" t="s">
        <v>734</v>
      </c>
      <c r="C335" t="s">
        <v>2450</v>
      </c>
      <c r="D335" t="s">
        <v>2570</v>
      </c>
      <c r="E335">
        <v>1</v>
      </c>
      <c r="F335">
        <v>73900</v>
      </c>
      <c r="G335">
        <v>0</v>
      </c>
      <c r="H335">
        <v>0</v>
      </c>
      <c r="I335" t="s">
        <v>2652</v>
      </c>
      <c r="J335" s="4">
        <f t="shared" si="15"/>
        <v>73900</v>
      </c>
      <c r="K335" s="4" t="str">
        <f t="shared" si="16"/>
        <v>2024-08</v>
      </c>
      <c r="L335" s="4" t="str">
        <f t="shared" si="17"/>
        <v>화</v>
      </c>
      <c r="M335" s="2" t="str">
        <f>VLOOKUP($C335, 고객정보!$A$2:$E$151, 2, FALSE)</f>
        <v>인천</v>
      </c>
      <c r="N335" t="str">
        <f>VLOOKUP(C335,고객정보!$A$2:$D$151,4,FALSE)</f>
        <v>L5</v>
      </c>
      <c r="O335" t="str">
        <f>VLOOKUP($C335, 고객정보!$A$2:$E$151, 5, FALSE)</f>
        <v>40대</v>
      </c>
      <c r="P335" t="str">
        <f>VLOOKUP(D335,상품정보!$A$2:$E$61,2,FALSE)</f>
        <v>반지</v>
      </c>
      <c r="Q335" t="str">
        <f>VLOOKUP(D335,상품정보!$A$2:$D$151,3,FALSE)</f>
        <v>액세서리</v>
      </c>
      <c r="R335" t="str">
        <f>VLOOKUP(D335,상품정보!$A$2:$D$151,4,FALSE)</f>
        <v>브랜드B</v>
      </c>
    </row>
    <row r="336" spans="1:18" x14ac:dyDescent="0.45">
      <c r="A336" t="s">
        <v>9</v>
      </c>
      <c r="B336" t="s">
        <v>735</v>
      </c>
      <c r="C336" t="s">
        <v>2532</v>
      </c>
      <c r="D336" t="s">
        <v>2573</v>
      </c>
      <c r="E336">
        <v>2</v>
      </c>
      <c r="F336">
        <v>6400</v>
      </c>
      <c r="G336">
        <v>1000</v>
      </c>
      <c r="H336">
        <v>0</v>
      </c>
      <c r="I336" t="s">
        <v>2652</v>
      </c>
      <c r="J336" s="4">
        <f t="shared" si="15"/>
        <v>13800</v>
      </c>
      <c r="K336" s="4" t="str">
        <f t="shared" si="16"/>
        <v>2024-12</v>
      </c>
      <c r="L336" s="4" t="str">
        <f t="shared" si="17"/>
        <v>목</v>
      </c>
      <c r="M336" s="2" t="str">
        <f>VLOOKUP($C336, 고객정보!$A$2:$E$151, 2, FALSE)</f>
        <v>서울</v>
      </c>
      <c r="N336" t="str">
        <f>VLOOKUP(C336,고객정보!$A$2:$D$151,4,FALSE)</f>
        <v>L2</v>
      </c>
      <c r="O336" t="str">
        <f>VLOOKUP($C336, 고객정보!$A$2:$E$151, 5, FALSE)</f>
        <v>50대 이상</v>
      </c>
      <c r="P336" t="str">
        <f>VLOOKUP(D336,상품정보!$A$2:$E$61,2,FALSE)</f>
        <v>귀걸이</v>
      </c>
      <c r="Q336" t="str">
        <f>VLOOKUP(D336,상품정보!$A$2:$D$151,3,FALSE)</f>
        <v>액세서리</v>
      </c>
      <c r="R336" t="str">
        <f>VLOOKUP(D336,상품정보!$A$2:$D$151,4,FALSE)</f>
        <v>브랜드E</v>
      </c>
    </row>
    <row r="337" spans="1:18" x14ac:dyDescent="0.45">
      <c r="A337" t="s">
        <v>233</v>
      </c>
      <c r="B337" t="s">
        <v>736</v>
      </c>
      <c r="C337" t="s">
        <v>2533</v>
      </c>
      <c r="D337" t="s">
        <v>2610</v>
      </c>
      <c r="E337">
        <v>5</v>
      </c>
      <c r="F337">
        <v>18800</v>
      </c>
      <c r="G337">
        <v>1000</v>
      </c>
      <c r="H337">
        <v>0</v>
      </c>
      <c r="I337" t="s">
        <v>2652</v>
      </c>
      <c r="J337" s="4">
        <f t="shared" si="15"/>
        <v>95000</v>
      </c>
      <c r="K337" s="4" t="str">
        <f t="shared" si="16"/>
        <v>2024-07</v>
      </c>
      <c r="L337" s="4" t="str">
        <f t="shared" si="17"/>
        <v>토</v>
      </c>
      <c r="M337" s="2" t="str">
        <f>VLOOKUP($C337, 고객정보!$A$2:$E$151, 2, FALSE)</f>
        <v>인천</v>
      </c>
      <c r="N337" t="str">
        <f>VLOOKUP(C337,고객정보!$A$2:$D$151,4,FALSE)</f>
        <v>L5</v>
      </c>
      <c r="O337" t="str">
        <f>VLOOKUP($C337, 고객정보!$A$2:$E$151, 5, FALSE)</f>
        <v>30대</v>
      </c>
      <c r="P337" t="str">
        <f>VLOOKUP(D337,상품정보!$A$2:$E$61,2,FALSE)</f>
        <v>자켓</v>
      </c>
      <c r="Q337" t="str">
        <f>VLOOKUP(D337,상품정보!$A$2:$D$151,3,FALSE)</f>
        <v>의류</v>
      </c>
      <c r="R337" t="str">
        <f>VLOOKUP(D337,상품정보!$A$2:$D$151,4,FALSE)</f>
        <v>브랜드E</v>
      </c>
    </row>
    <row r="338" spans="1:18" x14ac:dyDescent="0.45">
      <c r="A338" t="s">
        <v>72</v>
      </c>
      <c r="B338" t="s">
        <v>737</v>
      </c>
      <c r="C338" t="s">
        <v>2411</v>
      </c>
      <c r="D338" t="s">
        <v>2577</v>
      </c>
      <c r="E338">
        <v>4</v>
      </c>
      <c r="F338">
        <v>10200</v>
      </c>
      <c r="G338">
        <v>0</v>
      </c>
      <c r="H338">
        <v>5700</v>
      </c>
      <c r="I338" t="s">
        <v>2611</v>
      </c>
      <c r="J338" s="4">
        <f t="shared" si="15"/>
        <v>35100</v>
      </c>
      <c r="K338" s="4" t="str">
        <f t="shared" si="16"/>
        <v>2024-01</v>
      </c>
      <c r="L338" s="4" t="str">
        <f t="shared" si="17"/>
        <v>월</v>
      </c>
      <c r="M338" s="2" t="str">
        <f>VLOOKUP($C338, 고객정보!$A$2:$E$151, 2, FALSE)</f>
        <v>부산</v>
      </c>
      <c r="N338" t="str">
        <f>VLOOKUP(C338,고객정보!$A$2:$D$151,4,FALSE)</f>
        <v>L5</v>
      </c>
      <c r="O338" t="str">
        <f>VLOOKUP($C338, 고객정보!$A$2:$E$151, 5, FALSE)</f>
        <v>30대</v>
      </c>
      <c r="P338" t="str">
        <f>VLOOKUP(D338,상품정보!$A$2:$E$61,2,FALSE)</f>
        <v>셔츠</v>
      </c>
      <c r="Q338" t="str">
        <f>VLOOKUP(D338,상품정보!$A$2:$D$151,3,FALSE)</f>
        <v>의류</v>
      </c>
      <c r="R338" t="str">
        <f>VLOOKUP(D338,상품정보!$A$2:$D$151,4,FALSE)</f>
        <v>브랜드C</v>
      </c>
    </row>
    <row r="339" spans="1:18" x14ac:dyDescent="0.45">
      <c r="A339" t="s">
        <v>234</v>
      </c>
      <c r="B339" t="s">
        <v>738</v>
      </c>
      <c r="C339" t="s">
        <v>2428</v>
      </c>
      <c r="D339" t="s">
        <v>2561</v>
      </c>
      <c r="E339">
        <v>1</v>
      </c>
      <c r="F339">
        <v>63300</v>
      </c>
      <c r="G339">
        <v>0</v>
      </c>
      <c r="H339">
        <v>1600</v>
      </c>
      <c r="I339" t="s">
        <v>2611</v>
      </c>
      <c r="J339" s="4">
        <f t="shared" si="15"/>
        <v>61700</v>
      </c>
      <c r="K339" s="4" t="str">
        <f t="shared" si="16"/>
        <v>2024-08</v>
      </c>
      <c r="L339" s="4" t="str">
        <f t="shared" si="17"/>
        <v>화</v>
      </c>
      <c r="M339" s="2" t="str">
        <f>VLOOKUP($C339, 고객정보!$A$2:$E$151, 2, FALSE)</f>
        <v>광주</v>
      </c>
      <c r="N339" t="str">
        <f>VLOOKUP(C339,고객정보!$A$2:$D$151,4,FALSE)</f>
        <v>L4</v>
      </c>
      <c r="O339" t="str">
        <f>VLOOKUP($C339, 고객정보!$A$2:$E$151, 5, FALSE)</f>
        <v>10대</v>
      </c>
      <c r="P339" t="str">
        <f>VLOOKUP(D339,상품정보!$A$2:$E$61,2,FALSE)</f>
        <v>귀걸이</v>
      </c>
      <c r="Q339" t="str">
        <f>VLOOKUP(D339,상품정보!$A$2:$D$151,3,FALSE)</f>
        <v>액세서리</v>
      </c>
      <c r="R339" t="str">
        <f>VLOOKUP(D339,상품정보!$A$2:$D$151,4,FALSE)</f>
        <v>브랜드B</v>
      </c>
    </row>
    <row r="340" spans="1:18" x14ac:dyDescent="0.45">
      <c r="A340" t="s">
        <v>78</v>
      </c>
      <c r="B340" t="s">
        <v>739</v>
      </c>
      <c r="C340" t="s">
        <v>2506</v>
      </c>
      <c r="D340" t="s">
        <v>2579</v>
      </c>
      <c r="E340">
        <v>3</v>
      </c>
      <c r="F340">
        <v>51000</v>
      </c>
      <c r="G340">
        <v>0</v>
      </c>
      <c r="H340">
        <v>0</v>
      </c>
      <c r="I340" t="s">
        <v>2652</v>
      </c>
      <c r="J340" s="4">
        <f t="shared" si="15"/>
        <v>153000</v>
      </c>
      <c r="K340" s="4" t="str">
        <f t="shared" si="16"/>
        <v>2024-10</v>
      </c>
      <c r="L340" s="4" t="str">
        <f t="shared" si="17"/>
        <v>토</v>
      </c>
      <c r="M340" s="2" t="str">
        <f>VLOOKUP($C340, 고객정보!$A$2:$E$151, 2, FALSE)</f>
        <v>광주</v>
      </c>
      <c r="N340" t="str">
        <f>VLOOKUP(C340,고객정보!$A$2:$D$151,4,FALSE)</f>
        <v>L2</v>
      </c>
      <c r="O340" t="str">
        <f>VLOOKUP($C340, 고객정보!$A$2:$E$151, 5, FALSE)</f>
        <v>50대 이상</v>
      </c>
      <c r="P340" t="str">
        <f>VLOOKUP(D340,상품정보!$A$2:$E$61,2,FALSE)</f>
        <v>핸드폰케이스</v>
      </c>
      <c r="Q340" t="str">
        <f>VLOOKUP(D340,상품정보!$A$2:$D$151,3,FALSE)</f>
        <v>액세서리</v>
      </c>
      <c r="R340" t="str">
        <f>VLOOKUP(D340,상품정보!$A$2:$D$151,4,FALSE)</f>
        <v>브랜드F</v>
      </c>
    </row>
    <row r="341" spans="1:18" x14ac:dyDescent="0.45">
      <c r="A341" t="s">
        <v>67</v>
      </c>
      <c r="B341" t="s">
        <v>740</v>
      </c>
      <c r="C341" t="s">
        <v>2418</v>
      </c>
      <c r="D341" t="s">
        <v>2602</v>
      </c>
      <c r="E341">
        <v>3</v>
      </c>
      <c r="F341">
        <v>59900</v>
      </c>
      <c r="G341">
        <v>2000</v>
      </c>
      <c r="H341">
        <v>0</v>
      </c>
      <c r="I341" t="s">
        <v>2652</v>
      </c>
      <c r="J341" s="4">
        <f t="shared" si="15"/>
        <v>181700</v>
      </c>
      <c r="K341" s="4" t="str">
        <f t="shared" si="16"/>
        <v>2024-02</v>
      </c>
      <c r="L341" s="4" t="str">
        <f t="shared" si="17"/>
        <v>일</v>
      </c>
      <c r="M341" s="2" t="str">
        <f>VLOOKUP($C341, 고객정보!$A$2:$E$151, 2, FALSE)</f>
        <v>부산</v>
      </c>
      <c r="N341" t="str">
        <f>VLOOKUP(C341,고객정보!$A$2:$D$151,4,FALSE)</f>
        <v>L5</v>
      </c>
      <c r="O341" t="str">
        <f>VLOOKUP($C341, 고객정보!$A$2:$E$151, 5, FALSE)</f>
        <v>30대</v>
      </c>
      <c r="P341" t="str">
        <f>VLOOKUP(D341,상품정보!$A$2:$E$61,2,FALSE)</f>
        <v>셔츠</v>
      </c>
      <c r="Q341" t="str">
        <f>VLOOKUP(D341,상품정보!$A$2:$D$151,3,FALSE)</f>
        <v>의류</v>
      </c>
      <c r="R341" t="str">
        <f>VLOOKUP(D341,상품정보!$A$2:$D$151,4,FALSE)</f>
        <v>브랜드A</v>
      </c>
    </row>
    <row r="342" spans="1:18" x14ac:dyDescent="0.45">
      <c r="A342" t="s">
        <v>101</v>
      </c>
      <c r="B342" t="s">
        <v>741</v>
      </c>
      <c r="C342" t="s">
        <v>2405</v>
      </c>
      <c r="D342" t="s">
        <v>2608</v>
      </c>
      <c r="E342">
        <v>1</v>
      </c>
      <c r="F342">
        <v>10600</v>
      </c>
      <c r="G342">
        <v>2000</v>
      </c>
      <c r="H342">
        <v>0</v>
      </c>
      <c r="I342" t="s">
        <v>2652</v>
      </c>
      <c r="J342" s="4">
        <f t="shared" si="15"/>
        <v>12600</v>
      </c>
      <c r="K342" s="4" t="str">
        <f t="shared" si="16"/>
        <v>2024-11</v>
      </c>
      <c r="L342" s="4" t="str">
        <f t="shared" si="17"/>
        <v>수</v>
      </c>
      <c r="M342" s="2" t="str">
        <f>VLOOKUP($C342, 고객정보!$A$2:$E$151, 2, FALSE)</f>
        <v>부산</v>
      </c>
      <c r="N342" t="str">
        <f>VLOOKUP(C342,고객정보!$A$2:$D$151,4,FALSE)</f>
        <v>L3</v>
      </c>
      <c r="O342" t="str">
        <f>VLOOKUP($C342, 고객정보!$A$2:$E$151, 5, FALSE)</f>
        <v>40대</v>
      </c>
      <c r="P342" t="str">
        <f>VLOOKUP(D342,상품정보!$A$2:$E$61,2,FALSE)</f>
        <v>셔츠</v>
      </c>
      <c r="Q342" t="str">
        <f>VLOOKUP(D342,상품정보!$A$2:$D$151,3,FALSE)</f>
        <v>의류</v>
      </c>
      <c r="R342" t="str">
        <f>VLOOKUP(D342,상품정보!$A$2:$D$151,4,FALSE)</f>
        <v>브랜드D</v>
      </c>
    </row>
    <row r="343" spans="1:18" x14ac:dyDescent="0.45">
      <c r="A343" t="s">
        <v>235</v>
      </c>
      <c r="B343" t="s">
        <v>742</v>
      </c>
      <c r="C343" t="s">
        <v>2406</v>
      </c>
      <c r="D343" t="s">
        <v>2597</v>
      </c>
      <c r="E343">
        <v>5</v>
      </c>
      <c r="F343">
        <v>65300</v>
      </c>
      <c r="G343">
        <v>500</v>
      </c>
      <c r="H343">
        <v>0</v>
      </c>
      <c r="I343" t="s">
        <v>2652</v>
      </c>
      <c r="J343" s="4">
        <f t="shared" si="15"/>
        <v>327000</v>
      </c>
      <c r="K343" s="4" t="str">
        <f t="shared" si="16"/>
        <v>2024-04</v>
      </c>
      <c r="L343" s="4" t="str">
        <f t="shared" si="17"/>
        <v>화</v>
      </c>
      <c r="M343" s="2" t="str">
        <f>VLOOKUP($C343, 고객정보!$A$2:$E$151, 2, FALSE)</f>
        <v>부산</v>
      </c>
      <c r="N343" t="str">
        <f>VLOOKUP(C343,고객정보!$A$2:$D$151,4,FALSE)</f>
        <v>L5</v>
      </c>
      <c r="O343" t="str">
        <f>VLOOKUP($C343, 고객정보!$A$2:$E$151, 5, FALSE)</f>
        <v>30대</v>
      </c>
      <c r="P343" t="str">
        <f>VLOOKUP(D343,상품정보!$A$2:$E$61,2,FALSE)</f>
        <v>반지</v>
      </c>
      <c r="Q343" t="str">
        <f>VLOOKUP(D343,상품정보!$A$2:$D$151,3,FALSE)</f>
        <v>액세서리</v>
      </c>
      <c r="R343" t="str">
        <f>VLOOKUP(D343,상품정보!$A$2:$D$151,4,FALSE)</f>
        <v>브랜드F</v>
      </c>
    </row>
    <row r="344" spans="1:18" x14ac:dyDescent="0.45">
      <c r="A344" t="s">
        <v>228</v>
      </c>
      <c r="B344" t="s">
        <v>743</v>
      </c>
      <c r="C344" t="s">
        <v>2433</v>
      </c>
      <c r="D344" t="s">
        <v>2601</v>
      </c>
      <c r="E344">
        <v>4</v>
      </c>
      <c r="F344">
        <v>17000</v>
      </c>
      <c r="G344">
        <v>1000</v>
      </c>
      <c r="H344">
        <v>0</v>
      </c>
      <c r="I344" t="s">
        <v>2652</v>
      </c>
      <c r="J344" s="4">
        <f t="shared" si="15"/>
        <v>69000</v>
      </c>
      <c r="K344" s="4" t="str">
        <f t="shared" si="16"/>
        <v>2024-12</v>
      </c>
      <c r="L344" s="4" t="str">
        <f t="shared" si="17"/>
        <v>화</v>
      </c>
      <c r="M344" s="2" t="str">
        <f>VLOOKUP($C344, 고객정보!$A$2:$E$151, 2, FALSE)</f>
        <v>부산</v>
      </c>
      <c r="N344" t="str">
        <f>VLOOKUP(C344,고객정보!$A$2:$D$151,4,FALSE)</f>
        <v>L3</v>
      </c>
      <c r="O344" t="str">
        <f>VLOOKUP($C344, 고객정보!$A$2:$E$151, 5, FALSE)</f>
        <v>10대</v>
      </c>
      <c r="P344" t="str">
        <f>VLOOKUP(D344,상품정보!$A$2:$E$61,2,FALSE)</f>
        <v>자켓</v>
      </c>
      <c r="Q344" t="str">
        <f>VLOOKUP(D344,상품정보!$A$2:$D$151,3,FALSE)</f>
        <v>의류</v>
      </c>
      <c r="R344" t="str">
        <f>VLOOKUP(D344,상품정보!$A$2:$D$151,4,FALSE)</f>
        <v>브랜드E</v>
      </c>
    </row>
    <row r="345" spans="1:18" x14ac:dyDescent="0.45">
      <c r="A345" t="s">
        <v>108</v>
      </c>
      <c r="B345" t="s">
        <v>744</v>
      </c>
      <c r="C345" t="s">
        <v>2471</v>
      </c>
      <c r="D345" t="s">
        <v>2593</v>
      </c>
      <c r="E345">
        <v>4</v>
      </c>
      <c r="F345">
        <v>74600</v>
      </c>
      <c r="G345">
        <v>500</v>
      </c>
      <c r="H345">
        <v>0</v>
      </c>
      <c r="I345" t="s">
        <v>2652</v>
      </c>
      <c r="J345" s="4">
        <f t="shared" si="15"/>
        <v>298900</v>
      </c>
      <c r="K345" s="4" t="str">
        <f t="shared" si="16"/>
        <v>2024-02</v>
      </c>
      <c r="L345" s="4" t="str">
        <f t="shared" si="17"/>
        <v>목</v>
      </c>
      <c r="M345" s="2" t="str">
        <f>VLOOKUP($C345, 고객정보!$A$2:$E$151, 2, FALSE)</f>
        <v>서울</v>
      </c>
      <c r="N345" t="str">
        <f>VLOOKUP(C345,고객정보!$A$2:$D$151,4,FALSE)</f>
        <v>L5</v>
      </c>
      <c r="O345" t="str">
        <f>VLOOKUP($C345, 고객정보!$A$2:$E$151, 5, FALSE)</f>
        <v>40대</v>
      </c>
      <c r="P345" t="str">
        <f>VLOOKUP(D345,상품정보!$A$2:$E$61,2,FALSE)</f>
        <v>반팔 티셔츠</v>
      </c>
      <c r="Q345" t="str">
        <f>VLOOKUP(D345,상품정보!$A$2:$D$151,3,FALSE)</f>
        <v>의류</v>
      </c>
      <c r="R345" t="str">
        <f>VLOOKUP(D345,상품정보!$A$2:$D$151,4,FALSE)</f>
        <v>브랜드B</v>
      </c>
    </row>
    <row r="346" spans="1:18" x14ac:dyDescent="0.45">
      <c r="A346" t="s">
        <v>186</v>
      </c>
      <c r="B346" t="s">
        <v>745</v>
      </c>
      <c r="C346" t="s">
        <v>2430</v>
      </c>
      <c r="D346" t="s">
        <v>2564</v>
      </c>
      <c r="E346">
        <v>1</v>
      </c>
      <c r="F346">
        <v>66600</v>
      </c>
      <c r="G346">
        <v>1500</v>
      </c>
      <c r="H346">
        <v>0</v>
      </c>
      <c r="I346" t="s">
        <v>2652</v>
      </c>
      <c r="J346" s="4">
        <f t="shared" si="15"/>
        <v>68100</v>
      </c>
      <c r="K346" s="4" t="str">
        <f t="shared" si="16"/>
        <v>2024-06</v>
      </c>
      <c r="L346" s="4" t="str">
        <f t="shared" si="17"/>
        <v>화</v>
      </c>
      <c r="M346" s="2" t="str">
        <f>VLOOKUP($C346, 고객정보!$A$2:$E$151, 2, FALSE)</f>
        <v>광주</v>
      </c>
      <c r="N346" t="str">
        <f>VLOOKUP(C346,고객정보!$A$2:$D$151,4,FALSE)</f>
        <v>L4</v>
      </c>
      <c r="O346" t="str">
        <f>VLOOKUP($C346, 고객정보!$A$2:$E$151, 5, FALSE)</f>
        <v>30대</v>
      </c>
      <c r="P346" t="str">
        <f>VLOOKUP(D346,상품정보!$A$2:$E$61,2,FALSE)</f>
        <v>청바지</v>
      </c>
      <c r="Q346" t="str">
        <f>VLOOKUP(D346,상품정보!$A$2:$D$151,3,FALSE)</f>
        <v>의류</v>
      </c>
      <c r="R346" t="str">
        <f>VLOOKUP(D346,상품정보!$A$2:$D$151,4,FALSE)</f>
        <v>브랜드B</v>
      </c>
    </row>
    <row r="347" spans="1:18" x14ac:dyDescent="0.45">
      <c r="A347" t="s">
        <v>137</v>
      </c>
      <c r="B347" t="s">
        <v>746</v>
      </c>
      <c r="C347" t="s">
        <v>2534</v>
      </c>
      <c r="D347" t="s">
        <v>2580</v>
      </c>
      <c r="E347">
        <v>1</v>
      </c>
      <c r="F347">
        <v>77800</v>
      </c>
      <c r="G347">
        <v>1500</v>
      </c>
      <c r="H347">
        <v>0</v>
      </c>
      <c r="I347" t="s">
        <v>2652</v>
      </c>
      <c r="J347" s="4">
        <f t="shared" si="15"/>
        <v>79300</v>
      </c>
      <c r="K347" s="4" t="str">
        <f t="shared" si="16"/>
        <v>2024-04</v>
      </c>
      <c r="L347" s="4" t="str">
        <f t="shared" si="17"/>
        <v>화</v>
      </c>
      <c r="M347" s="2" t="str">
        <f>VLOOKUP($C347, 고객정보!$A$2:$E$151, 2, FALSE)</f>
        <v>광주</v>
      </c>
      <c r="N347" t="str">
        <f>VLOOKUP(C347,고객정보!$A$2:$D$151,4,FALSE)</f>
        <v>L2</v>
      </c>
      <c r="O347" t="str">
        <f>VLOOKUP($C347, 고객정보!$A$2:$E$151, 5, FALSE)</f>
        <v>10대</v>
      </c>
      <c r="P347" t="str">
        <f>VLOOKUP(D347,상품정보!$A$2:$E$61,2,FALSE)</f>
        <v>청바지</v>
      </c>
      <c r="Q347" t="str">
        <f>VLOOKUP(D347,상품정보!$A$2:$D$151,3,FALSE)</f>
        <v>의류</v>
      </c>
      <c r="R347" t="str">
        <f>VLOOKUP(D347,상품정보!$A$2:$D$151,4,FALSE)</f>
        <v>브랜드A</v>
      </c>
    </row>
    <row r="348" spans="1:18" x14ac:dyDescent="0.45">
      <c r="A348" t="s">
        <v>234</v>
      </c>
      <c r="B348" t="s">
        <v>747</v>
      </c>
      <c r="C348" t="s">
        <v>2436</v>
      </c>
      <c r="D348" t="s">
        <v>2552</v>
      </c>
      <c r="E348">
        <v>4</v>
      </c>
      <c r="F348">
        <v>13300</v>
      </c>
      <c r="G348">
        <v>0</v>
      </c>
      <c r="H348">
        <v>0</v>
      </c>
      <c r="I348" t="s">
        <v>2652</v>
      </c>
      <c r="J348" s="4">
        <f t="shared" si="15"/>
        <v>53200</v>
      </c>
      <c r="K348" s="4" t="str">
        <f t="shared" si="16"/>
        <v>2024-08</v>
      </c>
      <c r="L348" s="4" t="str">
        <f t="shared" si="17"/>
        <v>화</v>
      </c>
      <c r="M348" s="2" t="str">
        <f>VLOOKUP($C348, 고객정보!$A$2:$E$151, 2, FALSE)</f>
        <v>인천</v>
      </c>
      <c r="N348" t="str">
        <f>VLOOKUP(C348,고객정보!$A$2:$D$151,4,FALSE)</f>
        <v>L4</v>
      </c>
      <c r="O348" t="str">
        <f>VLOOKUP($C348, 고객정보!$A$2:$E$151, 5, FALSE)</f>
        <v>10대</v>
      </c>
      <c r="P348" t="str">
        <f>VLOOKUP(D348,상품정보!$A$2:$E$61,2,FALSE)</f>
        <v>셔츠</v>
      </c>
      <c r="Q348" t="str">
        <f>VLOOKUP(D348,상품정보!$A$2:$D$151,3,FALSE)</f>
        <v>의류</v>
      </c>
      <c r="R348" t="str">
        <f>VLOOKUP(D348,상품정보!$A$2:$D$151,4,FALSE)</f>
        <v>브랜드E</v>
      </c>
    </row>
    <row r="349" spans="1:18" x14ac:dyDescent="0.45">
      <c r="A349" t="s">
        <v>13</v>
      </c>
      <c r="B349" t="s">
        <v>748</v>
      </c>
      <c r="C349" t="s">
        <v>2506</v>
      </c>
      <c r="D349" t="s">
        <v>2567</v>
      </c>
      <c r="E349">
        <v>5</v>
      </c>
      <c r="F349">
        <v>58600</v>
      </c>
      <c r="G349">
        <v>0</v>
      </c>
      <c r="H349">
        <v>0</v>
      </c>
      <c r="I349" t="s">
        <v>2652</v>
      </c>
      <c r="J349" s="4">
        <f t="shared" si="15"/>
        <v>293000</v>
      </c>
      <c r="K349" s="4" t="str">
        <f t="shared" si="16"/>
        <v>2024-08</v>
      </c>
      <c r="L349" s="4" t="str">
        <f t="shared" si="17"/>
        <v>금</v>
      </c>
      <c r="M349" s="2" t="str">
        <f>VLOOKUP($C349, 고객정보!$A$2:$E$151, 2, FALSE)</f>
        <v>광주</v>
      </c>
      <c r="N349" t="str">
        <f>VLOOKUP(C349,고객정보!$A$2:$D$151,4,FALSE)</f>
        <v>L2</v>
      </c>
      <c r="O349" t="str">
        <f>VLOOKUP($C349, 고객정보!$A$2:$E$151, 5, FALSE)</f>
        <v>50대 이상</v>
      </c>
      <c r="P349" t="str">
        <f>VLOOKUP(D349,상품정보!$A$2:$E$61,2,FALSE)</f>
        <v>귀걸이</v>
      </c>
      <c r="Q349" t="str">
        <f>VLOOKUP(D349,상품정보!$A$2:$D$151,3,FALSE)</f>
        <v>액세서리</v>
      </c>
      <c r="R349" t="str">
        <f>VLOOKUP(D349,상품정보!$A$2:$D$151,4,FALSE)</f>
        <v>브랜드B</v>
      </c>
    </row>
    <row r="350" spans="1:18" x14ac:dyDescent="0.45">
      <c r="A350" t="s">
        <v>127</v>
      </c>
      <c r="B350" t="s">
        <v>749</v>
      </c>
      <c r="C350" t="s">
        <v>2477</v>
      </c>
      <c r="D350" t="s">
        <v>2584</v>
      </c>
      <c r="E350">
        <v>4</v>
      </c>
      <c r="F350">
        <v>59700</v>
      </c>
      <c r="G350">
        <v>0</v>
      </c>
      <c r="H350">
        <v>0</v>
      </c>
      <c r="I350" t="s">
        <v>2652</v>
      </c>
      <c r="J350" s="4">
        <f t="shared" si="15"/>
        <v>238800</v>
      </c>
      <c r="K350" s="4" t="str">
        <f t="shared" si="16"/>
        <v>2024-12</v>
      </c>
      <c r="L350" s="4" t="str">
        <f t="shared" si="17"/>
        <v>일</v>
      </c>
      <c r="M350" s="2" t="str">
        <f>VLOOKUP($C350, 고객정보!$A$2:$E$151, 2, FALSE)</f>
        <v>부산</v>
      </c>
      <c r="N350" t="str">
        <f>VLOOKUP(C350,고객정보!$A$2:$D$151,4,FALSE)</f>
        <v>L4</v>
      </c>
      <c r="O350" t="str">
        <f>VLOOKUP($C350, 고객정보!$A$2:$E$151, 5, FALSE)</f>
        <v>20대</v>
      </c>
      <c r="P350" t="str">
        <f>VLOOKUP(D350,상품정보!$A$2:$E$61,2,FALSE)</f>
        <v>목걸이</v>
      </c>
      <c r="Q350" t="str">
        <f>VLOOKUP(D350,상품정보!$A$2:$D$151,3,FALSE)</f>
        <v>액세서리</v>
      </c>
      <c r="R350" t="str">
        <f>VLOOKUP(D350,상품정보!$A$2:$D$151,4,FALSE)</f>
        <v>브랜드B</v>
      </c>
    </row>
    <row r="351" spans="1:18" x14ac:dyDescent="0.45">
      <c r="A351" t="s">
        <v>115</v>
      </c>
      <c r="B351" t="s">
        <v>750</v>
      </c>
      <c r="C351" t="s">
        <v>2527</v>
      </c>
      <c r="D351" t="s">
        <v>2569</v>
      </c>
      <c r="E351">
        <v>4</v>
      </c>
      <c r="F351">
        <v>11400</v>
      </c>
      <c r="G351">
        <v>0</v>
      </c>
      <c r="H351">
        <v>0</v>
      </c>
      <c r="I351" t="s">
        <v>2652</v>
      </c>
      <c r="J351" s="4">
        <f t="shared" si="15"/>
        <v>45600</v>
      </c>
      <c r="K351" s="4" t="str">
        <f t="shared" si="16"/>
        <v>2024-11</v>
      </c>
      <c r="L351" s="4" t="str">
        <f t="shared" si="17"/>
        <v>월</v>
      </c>
      <c r="M351" s="2" t="str">
        <f>VLOOKUP($C351, 고객정보!$A$2:$E$151, 2, FALSE)</f>
        <v>광주</v>
      </c>
      <c r="N351" t="str">
        <f>VLOOKUP(C351,고객정보!$A$2:$D$151,4,FALSE)</f>
        <v>L2</v>
      </c>
      <c r="O351" t="str">
        <f>VLOOKUP($C351, 고객정보!$A$2:$E$151, 5, FALSE)</f>
        <v>30대</v>
      </c>
      <c r="P351" t="str">
        <f>VLOOKUP(D351,상품정보!$A$2:$E$61,2,FALSE)</f>
        <v>귀걸이</v>
      </c>
      <c r="Q351" t="str">
        <f>VLOOKUP(D351,상품정보!$A$2:$D$151,3,FALSE)</f>
        <v>액세서리</v>
      </c>
      <c r="R351" t="str">
        <f>VLOOKUP(D351,상품정보!$A$2:$D$151,4,FALSE)</f>
        <v>브랜드E</v>
      </c>
    </row>
    <row r="352" spans="1:18" x14ac:dyDescent="0.45">
      <c r="A352" t="s">
        <v>96</v>
      </c>
      <c r="B352" t="s">
        <v>751</v>
      </c>
      <c r="C352" t="s">
        <v>2460</v>
      </c>
      <c r="D352" t="s">
        <v>2565</v>
      </c>
      <c r="E352">
        <v>1</v>
      </c>
      <c r="F352">
        <v>50000</v>
      </c>
      <c r="G352">
        <v>500</v>
      </c>
      <c r="H352">
        <v>0</v>
      </c>
      <c r="I352" t="s">
        <v>2652</v>
      </c>
      <c r="J352" s="4">
        <f t="shared" si="15"/>
        <v>50500</v>
      </c>
      <c r="K352" s="4" t="str">
        <f t="shared" si="16"/>
        <v>2024-12</v>
      </c>
      <c r="L352" s="4" t="str">
        <f t="shared" si="17"/>
        <v>목</v>
      </c>
      <c r="M352" s="2" t="str">
        <f>VLOOKUP($C352, 고객정보!$A$2:$E$151, 2, FALSE)</f>
        <v>대전</v>
      </c>
      <c r="N352" t="str">
        <f>VLOOKUP(C352,고객정보!$A$2:$D$151,4,FALSE)</f>
        <v>L4</v>
      </c>
      <c r="O352" t="str">
        <f>VLOOKUP($C352, 고객정보!$A$2:$E$151, 5, FALSE)</f>
        <v>20대</v>
      </c>
      <c r="P352" t="str">
        <f>VLOOKUP(D352,상품정보!$A$2:$E$61,2,FALSE)</f>
        <v>핸드폰케이스</v>
      </c>
      <c r="Q352" t="str">
        <f>VLOOKUP(D352,상품정보!$A$2:$D$151,3,FALSE)</f>
        <v>액세서리</v>
      </c>
      <c r="R352" t="str">
        <f>VLOOKUP(D352,상품정보!$A$2:$D$151,4,FALSE)</f>
        <v>브랜드B</v>
      </c>
    </row>
    <row r="353" spans="1:18" x14ac:dyDescent="0.45">
      <c r="A353" t="s">
        <v>236</v>
      </c>
      <c r="B353" t="s">
        <v>752</v>
      </c>
      <c r="C353" t="s">
        <v>2506</v>
      </c>
      <c r="D353" t="s">
        <v>2572</v>
      </c>
      <c r="E353">
        <v>4</v>
      </c>
      <c r="F353">
        <v>61700</v>
      </c>
      <c r="G353">
        <v>1000</v>
      </c>
      <c r="H353">
        <v>6500</v>
      </c>
      <c r="I353" t="s">
        <v>2611</v>
      </c>
      <c r="J353" s="4">
        <f t="shared" si="15"/>
        <v>241300</v>
      </c>
      <c r="K353" s="4" t="str">
        <f t="shared" si="16"/>
        <v>2024-08</v>
      </c>
      <c r="L353" s="4" t="str">
        <f t="shared" si="17"/>
        <v>목</v>
      </c>
      <c r="M353" s="2" t="str">
        <f>VLOOKUP($C353, 고객정보!$A$2:$E$151, 2, FALSE)</f>
        <v>광주</v>
      </c>
      <c r="N353" t="str">
        <f>VLOOKUP(C353,고객정보!$A$2:$D$151,4,FALSE)</f>
        <v>L2</v>
      </c>
      <c r="O353" t="str">
        <f>VLOOKUP($C353, 고객정보!$A$2:$E$151, 5, FALSE)</f>
        <v>50대 이상</v>
      </c>
      <c r="P353" t="str">
        <f>VLOOKUP(D353,상품정보!$A$2:$E$61,2,FALSE)</f>
        <v>반팔 티셔츠</v>
      </c>
      <c r="Q353" t="str">
        <f>VLOOKUP(D353,상품정보!$A$2:$D$151,3,FALSE)</f>
        <v>의류</v>
      </c>
      <c r="R353" t="str">
        <f>VLOOKUP(D353,상품정보!$A$2:$D$151,4,FALSE)</f>
        <v>브랜드F</v>
      </c>
    </row>
    <row r="354" spans="1:18" x14ac:dyDescent="0.45">
      <c r="A354" t="s">
        <v>71</v>
      </c>
      <c r="B354" t="s">
        <v>753</v>
      </c>
      <c r="C354" t="s">
        <v>2467</v>
      </c>
      <c r="D354" t="s">
        <v>2610</v>
      </c>
      <c r="E354">
        <v>3</v>
      </c>
      <c r="F354">
        <v>18800</v>
      </c>
      <c r="G354">
        <v>500</v>
      </c>
      <c r="H354">
        <v>0</v>
      </c>
      <c r="I354" t="s">
        <v>2652</v>
      </c>
      <c r="J354" s="4">
        <f t="shared" si="15"/>
        <v>56900</v>
      </c>
      <c r="K354" s="4" t="str">
        <f t="shared" si="16"/>
        <v>2024-02</v>
      </c>
      <c r="L354" s="4" t="str">
        <f t="shared" si="17"/>
        <v>화</v>
      </c>
      <c r="M354" s="2" t="str">
        <f>VLOOKUP($C354, 고객정보!$A$2:$E$151, 2, FALSE)</f>
        <v>부산</v>
      </c>
      <c r="N354" t="str">
        <f>VLOOKUP(C354,고객정보!$A$2:$D$151,4,FALSE)</f>
        <v>L4</v>
      </c>
      <c r="O354" t="str">
        <f>VLOOKUP($C354, 고객정보!$A$2:$E$151, 5, FALSE)</f>
        <v>20대</v>
      </c>
      <c r="P354" t="str">
        <f>VLOOKUP(D354,상품정보!$A$2:$E$61,2,FALSE)</f>
        <v>자켓</v>
      </c>
      <c r="Q354" t="str">
        <f>VLOOKUP(D354,상품정보!$A$2:$D$151,3,FALSE)</f>
        <v>의류</v>
      </c>
      <c r="R354" t="str">
        <f>VLOOKUP(D354,상품정보!$A$2:$D$151,4,FALSE)</f>
        <v>브랜드E</v>
      </c>
    </row>
    <row r="355" spans="1:18" x14ac:dyDescent="0.45">
      <c r="A355" t="s">
        <v>66</v>
      </c>
      <c r="B355" t="s">
        <v>754</v>
      </c>
      <c r="C355" t="s">
        <v>2506</v>
      </c>
      <c r="D355" t="s">
        <v>2561</v>
      </c>
      <c r="E355">
        <v>3</v>
      </c>
      <c r="F355">
        <v>63300</v>
      </c>
      <c r="G355">
        <v>1000</v>
      </c>
      <c r="H355">
        <v>0</v>
      </c>
      <c r="I355" t="s">
        <v>2652</v>
      </c>
      <c r="J355" s="4">
        <f t="shared" si="15"/>
        <v>190900</v>
      </c>
      <c r="K355" s="4" t="str">
        <f t="shared" si="16"/>
        <v>2024-02</v>
      </c>
      <c r="L355" s="4" t="str">
        <f t="shared" si="17"/>
        <v>목</v>
      </c>
      <c r="M355" s="2" t="str">
        <f>VLOOKUP($C355, 고객정보!$A$2:$E$151, 2, FALSE)</f>
        <v>광주</v>
      </c>
      <c r="N355" t="str">
        <f>VLOOKUP(C355,고객정보!$A$2:$D$151,4,FALSE)</f>
        <v>L2</v>
      </c>
      <c r="O355" t="str">
        <f>VLOOKUP($C355, 고객정보!$A$2:$E$151, 5, FALSE)</f>
        <v>50대 이상</v>
      </c>
      <c r="P355" t="str">
        <f>VLOOKUP(D355,상품정보!$A$2:$E$61,2,FALSE)</f>
        <v>귀걸이</v>
      </c>
      <c r="Q355" t="str">
        <f>VLOOKUP(D355,상품정보!$A$2:$D$151,3,FALSE)</f>
        <v>액세서리</v>
      </c>
      <c r="R355" t="str">
        <f>VLOOKUP(D355,상품정보!$A$2:$D$151,4,FALSE)</f>
        <v>브랜드B</v>
      </c>
    </row>
    <row r="356" spans="1:18" x14ac:dyDescent="0.45">
      <c r="A356" t="s">
        <v>130</v>
      </c>
      <c r="B356" t="s">
        <v>755</v>
      </c>
      <c r="C356" t="s">
        <v>2533</v>
      </c>
      <c r="D356" t="s">
        <v>2565</v>
      </c>
      <c r="E356">
        <v>2</v>
      </c>
      <c r="F356">
        <v>50000</v>
      </c>
      <c r="G356">
        <v>500</v>
      </c>
      <c r="H356">
        <v>0</v>
      </c>
      <c r="I356" t="s">
        <v>2652</v>
      </c>
      <c r="J356" s="4">
        <f t="shared" si="15"/>
        <v>100500</v>
      </c>
      <c r="K356" s="4" t="str">
        <f t="shared" si="16"/>
        <v>2024-03</v>
      </c>
      <c r="L356" s="4" t="str">
        <f t="shared" si="17"/>
        <v>일</v>
      </c>
      <c r="M356" s="2" t="str">
        <f>VLOOKUP($C356, 고객정보!$A$2:$E$151, 2, FALSE)</f>
        <v>인천</v>
      </c>
      <c r="N356" t="str">
        <f>VLOOKUP(C356,고객정보!$A$2:$D$151,4,FALSE)</f>
        <v>L5</v>
      </c>
      <c r="O356" t="str">
        <f>VLOOKUP($C356, 고객정보!$A$2:$E$151, 5, FALSE)</f>
        <v>30대</v>
      </c>
      <c r="P356" t="str">
        <f>VLOOKUP(D356,상품정보!$A$2:$E$61,2,FALSE)</f>
        <v>핸드폰케이스</v>
      </c>
      <c r="Q356" t="str">
        <f>VLOOKUP(D356,상품정보!$A$2:$D$151,3,FALSE)</f>
        <v>액세서리</v>
      </c>
      <c r="R356" t="str">
        <f>VLOOKUP(D356,상품정보!$A$2:$D$151,4,FALSE)</f>
        <v>브랜드B</v>
      </c>
    </row>
    <row r="357" spans="1:18" x14ac:dyDescent="0.45">
      <c r="A357" t="s">
        <v>237</v>
      </c>
      <c r="B357" t="s">
        <v>756</v>
      </c>
      <c r="C357" t="s">
        <v>2462</v>
      </c>
      <c r="D357" t="s">
        <v>2553</v>
      </c>
      <c r="E357">
        <v>2</v>
      </c>
      <c r="F357">
        <v>63400</v>
      </c>
      <c r="G357">
        <v>1500</v>
      </c>
      <c r="H357">
        <v>0</v>
      </c>
      <c r="I357" t="s">
        <v>2652</v>
      </c>
      <c r="J357" s="4">
        <f t="shared" si="15"/>
        <v>128300</v>
      </c>
      <c r="K357" s="4" t="str">
        <f t="shared" si="16"/>
        <v>2024-11</v>
      </c>
      <c r="L357" s="4" t="str">
        <f t="shared" si="17"/>
        <v>일</v>
      </c>
      <c r="M357" s="2" t="str">
        <f>VLOOKUP($C357, 고객정보!$A$2:$E$151, 2, FALSE)</f>
        <v>광주</v>
      </c>
      <c r="N357" t="str">
        <f>VLOOKUP(C357,고객정보!$A$2:$D$151,4,FALSE)</f>
        <v>L5</v>
      </c>
      <c r="O357" t="str">
        <f>VLOOKUP($C357, 고객정보!$A$2:$E$151, 5, FALSE)</f>
        <v>50대 이상</v>
      </c>
      <c r="P357" t="str">
        <f>VLOOKUP(D357,상품정보!$A$2:$E$61,2,FALSE)</f>
        <v>귀걸이</v>
      </c>
      <c r="Q357" t="str">
        <f>VLOOKUP(D357,상품정보!$A$2:$D$151,3,FALSE)</f>
        <v>액세서리</v>
      </c>
      <c r="R357" t="str">
        <f>VLOOKUP(D357,상품정보!$A$2:$D$151,4,FALSE)</f>
        <v>브랜드F</v>
      </c>
    </row>
    <row r="358" spans="1:18" x14ac:dyDescent="0.45">
      <c r="A358" t="s">
        <v>63</v>
      </c>
      <c r="B358" t="s">
        <v>757</v>
      </c>
      <c r="C358" t="s">
        <v>2520</v>
      </c>
      <c r="D358" t="s">
        <v>2596</v>
      </c>
      <c r="E358">
        <v>3</v>
      </c>
      <c r="F358">
        <v>59700</v>
      </c>
      <c r="G358">
        <v>0</v>
      </c>
      <c r="H358">
        <v>0</v>
      </c>
      <c r="I358" t="s">
        <v>2652</v>
      </c>
      <c r="J358" s="4">
        <f t="shared" si="15"/>
        <v>179100</v>
      </c>
      <c r="K358" s="4" t="str">
        <f t="shared" si="16"/>
        <v>2024-05</v>
      </c>
      <c r="L358" s="4" t="str">
        <f t="shared" si="17"/>
        <v>토</v>
      </c>
      <c r="M358" s="2" t="str">
        <f>VLOOKUP($C358, 고객정보!$A$2:$E$151, 2, FALSE)</f>
        <v>서울</v>
      </c>
      <c r="N358" t="str">
        <f>VLOOKUP(C358,고객정보!$A$2:$D$151,4,FALSE)</f>
        <v>L2</v>
      </c>
      <c r="O358" t="str">
        <f>VLOOKUP($C358, 고객정보!$A$2:$E$151, 5, FALSE)</f>
        <v>40대</v>
      </c>
      <c r="P358" t="str">
        <f>VLOOKUP(D358,상품정보!$A$2:$E$61,2,FALSE)</f>
        <v>청바지</v>
      </c>
      <c r="Q358" t="str">
        <f>VLOOKUP(D358,상품정보!$A$2:$D$151,3,FALSE)</f>
        <v>의류</v>
      </c>
      <c r="R358" t="str">
        <f>VLOOKUP(D358,상품정보!$A$2:$D$151,4,FALSE)</f>
        <v>브랜드A</v>
      </c>
    </row>
    <row r="359" spans="1:18" x14ac:dyDescent="0.45">
      <c r="A359" t="s">
        <v>238</v>
      </c>
      <c r="B359" t="s">
        <v>758</v>
      </c>
      <c r="C359" t="s">
        <v>2475</v>
      </c>
      <c r="D359" t="s">
        <v>2577</v>
      </c>
      <c r="E359">
        <v>5</v>
      </c>
      <c r="F359">
        <v>10200</v>
      </c>
      <c r="G359">
        <v>0</v>
      </c>
      <c r="H359">
        <v>0</v>
      </c>
      <c r="I359" t="s">
        <v>2652</v>
      </c>
      <c r="J359" s="4">
        <f t="shared" si="15"/>
        <v>51000</v>
      </c>
      <c r="K359" s="4" t="str">
        <f t="shared" si="16"/>
        <v>2024-04</v>
      </c>
      <c r="L359" s="4" t="str">
        <f t="shared" si="17"/>
        <v>월</v>
      </c>
      <c r="M359" s="2" t="str">
        <f>VLOOKUP($C359, 고객정보!$A$2:$E$151, 2, FALSE)</f>
        <v>서울</v>
      </c>
      <c r="N359" t="str">
        <f>VLOOKUP(C359,고객정보!$A$2:$D$151,4,FALSE)</f>
        <v>L2</v>
      </c>
      <c r="O359" t="str">
        <f>VLOOKUP($C359, 고객정보!$A$2:$E$151, 5, FALSE)</f>
        <v>10대</v>
      </c>
      <c r="P359" t="str">
        <f>VLOOKUP(D359,상품정보!$A$2:$E$61,2,FALSE)</f>
        <v>셔츠</v>
      </c>
      <c r="Q359" t="str">
        <f>VLOOKUP(D359,상품정보!$A$2:$D$151,3,FALSE)</f>
        <v>의류</v>
      </c>
      <c r="R359" t="str">
        <f>VLOOKUP(D359,상품정보!$A$2:$D$151,4,FALSE)</f>
        <v>브랜드C</v>
      </c>
    </row>
    <row r="360" spans="1:18" x14ac:dyDescent="0.45">
      <c r="A360" t="s">
        <v>239</v>
      </c>
      <c r="B360" t="s">
        <v>759</v>
      </c>
      <c r="C360" t="s">
        <v>2416</v>
      </c>
      <c r="D360" t="s">
        <v>2569</v>
      </c>
      <c r="E360">
        <v>5</v>
      </c>
      <c r="F360">
        <v>11400</v>
      </c>
      <c r="G360">
        <v>0</v>
      </c>
      <c r="H360">
        <v>4300</v>
      </c>
      <c r="I360" t="s">
        <v>2613</v>
      </c>
      <c r="J360" s="4">
        <f t="shared" si="15"/>
        <v>52700</v>
      </c>
      <c r="K360" s="4" t="str">
        <f t="shared" si="16"/>
        <v>2024-04</v>
      </c>
      <c r="L360" s="4" t="str">
        <f t="shared" si="17"/>
        <v>화</v>
      </c>
      <c r="M360" s="2" t="str">
        <f>VLOOKUP($C360, 고객정보!$A$2:$E$151, 2, FALSE)</f>
        <v>대구</v>
      </c>
      <c r="N360" t="str">
        <f>VLOOKUP(C360,고객정보!$A$2:$D$151,4,FALSE)</f>
        <v>L3</v>
      </c>
      <c r="O360" t="str">
        <f>VLOOKUP($C360, 고객정보!$A$2:$E$151, 5, FALSE)</f>
        <v>40대</v>
      </c>
      <c r="P360" t="str">
        <f>VLOOKUP(D360,상품정보!$A$2:$E$61,2,FALSE)</f>
        <v>귀걸이</v>
      </c>
      <c r="Q360" t="str">
        <f>VLOOKUP(D360,상품정보!$A$2:$D$151,3,FALSE)</f>
        <v>액세서리</v>
      </c>
      <c r="R360" t="str">
        <f>VLOOKUP(D360,상품정보!$A$2:$D$151,4,FALSE)</f>
        <v>브랜드E</v>
      </c>
    </row>
    <row r="361" spans="1:18" x14ac:dyDescent="0.45">
      <c r="A361" t="s">
        <v>204</v>
      </c>
      <c r="B361" t="s">
        <v>760</v>
      </c>
      <c r="C361" t="s">
        <v>2410</v>
      </c>
      <c r="D361" t="s">
        <v>2602</v>
      </c>
      <c r="E361">
        <v>2</v>
      </c>
      <c r="F361">
        <v>59900</v>
      </c>
      <c r="G361">
        <v>1000</v>
      </c>
      <c r="H361">
        <v>0</v>
      </c>
      <c r="I361" t="s">
        <v>2652</v>
      </c>
      <c r="J361" s="4">
        <f t="shared" si="15"/>
        <v>120800</v>
      </c>
      <c r="K361" s="4" t="str">
        <f t="shared" si="16"/>
        <v>2024-06</v>
      </c>
      <c r="L361" s="4" t="str">
        <f t="shared" si="17"/>
        <v>월</v>
      </c>
      <c r="M361" s="2" t="str">
        <f>VLOOKUP($C361, 고객정보!$A$2:$E$151, 2, FALSE)</f>
        <v>대전</v>
      </c>
      <c r="N361" t="str">
        <f>VLOOKUP(C361,고객정보!$A$2:$D$151,4,FALSE)</f>
        <v>L2</v>
      </c>
      <c r="O361" t="str">
        <f>VLOOKUP($C361, 고객정보!$A$2:$E$151, 5, FALSE)</f>
        <v>10대</v>
      </c>
      <c r="P361" t="str">
        <f>VLOOKUP(D361,상품정보!$A$2:$E$61,2,FALSE)</f>
        <v>셔츠</v>
      </c>
      <c r="Q361" t="str">
        <f>VLOOKUP(D361,상품정보!$A$2:$D$151,3,FALSE)</f>
        <v>의류</v>
      </c>
      <c r="R361" t="str">
        <f>VLOOKUP(D361,상품정보!$A$2:$D$151,4,FALSE)</f>
        <v>브랜드A</v>
      </c>
    </row>
    <row r="362" spans="1:18" x14ac:dyDescent="0.45">
      <c r="A362" t="s">
        <v>192</v>
      </c>
      <c r="B362" t="s">
        <v>761</v>
      </c>
      <c r="C362" t="s">
        <v>2535</v>
      </c>
      <c r="D362" t="s">
        <v>2577</v>
      </c>
      <c r="E362">
        <v>5</v>
      </c>
      <c r="F362">
        <v>10200</v>
      </c>
      <c r="G362">
        <v>0</v>
      </c>
      <c r="H362">
        <v>0</v>
      </c>
      <c r="I362" t="s">
        <v>2652</v>
      </c>
      <c r="J362" s="4">
        <f t="shared" si="15"/>
        <v>51000</v>
      </c>
      <c r="K362" s="4" t="str">
        <f t="shared" si="16"/>
        <v>2024-01</v>
      </c>
      <c r="L362" s="4" t="str">
        <f t="shared" si="17"/>
        <v>화</v>
      </c>
      <c r="M362" s="2" t="str">
        <f>VLOOKUP($C362, 고객정보!$A$2:$E$151, 2, FALSE)</f>
        <v>서울</v>
      </c>
      <c r="N362" t="str">
        <f>VLOOKUP(C362,고객정보!$A$2:$D$151,4,FALSE)</f>
        <v>L2</v>
      </c>
      <c r="O362" t="str">
        <f>VLOOKUP($C362, 고객정보!$A$2:$E$151, 5, FALSE)</f>
        <v>10대</v>
      </c>
      <c r="P362" t="str">
        <f>VLOOKUP(D362,상품정보!$A$2:$E$61,2,FALSE)</f>
        <v>셔츠</v>
      </c>
      <c r="Q362" t="str">
        <f>VLOOKUP(D362,상품정보!$A$2:$D$151,3,FALSE)</f>
        <v>의류</v>
      </c>
      <c r="R362" t="str">
        <f>VLOOKUP(D362,상품정보!$A$2:$D$151,4,FALSE)</f>
        <v>브랜드C</v>
      </c>
    </row>
    <row r="363" spans="1:18" x14ac:dyDescent="0.45">
      <c r="A363" t="s">
        <v>240</v>
      </c>
      <c r="B363" t="s">
        <v>762</v>
      </c>
      <c r="C363" t="s">
        <v>2508</v>
      </c>
      <c r="D363" t="s">
        <v>2610</v>
      </c>
      <c r="E363">
        <v>2</v>
      </c>
      <c r="F363">
        <v>18800</v>
      </c>
      <c r="G363">
        <v>500</v>
      </c>
      <c r="H363">
        <v>0</v>
      </c>
      <c r="I363" t="s">
        <v>2652</v>
      </c>
      <c r="J363" s="4">
        <f t="shared" si="15"/>
        <v>38100</v>
      </c>
      <c r="K363" s="4" t="str">
        <f t="shared" si="16"/>
        <v>2024-03</v>
      </c>
      <c r="L363" s="4" t="str">
        <f t="shared" si="17"/>
        <v>목</v>
      </c>
      <c r="M363" s="2" t="str">
        <f>VLOOKUP($C363, 고객정보!$A$2:$E$151, 2, FALSE)</f>
        <v>광주</v>
      </c>
      <c r="N363" t="str">
        <f>VLOOKUP(C363,고객정보!$A$2:$D$151,4,FALSE)</f>
        <v>L1</v>
      </c>
      <c r="O363" t="str">
        <f>VLOOKUP($C363, 고객정보!$A$2:$E$151, 5, FALSE)</f>
        <v>50대 이상</v>
      </c>
      <c r="P363" t="str">
        <f>VLOOKUP(D363,상품정보!$A$2:$E$61,2,FALSE)</f>
        <v>자켓</v>
      </c>
      <c r="Q363" t="str">
        <f>VLOOKUP(D363,상품정보!$A$2:$D$151,3,FALSE)</f>
        <v>의류</v>
      </c>
      <c r="R363" t="str">
        <f>VLOOKUP(D363,상품정보!$A$2:$D$151,4,FALSE)</f>
        <v>브랜드E</v>
      </c>
    </row>
    <row r="364" spans="1:18" x14ac:dyDescent="0.45">
      <c r="A364" t="s">
        <v>241</v>
      </c>
      <c r="B364" t="s">
        <v>763</v>
      </c>
      <c r="C364" t="s">
        <v>2502</v>
      </c>
      <c r="D364" t="s">
        <v>2605</v>
      </c>
      <c r="E364">
        <v>2</v>
      </c>
      <c r="F364">
        <v>6800</v>
      </c>
      <c r="G364">
        <v>0</v>
      </c>
      <c r="H364">
        <v>0</v>
      </c>
      <c r="I364" t="s">
        <v>2652</v>
      </c>
      <c r="J364" s="4">
        <f t="shared" si="15"/>
        <v>13600</v>
      </c>
      <c r="K364" s="4" t="str">
        <f t="shared" si="16"/>
        <v>2024-02</v>
      </c>
      <c r="L364" s="4" t="str">
        <f t="shared" si="17"/>
        <v>월</v>
      </c>
      <c r="M364" s="2" t="str">
        <f>VLOOKUP($C364, 고객정보!$A$2:$E$151, 2, FALSE)</f>
        <v>부산</v>
      </c>
      <c r="N364" t="str">
        <f>VLOOKUP(C364,고객정보!$A$2:$D$151,4,FALSE)</f>
        <v>L4</v>
      </c>
      <c r="O364" t="str">
        <f>VLOOKUP($C364, 고객정보!$A$2:$E$151, 5, FALSE)</f>
        <v>20대</v>
      </c>
      <c r="P364" t="str">
        <f>VLOOKUP(D364,상품정보!$A$2:$E$61,2,FALSE)</f>
        <v>핸드폰케이스</v>
      </c>
      <c r="Q364" t="str">
        <f>VLOOKUP(D364,상품정보!$A$2:$D$151,3,FALSE)</f>
        <v>액세서리</v>
      </c>
      <c r="R364" t="str">
        <f>VLOOKUP(D364,상품정보!$A$2:$D$151,4,FALSE)</f>
        <v>브랜드D</v>
      </c>
    </row>
    <row r="365" spans="1:18" x14ac:dyDescent="0.45">
      <c r="A365" t="s">
        <v>18</v>
      </c>
      <c r="B365" t="s">
        <v>764</v>
      </c>
      <c r="C365" t="s">
        <v>2480</v>
      </c>
      <c r="D365" t="s">
        <v>2552</v>
      </c>
      <c r="E365">
        <v>1</v>
      </c>
      <c r="F365">
        <v>13300</v>
      </c>
      <c r="G365">
        <v>0</v>
      </c>
      <c r="H365">
        <v>0</v>
      </c>
      <c r="I365" t="s">
        <v>2652</v>
      </c>
      <c r="J365" s="4">
        <f t="shared" si="15"/>
        <v>13300</v>
      </c>
      <c r="K365" s="4" t="str">
        <f t="shared" si="16"/>
        <v>2024-07</v>
      </c>
      <c r="L365" s="4" t="str">
        <f t="shared" si="17"/>
        <v>화</v>
      </c>
      <c r="M365" s="2" t="str">
        <f>VLOOKUP($C365, 고객정보!$A$2:$E$151, 2, FALSE)</f>
        <v>서울</v>
      </c>
      <c r="N365" t="str">
        <f>VLOOKUP(C365,고객정보!$A$2:$D$151,4,FALSE)</f>
        <v>L1</v>
      </c>
      <c r="O365" t="str">
        <f>VLOOKUP($C365, 고객정보!$A$2:$E$151, 5, FALSE)</f>
        <v>20대</v>
      </c>
      <c r="P365" t="str">
        <f>VLOOKUP(D365,상품정보!$A$2:$E$61,2,FALSE)</f>
        <v>셔츠</v>
      </c>
      <c r="Q365" t="str">
        <f>VLOOKUP(D365,상품정보!$A$2:$D$151,3,FALSE)</f>
        <v>의류</v>
      </c>
      <c r="R365" t="str">
        <f>VLOOKUP(D365,상품정보!$A$2:$D$151,4,FALSE)</f>
        <v>브랜드E</v>
      </c>
    </row>
    <row r="366" spans="1:18" x14ac:dyDescent="0.45">
      <c r="A366" t="s">
        <v>242</v>
      </c>
      <c r="B366" t="s">
        <v>765</v>
      </c>
      <c r="C366" t="s">
        <v>2467</v>
      </c>
      <c r="D366" t="s">
        <v>2589</v>
      </c>
      <c r="E366">
        <v>3</v>
      </c>
      <c r="F366">
        <v>71400</v>
      </c>
      <c r="G366">
        <v>500</v>
      </c>
      <c r="H366">
        <v>9600</v>
      </c>
      <c r="I366" t="s">
        <v>2614</v>
      </c>
      <c r="J366" s="4">
        <f t="shared" si="15"/>
        <v>205100</v>
      </c>
      <c r="K366" s="4" t="str">
        <f t="shared" si="16"/>
        <v>2024-01</v>
      </c>
      <c r="L366" s="4" t="str">
        <f t="shared" si="17"/>
        <v>화</v>
      </c>
      <c r="M366" s="2" t="str">
        <f>VLOOKUP($C366, 고객정보!$A$2:$E$151, 2, FALSE)</f>
        <v>부산</v>
      </c>
      <c r="N366" t="str">
        <f>VLOOKUP(C366,고객정보!$A$2:$D$151,4,FALSE)</f>
        <v>L4</v>
      </c>
      <c r="O366" t="str">
        <f>VLOOKUP($C366, 고객정보!$A$2:$E$151, 5, FALSE)</f>
        <v>20대</v>
      </c>
      <c r="P366" t="str">
        <f>VLOOKUP(D366,상품정보!$A$2:$E$61,2,FALSE)</f>
        <v>셔츠</v>
      </c>
      <c r="Q366" t="str">
        <f>VLOOKUP(D366,상품정보!$A$2:$D$151,3,FALSE)</f>
        <v>의류</v>
      </c>
      <c r="R366" t="str">
        <f>VLOOKUP(D366,상품정보!$A$2:$D$151,4,FALSE)</f>
        <v>브랜드A</v>
      </c>
    </row>
    <row r="367" spans="1:18" x14ac:dyDescent="0.45">
      <c r="A367" t="s">
        <v>218</v>
      </c>
      <c r="B367" t="s">
        <v>766</v>
      </c>
      <c r="C367" t="s">
        <v>2536</v>
      </c>
      <c r="D367" t="s">
        <v>2605</v>
      </c>
      <c r="E367">
        <v>1</v>
      </c>
      <c r="F367">
        <v>6800</v>
      </c>
      <c r="G367">
        <v>0</v>
      </c>
      <c r="H367">
        <v>0</v>
      </c>
      <c r="I367" t="s">
        <v>2652</v>
      </c>
      <c r="J367" s="4">
        <f t="shared" si="15"/>
        <v>6800</v>
      </c>
      <c r="K367" s="4" t="str">
        <f t="shared" si="16"/>
        <v>2024-03</v>
      </c>
      <c r="L367" s="4" t="str">
        <f t="shared" si="17"/>
        <v>화</v>
      </c>
      <c r="M367" s="2" t="str">
        <f>VLOOKUP($C367, 고객정보!$A$2:$E$151, 2, FALSE)</f>
        <v>서울</v>
      </c>
      <c r="N367" t="str">
        <f>VLOOKUP(C367,고객정보!$A$2:$D$151,4,FALSE)</f>
        <v>L5</v>
      </c>
      <c r="O367" t="str">
        <f>VLOOKUP($C367, 고객정보!$A$2:$E$151, 5, FALSE)</f>
        <v>20대</v>
      </c>
      <c r="P367" t="str">
        <f>VLOOKUP(D367,상품정보!$A$2:$E$61,2,FALSE)</f>
        <v>핸드폰케이스</v>
      </c>
      <c r="Q367" t="str">
        <f>VLOOKUP(D367,상품정보!$A$2:$D$151,3,FALSE)</f>
        <v>액세서리</v>
      </c>
      <c r="R367" t="str">
        <f>VLOOKUP(D367,상품정보!$A$2:$D$151,4,FALSE)</f>
        <v>브랜드D</v>
      </c>
    </row>
    <row r="368" spans="1:18" x14ac:dyDescent="0.45">
      <c r="A368" t="s">
        <v>216</v>
      </c>
      <c r="B368" t="s">
        <v>767</v>
      </c>
      <c r="C368" t="s">
        <v>2537</v>
      </c>
      <c r="D368" t="s">
        <v>2578</v>
      </c>
      <c r="E368">
        <v>1</v>
      </c>
      <c r="F368">
        <v>78000</v>
      </c>
      <c r="G368">
        <v>0</v>
      </c>
      <c r="H368">
        <v>100</v>
      </c>
      <c r="I368" t="s">
        <v>2611</v>
      </c>
      <c r="J368" s="4">
        <f t="shared" si="15"/>
        <v>77900</v>
      </c>
      <c r="K368" s="4" t="str">
        <f t="shared" si="16"/>
        <v>2025-01</v>
      </c>
      <c r="L368" s="4" t="str">
        <f t="shared" si="17"/>
        <v>목</v>
      </c>
      <c r="M368" s="2" t="str">
        <f>VLOOKUP($C368, 고객정보!$A$2:$E$151, 2, FALSE)</f>
        <v>광주</v>
      </c>
      <c r="N368" t="str">
        <f>VLOOKUP(C368,고객정보!$A$2:$D$151,4,FALSE)</f>
        <v>L2</v>
      </c>
      <c r="O368" t="str">
        <f>VLOOKUP($C368, 고객정보!$A$2:$E$151, 5, FALSE)</f>
        <v>40대</v>
      </c>
      <c r="P368" t="str">
        <f>VLOOKUP(D368,상품정보!$A$2:$E$61,2,FALSE)</f>
        <v>귀걸이</v>
      </c>
      <c r="Q368" t="str">
        <f>VLOOKUP(D368,상품정보!$A$2:$D$151,3,FALSE)</f>
        <v>액세서리</v>
      </c>
      <c r="R368" t="str">
        <f>VLOOKUP(D368,상품정보!$A$2:$D$151,4,FALSE)</f>
        <v>브랜드B</v>
      </c>
    </row>
    <row r="369" spans="1:18" x14ac:dyDescent="0.45">
      <c r="A369" t="s">
        <v>243</v>
      </c>
      <c r="B369" t="s">
        <v>768</v>
      </c>
      <c r="C369" t="s">
        <v>2433</v>
      </c>
      <c r="D369" t="s">
        <v>2608</v>
      </c>
      <c r="E369">
        <v>4</v>
      </c>
      <c r="F369">
        <v>10600</v>
      </c>
      <c r="G369">
        <v>500</v>
      </c>
      <c r="H369">
        <v>500</v>
      </c>
      <c r="I369" t="s">
        <v>2612</v>
      </c>
      <c r="J369" s="4">
        <f t="shared" si="15"/>
        <v>42400</v>
      </c>
      <c r="K369" s="4" t="str">
        <f t="shared" si="16"/>
        <v>2024-07</v>
      </c>
      <c r="L369" s="4" t="str">
        <f t="shared" si="17"/>
        <v>목</v>
      </c>
      <c r="M369" s="2" t="str">
        <f>VLOOKUP($C369, 고객정보!$A$2:$E$151, 2, FALSE)</f>
        <v>부산</v>
      </c>
      <c r="N369" t="str">
        <f>VLOOKUP(C369,고객정보!$A$2:$D$151,4,FALSE)</f>
        <v>L3</v>
      </c>
      <c r="O369" t="str">
        <f>VLOOKUP($C369, 고객정보!$A$2:$E$151, 5, FALSE)</f>
        <v>10대</v>
      </c>
      <c r="P369" t="str">
        <f>VLOOKUP(D369,상품정보!$A$2:$E$61,2,FALSE)</f>
        <v>셔츠</v>
      </c>
      <c r="Q369" t="str">
        <f>VLOOKUP(D369,상품정보!$A$2:$D$151,3,FALSE)</f>
        <v>의류</v>
      </c>
      <c r="R369" t="str">
        <f>VLOOKUP(D369,상품정보!$A$2:$D$151,4,FALSE)</f>
        <v>브랜드D</v>
      </c>
    </row>
    <row r="370" spans="1:18" x14ac:dyDescent="0.45">
      <c r="A370" t="s">
        <v>58</v>
      </c>
      <c r="B370" t="s">
        <v>769</v>
      </c>
      <c r="C370" t="s">
        <v>2493</v>
      </c>
      <c r="D370" t="s">
        <v>2589</v>
      </c>
      <c r="E370">
        <v>1</v>
      </c>
      <c r="F370">
        <v>71400</v>
      </c>
      <c r="G370">
        <v>0</v>
      </c>
      <c r="H370">
        <v>0</v>
      </c>
      <c r="I370" t="s">
        <v>2652</v>
      </c>
      <c r="J370" s="4">
        <f t="shared" si="15"/>
        <v>71400</v>
      </c>
      <c r="K370" s="4" t="str">
        <f t="shared" si="16"/>
        <v>2024-08</v>
      </c>
      <c r="L370" s="4" t="str">
        <f t="shared" si="17"/>
        <v>월</v>
      </c>
      <c r="M370" s="2" t="str">
        <f>VLOOKUP($C370, 고객정보!$A$2:$E$151, 2, FALSE)</f>
        <v>서울</v>
      </c>
      <c r="N370" t="str">
        <f>VLOOKUP(C370,고객정보!$A$2:$D$151,4,FALSE)</f>
        <v>L1</v>
      </c>
      <c r="O370" t="str">
        <f>VLOOKUP($C370, 고객정보!$A$2:$E$151, 5, FALSE)</f>
        <v>20대</v>
      </c>
      <c r="P370" t="str">
        <f>VLOOKUP(D370,상품정보!$A$2:$E$61,2,FALSE)</f>
        <v>셔츠</v>
      </c>
      <c r="Q370" t="str">
        <f>VLOOKUP(D370,상품정보!$A$2:$D$151,3,FALSE)</f>
        <v>의류</v>
      </c>
      <c r="R370" t="str">
        <f>VLOOKUP(D370,상품정보!$A$2:$D$151,4,FALSE)</f>
        <v>브랜드A</v>
      </c>
    </row>
    <row r="371" spans="1:18" x14ac:dyDescent="0.45">
      <c r="A371" t="s">
        <v>19</v>
      </c>
      <c r="B371" t="s">
        <v>770</v>
      </c>
      <c r="C371" t="s">
        <v>2519</v>
      </c>
      <c r="D371" t="s">
        <v>2607</v>
      </c>
      <c r="E371">
        <v>5</v>
      </c>
      <c r="F371">
        <v>16000</v>
      </c>
      <c r="G371">
        <v>1000</v>
      </c>
      <c r="H371">
        <v>0</v>
      </c>
      <c r="I371" t="s">
        <v>2652</v>
      </c>
      <c r="J371" s="4">
        <f t="shared" si="15"/>
        <v>81000</v>
      </c>
      <c r="K371" s="4" t="str">
        <f t="shared" si="16"/>
        <v>2024-01</v>
      </c>
      <c r="L371" s="4" t="str">
        <f t="shared" si="17"/>
        <v>화</v>
      </c>
      <c r="M371" s="2" t="str">
        <f>VLOOKUP($C371, 고객정보!$A$2:$E$151, 2, FALSE)</f>
        <v>서울</v>
      </c>
      <c r="N371" t="str">
        <f>VLOOKUP(C371,고객정보!$A$2:$D$151,4,FALSE)</f>
        <v>L4</v>
      </c>
      <c r="O371" t="str">
        <f>VLOOKUP($C371, 고객정보!$A$2:$E$151, 5, FALSE)</f>
        <v>20대</v>
      </c>
      <c r="P371" t="str">
        <f>VLOOKUP(D371,상품정보!$A$2:$E$61,2,FALSE)</f>
        <v>목걸이</v>
      </c>
      <c r="Q371" t="str">
        <f>VLOOKUP(D371,상품정보!$A$2:$D$151,3,FALSE)</f>
        <v>액세서리</v>
      </c>
      <c r="R371" t="str">
        <f>VLOOKUP(D371,상품정보!$A$2:$D$151,4,FALSE)</f>
        <v>브랜드E</v>
      </c>
    </row>
    <row r="372" spans="1:18" x14ac:dyDescent="0.45">
      <c r="A372" t="s">
        <v>244</v>
      </c>
      <c r="B372" t="s">
        <v>771</v>
      </c>
      <c r="C372" t="s">
        <v>2468</v>
      </c>
      <c r="D372" t="s">
        <v>2600</v>
      </c>
      <c r="E372">
        <v>4</v>
      </c>
      <c r="F372">
        <v>10900</v>
      </c>
      <c r="G372">
        <v>500</v>
      </c>
      <c r="H372">
        <v>0</v>
      </c>
      <c r="I372" t="s">
        <v>2652</v>
      </c>
      <c r="J372" s="4">
        <f t="shared" si="15"/>
        <v>44100</v>
      </c>
      <c r="K372" s="4" t="str">
        <f t="shared" si="16"/>
        <v>2024-11</v>
      </c>
      <c r="L372" s="4" t="str">
        <f t="shared" si="17"/>
        <v>월</v>
      </c>
      <c r="M372" s="2" t="str">
        <f>VLOOKUP($C372, 고객정보!$A$2:$E$151, 2, FALSE)</f>
        <v>부산</v>
      </c>
      <c r="N372" t="str">
        <f>VLOOKUP(C372,고객정보!$A$2:$D$151,4,FALSE)</f>
        <v>L5</v>
      </c>
      <c r="O372" t="str">
        <f>VLOOKUP($C372, 고객정보!$A$2:$E$151, 5, FALSE)</f>
        <v>20대</v>
      </c>
      <c r="P372" t="str">
        <f>VLOOKUP(D372,상품정보!$A$2:$E$61,2,FALSE)</f>
        <v>셔츠</v>
      </c>
      <c r="Q372" t="str">
        <f>VLOOKUP(D372,상품정보!$A$2:$D$151,3,FALSE)</f>
        <v>의류</v>
      </c>
      <c r="R372" t="str">
        <f>VLOOKUP(D372,상품정보!$A$2:$D$151,4,FALSE)</f>
        <v>브랜드E</v>
      </c>
    </row>
    <row r="373" spans="1:18" x14ac:dyDescent="0.45">
      <c r="A373" t="s">
        <v>32</v>
      </c>
      <c r="B373" t="s">
        <v>772</v>
      </c>
      <c r="C373" t="s">
        <v>2503</v>
      </c>
      <c r="D373" t="s">
        <v>2596</v>
      </c>
      <c r="E373">
        <v>4</v>
      </c>
      <c r="F373">
        <v>59700</v>
      </c>
      <c r="G373">
        <v>0</v>
      </c>
      <c r="H373">
        <v>0</v>
      </c>
      <c r="I373" t="s">
        <v>2652</v>
      </c>
      <c r="J373" s="4">
        <f t="shared" si="15"/>
        <v>238800</v>
      </c>
      <c r="K373" s="4" t="str">
        <f t="shared" si="16"/>
        <v>2024-07</v>
      </c>
      <c r="L373" s="4" t="str">
        <f t="shared" si="17"/>
        <v>수</v>
      </c>
      <c r="M373" s="2" t="str">
        <f>VLOOKUP($C373, 고객정보!$A$2:$E$151, 2, FALSE)</f>
        <v>대전</v>
      </c>
      <c r="N373" t="str">
        <f>VLOOKUP(C373,고객정보!$A$2:$D$151,4,FALSE)</f>
        <v>L3</v>
      </c>
      <c r="O373" t="str">
        <f>VLOOKUP($C373, 고객정보!$A$2:$E$151, 5, FALSE)</f>
        <v>40대</v>
      </c>
      <c r="P373" t="str">
        <f>VLOOKUP(D373,상품정보!$A$2:$E$61,2,FALSE)</f>
        <v>청바지</v>
      </c>
      <c r="Q373" t="str">
        <f>VLOOKUP(D373,상품정보!$A$2:$D$151,3,FALSE)</f>
        <v>의류</v>
      </c>
      <c r="R373" t="str">
        <f>VLOOKUP(D373,상품정보!$A$2:$D$151,4,FALSE)</f>
        <v>브랜드A</v>
      </c>
    </row>
    <row r="374" spans="1:18" x14ac:dyDescent="0.45">
      <c r="A374" t="s">
        <v>245</v>
      </c>
      <c r="B374" t="s">
        <v>773</v>
      </c>
      <c r="C374" t="s">
        <v>2501</v>
      </c>
      <c r="D374" t="s">
        <v>2579</v>
      </c>
      <c r="E374">
        <v>1</v>
      </c>
      <c r="F374">
        <v>51000</v>
      </c>
      <c r="G374">
        <v>0</v>
      </c>
      <c r="H374">
        <v>0</v>
      </c>
      <c r="I374" t="s">
        <v>2652</v>
      </c>
      <c r="J374" s="4">
        <f t="shared" si="15"/>
        <v>51000</v>
      </c>
      <c r="K374" s="4" t="str">
        <f t="shared" si="16"/>
        <v>2024-09</v>
      </c>
      <c r="L374" s="4" t="str">
        <f t="shared" si="17"/>
        <v>일</v>
      </c>
      <c r="M374" s="2" t="str">
        <f>VLOOKUP($C374, 고객정보!$A$2:$E$151, 2, FALSE)</f>
        <v>서울</v>
      </c>
      <c r="N374" t="str">
        <f>VLOOKUP(C374,고객정보!$A$2:$D$151,4,FALSE)</f>
        <v>L4</v>
      </c>
      <c r="O374" t="str">
        <f>VLOOKUP($C374, 고객정보!$A$2:$E$151, 5, FALSE)</f>
        <v>50대 이상</v>
      </c>
      <c r="P374" t="str">
        <f>VLOOKUP(D374,상품정보!$A$2:$E$61,2,FALSE)</f>
        <v>핸드폰케이스</v>
      </c>
      <c r="Q374" t="str">
        <f>VLOOKUP(D374,상품정보!$A$2:$D$151,3,FALSE)</f>
        <v>액세서리</v>
      </c>
      <c r="R374" t="str">
        <f>VLOOKUP(D374,상품정보!$A$2:$D$151,4,FALSE)</f>
        <v>브랜드F</v>
      </c>
    </row>
    <row r="375" spans="1:18" x14ac:dyDescent="0.45">
      <c r="A375" t="s">
        <v>246</v>
      </c>
      <c r="B375" t="s">
        <v>774</v>
      </c>
      <c r="C375" t="s">
        <v>2459</v>
      </c>
      <c r="D375" t="s">
        <v>2571</v>
      </c>
      <c r="E375">
        <v>1</v>
      </c>
      <c r="F375">
        <v>55600</v>
      </c>
      <c r="G375">
        <v>500</v>
      </c>
      <c r="H375">
        <v>0</v>
      </c>
      <c r="I375" t="s">
        <v>2652</v>
      </c>
      <c r="J375" s="4">
        <f t="shared" si="15"/>
        <v>56100</v>
      </c>
      <c r="K375" s="4" t="str">
        <f t="shared" si="16"/>
        <v>2024-06</v>
      </c>
      <c r="L375" s="4" t="str">
        <f t="shared" si="17"/>
        <v>목</v>
      </c>
      <c r="M375" s="2" t="str">
        <f>VLOOKUP($C375, 고객정보!$A$2:$E$151, 2, FALSE)</f>
        <v>광주</v>
      </c>
      <c r="N375" t="str">
        <f>VLOOKUP(C375,고객정보!$A$2:$D$151,4,FALSE)</f>
        <v>L4</v>
      </c>
      <c r="O375" t="str">
        <f>VLOOKUP($C375, 고객정보!$A$2:$E$151, 5, FALSE)</f>
        <v>50대 이상</v>
      </c>
      <c r="P375" t="str">
        <f>VLOOKUP(D375,상품정보!$A$2:$E$61,2,FALSE)</f>
        <v>자켓</v>
      </c>
      <c r="Q375" t="str">
        <f>VLOOKUP(D375,상품정보!$A$2:$D$151,3,FALSE)</f>
        <v>의류</v>
      </c>
      <c r="R375" t="str">
        <f>VLOOKUP(D375,상품정보!$A$2:$D$151,4,FALSE)</f>
        <v>브랜드B</v>
      </c>
    </row>
    <row r="376" spans="1:18" x14ac:dyDescent="0.45">
      <c r="A376" t="s">
        <v>136</v>
      </c>
      <c r="B376" t="s">
        <v>775</v>
      </c>
      <c r="C376" t="s">
        <v>2535</v>
      </c>
      <c r="D376" t="s">
        <v>2571</v>
      </c>
      <c r="E376">
        <v>2</v>
      </c>
      <c r="F376">
        <v>55600</v>
      </c>
      <c r="G376">
        <v>0</v>
      </c>
      <c r="H376">
        <v>0</v>
      </c>
      <c r="I376" t="s">
        <v>2652</v>
      </c>
      <c r="J376" s="4">
        <f t="shared" si="15"/>
        <v>111200</v>
      </c>
      <c r="K376" s="4" t="str">
        <f t="shared" si="16"/>
        <v>2024-05</v>
      </c>
      <c r="L376" s="4" t="str">
        <f t="shared" si="17"/>
        <v>월</v>
      </c>
      <c r="M376" s="2" t="str">
        <f>VLOOKUP($C376, 고객정보!$A$2:$E$151, 2, FALSE)</f>
        <v>서울</v>
      </c>
      <c r="N376" t="str">
        <f>VLOOKUP(C376,고객정보!$A$2:$D$151,4,FALSE)</f>
        <v>L2</v>
      </c>
      <c r="O376" t="str">
        <f>VLOOKUP($C376, 고객정보!$A$2:$E$151, 5, FALSE)</f>
        <v>10대</v>
      </c>
      <c r="P376" t="str">
        <f>VLOOKUP(D376,상품정보!$A$2:$E$61,2,FALSE)</f>
        <v>자켓</v>
      </c>
      <c r="Q376" t="str">
        <f>VLOOKUP(D376,상품정보!$A$2:$D$151,3,FALSE)</f>
        <v>의류</v>
      </c>
      <c r="R376" t="str">
        <f>VLOOKUP(D376,상품정보!$A$2:$D$151,4,FALSE)</f>
        <v>브랜드B</v>
      </c>
    </row>
    <row r="377" spans="1:18" x14ac:dyDescent="0.45">
      <c r="A377" t="s">
        <v>247</v>
      </c>
      <c r="B377" t="s">
        <v>776</v>
      </c>
      <c r="C377" t="s">
        <v>2429</v>
      </c>
      <c r="D377" t="s">
        <v>2562</v>
      </c>
      <c r="E377">
        <v>3</v>
      </c>
      <c r="F377">
        <v>15600</v>
      </c>
      <c r="G377">
        <v>1000</v>
      </c>
      <c r="H377">
        <v>0</v>
      </c>
      <c r="I377" t="s">
        <v>2652</v>
      </c>
      <c r="J377" s="4">
        <f t="shared" si="15"/>
        <v>47800</v>
      </c>
      <c r="K377" s="4" t="str">
        <f t="shared" si="16"/>
        <v>2024-07</v>
      </c>
      <c r="L377" s="4" t="str">
        <f t="shared" si="17"/>
        <v>일</v>
      </c>
      <c r="M377" s="2" t="str">
        <f>VLOOKUP($C377, 고객정보!$A$2:$E$151, 2, FALSE)</f>
        <v>서울</v>
      </c>
      <c r="N377" t="str">
        <f>VLOOKUP(C377,고객정보!$A$2:$D$151,4,FALSE)</f>
        <v>L1</v>
      </c>
      <c r="O377" t="str">
        <f>VLOOKUP($C377, 고객정보!$A$2:$E$151, 5, FALSE)</f>
        <v>10대</v>
      </c>
      <c r="P377" t="str">
        <f>VLOOKUP(D377,상품정보!$A$2:$E$61,2,FALSE)</f>
        <v>반팔 티셔츠</v>
      </c>
      <c r="Q377" t="str">
        <f>VLOOKUP(D377,상품정보!$A$2:$D$151,3,FALSE)</f>
        <v>의류</v>
      </c>
      <c r="R377" t="str">
        <f>VLOOKUP(D377,상품정보!$A$2:$D$151,4,FALSE)</f>
        <v>브랜드E</v>
      </c>
    </row>
    <row r="378" spans="1:18" x14ac:dyDescent="0.45">
      <c r="A378" t="s">
        <v>248</v>
      </c>
      <c r="B378" t="s">
        <v>777</v>
      </c>
      <c r="C378" t="s">
        <v>2441</v>
      </c>
      <c r="D378" t="s">
        <v>2595</v>
      </c>
      <c r="E378">
        <v>4</v>
      </c>
      <c r="F378">
        <v>12700</v>
      </c>
      <c r="G378">
        <v>0</v>
      </c>
      <c r="H378">
        <v>3800</v>
      </c>
      <c r="I378" t="s">
        <v>2614</v>
      </c>
      <c r="J378" s="4">
        <f t="shared" si="15"/>
        <v>47000</v>
      </c>
      <c r="K378" s="4" t="str">
        <f t="shared" si="16"/>
        <v>2024-09</v>
      </c>
      <c r="L378" s="4" t="str">
        <f t="shared" si="17"/>
        <v>일</v>
      </c>
      <c r="M378" s="2" t="str">
        <f>VLOOKUP($C378, 고객정보!$A$2:$E$151, 2, FALSE)</f>
        <v>부산</v>
      </c>
      <c r="N378" t="str">
        <f>VLOOKUP(C378,고객정보!$A$2:$D$151,4,FALSE)</f>
        <v>L2</v>
      </c>
      <c r="O378" t="str">
        <f>VLOOKUP($C378, 고객정보!$A$2:$E$151, 5, FALSE)</f>
        <v>20대</v>
      </c>
      <c r="P378" t="str">
        <f>VLOOKUP(D378,상품정보!$A$2:$E$61,2,FALSE)</f>
        <v>반지</v>
      </c>
      <c r="Q378" t="str">
        <f>VLOOKUP(D378,상품정보!$A$2:$D$151,3,FALSE)</f>
        <v>액세서리</v>
      </c>
      <c r="R378" t="str">
        <f>VLOOKUP(D378,상품정보!$A$2:$D$151,4,FALSE)</f>
        <v>브랜드C</v>
      </c>
    </row>
    <row r="379" spans="1:18" x14ac:dyDescent="0.45">
      <c r="A379" t="s">
        <v>127</v>
      </c>
      <c r="B379" t="s">
        <v>778</v>
      </c>
      <c r="C379" t="s">
        <v>2491</v>
      </c>
      <c r="D379" t="s">
        <v>2591</v>
      </c>
      <c r="E379">
        <v>1</v>
      </c>
      <c r="F379">
        <v>69200</v>
      </c>
      <c r="G379">
        <v>0</v>
      </c>
      <c r="H379">
        <v>0</v>
      </c>
      <c r="I379" t="s">
        <v>2652</v>
      </c>
      <c r="J379" s="4">
        <f t="shared" si="15"/>
        <v>69200</v>
      </c>
      <c r="K379" s="4" t="str">
        <f t="shared" si="16"/>
        <v>2024-12</v>
      </c>
      <c r="L379" s="4" t="str">
        <f t="shared" si="17"/>
        <v>일</v>
      </c>
      <c r="M379" s="2" t="str">
        <f>VLOOKUP($C379, 고객정보!$A$2:$E$151, 2, FALSE)</f>
        <v>서울</v>
      </c>
      <c r="N379" t="str">
        <f>VLOOKUP(C379,고객정보!$A$2:$D$151,4,FALSE)</f>
        <v>L5</v>
      </c>
      <c r="O379" t="str">
        <f>VLOOKUP($C379, 고객정보!$A$2:$E$151, 5, FALSE)</f>
        <v>30대</v>
      </c>
      <c r="P379" t="str">
        <f>VLOOKUP(D379,상품정보!$A$2:$E$61,2,FALSE)</f>
        <v>셔츠</v>
      </c>
      <c r="Q379" t="str">
        <f>VLOOKUP(D379,상품정보!$A$2:$D$151,3,FALSE)</f>
        <v>의류</v>
      </c>
      <c r="R379" t="str">
        <f>VLOOKUP(D379,상품정보!$A$2:$D$151,4,FALSE)</f>
        <v>브랜드F</v>
      </c>
    </row>
    <row r="380" spans="1:18" x14ac:dyDescent="0.45">
      <c r="A380" t="s">
        <v>98</v>
      </c>
      <c r="B380" t="s">
        <v>779</v>
      </c>
      <c r="C380" t="s">
        <v>2472</v>
      </c>
      <c r="D380" t="s">
        <v>2586</v>
      </c>
      <c r="E380">
        <v>2</v>
      </c>
      <c r="F380">
        <v>73000</v>
      </c>
      <c r="G380">
        <v>0</v>
      </c>
      <c r="H380">
        <v>5100</v>
      </c>
      <c r="I380" t="s">
        <v>2611</v>
      </c>
      <c r="J380" s="4">
        <f t="shared" si="15"/>
        <v>140900</v>
      </c>
      <c r="K380" s="4" t="str">
        <f t="shared" si="16"/>
        <v>2024-08</v>
      </c>
      <c r="L380" s="4" t="str">
        <f t="shared" si="17"/>
        <v>목</v>
      </c>
      <c r="M380" s="2" t="str">
        <f>VLOOKUP($C380, 고객정보!$A$2:$E$151, 2, FALSE)</f>
        <v>서울</v>
      </c>
      <c r="N380" t="str">
        <f>VLOOKUP(C380,고객정보!$A$2:$D$151,4,FALSE)</f>
        <v>L1</v>
      </c>
      <c r="O380" t="str">
        <f>VLOOKUP($C380, 고객정보!$A$2:$E$151, 5, FALSE)</f>
        <v>20대</v>
      </c>
      <c r="P380" t="str">
        <f>VLOOKUP(D380,상품정보!$A$2:$E$61,2,FALSE)</f>
        <v>귀걸이</v>
      </c>
      <c r="Q380" t="str">
        <f>VLOOKUP(D380,상품정보!$A$2:$D$151,3,FALSE)</f>
        <v>액세서리</v>
      </c>
      <c r="R380" t="str">
        <f>VLOOKUP(D380,상품정보!$A$2:$D$151,4,FALSE)</f>
        <v>브랜드B</v>
      </c>
    </row>
    <row r="381" spans="1:18" x14ac:dyDescent="0.45">
      <c r="A381" t="s">
        <v>249</v>
      </c>
      <c r="B381" t="s">
        <v>780</v>
      </c>
      <c r="C381" t="s">
        <v>2516</v>
      </c>
      <c r="D381" t="s">
        <v>2584</v>
      </c>
      <c r="E381">
        <v>2</v>
      </c>
      <c r="F381">
        <v>59700</v>
      </c>
      <c r="G381">
        <v>1500</v>
      </c>
      <c r="H381">
        <v>0</v>
      </c>
      <c r="I381" t="s">
        <v>2652</v>
      </c>
      <c r="J381" s="4">
        <f t="shared" si="15"/>
        <v>120900</v>
      </c>
      <c r="K381" s="4" t="str">
        <f t="shared" si="16"/>
        <v>2024-07</v>
      </c>
      <c r="L381" s="4" t="str">
        <f t="shared" si="17"/>
        <v>화</v>
      </c>
      <c r="M381" s="2" t="str">
        <f>VLOOKUP($C381, 고객정보!$A$2:$E$151, 2, FALSE)</f>
        <v>대전</v>
      </c>
      <c r="N381" t="str">
        <f>VLOOKUP(C381,고객정보!$A$2:$D$151,4,FALSE)</f>
        <v>L3</v>
      </c>
      <c r="O381" t="str">
        <f>VLOOKUP($C381, 고객정보!$A$2:$E$151, 5, FALSE)</f>
        <v>10대</v>
      </c>
      <c r="P381" t="str">
        <f>VLOOKUP(D381,상품정보!$A$2:$E$61,2,FALSE)</f>
        <v>목걸이</v>
      </c>
      <c r="Q381" t="str">
        <f>VLOOKUP(D381,상품정보!$A$2:$D$151,3,FALSE)</f>
        <v>액세서리</v>
      </c>
      <c r="R381" t="str">
        <f>VLOOKUP(D381,상품정보!$A$2:$D$151,4,FALSE)</f>
        <v>브랜드B</v>
      </c>
    </row>
    <row r="382" spans="1:18" x14ac:dyDescent="0.45">
      <c r="A382" t="s">
        <v>57</v>
      </c>
      <c r="B382" t="s">
        <v>781</v>
      </c>
      <c r="C382" t="s">
        <v>2450</v>
      </c>
      <c r="D382" t="s">
        <v>2602</v>
      </c>
      <c r="E382">
        <v>4</v>
      </c>
      <c r="F382">
        <v>59900</v>
      </c>
      <c r="G382">
        <v>0</v>
      </c>
      <c r="H382">
        <v>0</v>
      </c>
      <c r="I382" t="s">
        <v>2652</v>
      </c>
      <c r="J382" s="4">
        <f t="shared" si="15"/>
        <v>239600</v>
      </c>
      <c r="K382" s="4" t="str">
        <f t="shared" si="16"/>
        <v>2024-07</v>
      </c>
      <c r="L382" s="4" t="str">
        <f t="shared" si="17"/>
        <v>화</v>
      </c>
      <c r="M382" s="2" t="str">
        <f>VLOOKUP($C382, 고객정보!$A$2:$E$151, 2, FALSE)</f>
        <v>인천</v>
      </c>
      <c r="N382" t="str">
        <f>VLOOKUP(C382,고객정보!$A$2:$D$151,4,FALSE)</f>
        <v>L5</v>
      </c>
      <c r="O382" t="str">
        <f>VLOOKUP($C382, 고객정보!$A$2:$E$151, 5, FALSE)</f>
        <v>40대</v>
      </c>
      <c r="P382" t="str">
        <f>VLOOKUP(D382,상품정보!$A$2:$E$61,2,FALSE)</f>
        <v>셔츠</v>
      </c>
      <c r="Q382" t="str">
        <f>VLOOKUP(D382,상품정보!$A$2:$D$151,3,FALSE)</f>
        <v>의류</v>
      </c>
      <c r="R382" t="str">
        <f>VLOOKUP(D382,상품정보!$A$2:$D$151,4,FALSE)</f>
        <v>브랜드A</v>
      </c>
    </row>
    <row r="383" spans="1:18" x14ac:dyDescent="0.45">
      <c r="A383" t="s">
        <v>250</v>
      </c>
      <c r="B383" t="s">
        <v>782</v>
      </c>
      <c r="C383" t="s">
        <v>2515</v>
      </c>
      <c r="D383" t="s">
        <v>2586</v>
      </c>
      <c r="E383">
        <v>1</v>
      </c>
      <c r="F383">
        <v>73000</v>
      </c>
      <c r="G383">
        <v>500</v>
      </c>
      <c r="H383">
        <v>0</v>
      </c>
      <c r="I383" t="s">
        <v>2652</v>
      </c>
      <c r="J383" s="4">
        <f t="shared" si="15"/>
        <v>73500</v>
      </c>
      <c r="K383" s="4" t="str">
        <f t="shared" si="16"/>
        <v>2024-06</v>
      </c>
      <c r="L383" s="4" t="str">
        <f t="shared" si="17"/>
        <v>일</v>
      </c>
      <c r="M383" s="2" t="str">
        <f>VLOOKUP($C383, 고객정보!$A$2:$E$151, 2, FALSE)</f>
        <v>부산</v>
      </c>
      <c r="N383" t="str">
        <f>VLOOKUP(C383,고객정보!$A$2:$D$151,4,FALSE)</f>
        <v>L5</v>
      </c>
      <c r="O383" t="str">
        <f>VLOOKUP($C383, 고객정보!$A$2:$E$151, 5, FALSE)</f>
        <v>40대</v>
      </c>
      <c r="P383" t="str">
        <f>VLOOKUP(D383,상품정보!$A$2:$E$61,2,FALSE)</f>
        <v>귀걸이</v>
      </c>
      <c r="Q383" t="str">
        <f>VLOOKUP(D383,상품정보!$A$2:$D$151,3,FALSE)</f>
        <v>액세서리</v>
      </c>
      <c r="R383" t="str">
        <f>VLOOKUP(D383,상품정보!$A$2:$D$151,4,FALSE)</f>
        <v>브랜드B</v>
      </c>
    </row>
    <row r="384" spans="1:18" x14ac:dyDescent="0.45">
      <c r="A384" t="s">
        <v>251</v>
      </c>
      <c r="B384" t="s">
        <v>783</v>
      </c>
      <c r="C384" t="s">
        <v>2501</v>
      </c>
      <c r="D384" t="s">
        <v>2597</v>
      </c>
      <c r="E384">
        <v>3</v>
      </c>
      <c r="F384">
        <v>65300</v>
      </c>
      <c r="G384">
        <v>0</v>
      </c>
      <c r="H384">
        <v>0</v>
      </c>
      <c r="I384" t="s">
        <v>2652</v>
      </c>
      <c r="J384" s="4">
        <f t="shared" si="15"/>
        <v>195900</v>
      </c>
      <c r="K384" s="4" t="str">
        <f t="shared" si="16"/>
        <v>2024-07</v>
      </c>
      <c r="L384" s="4" t="str">
        <f t="shared" si="17"/>
        <v>수</v>
      </c>
      <c r="M384" s="2" t="str">
        <f>VLOOKUP($C384, 고객정보!$A$2:$E$151, 2, FALSE)</f>
        <v>서울</v>
      </c>
      <c r="N384" t="str">
        <f>VLOOKUP(C384,고객정보!$A$2:$D$151,4,FALSE)</f>
        <v>L4</v>
      </c>
      <c r="O384" t="str">
        <f>VLOOKUP($C384, 고객정보!$A$2:$E$151, 5, FALSE)</f>
        <v>50대 이상</v>
      </c>
      <c r="P384" t="str">
        <f>VLOOKUP(D384,상품정보!$A$2:$E$61,2,FALSE)</f>
        <v>반지</v>
      </c>
      <c r="Q384" t="str">
        <f>VLOOKUP(D384,상품정보!$A$2:$D$151,3,FALSE)</f>
        <v>액세서리</v>
      </c>
      <c r="R384" t="str">
        <f>VLOOKUP(D384,상품정보!$A$2:$D$151,4,FALSE)</f>
        <v>브랜드F</v>
      </c>
    </row>
    <row r="385" spans="1:18" x14ac:dyDescent="0.45">
      <c r="A385" t="s">
        <v>252</v>
      </c>
      <c r="B385" t="s">
        <v>784</v>
      </c>
      <c r="C385" t="s">
        <v>2477</v>
      </c>
      <c r="D385" t="s">
        <v>2579</v>
      </c>
      <c r="E385">
        <v>4</v>
      </c>
      <c r="F385">
        <v>51000</v>
      </c>
      <c r="G385">
        <v>2000</v>
      </c>
      <c r="H385">
        <v>2200</v>
      </c>
      <c r="I385" t="s">
        <v>2614</v>
      </c>
      <c r="J385" s="4">
        <f t="shared" si="15"/>
        <v>203800</v>
      </c>
      <c r="K385" s="4" t="str">
        <f t="shared" si="16"/>
        <v>2024-02</v>
      </c>
      <c r="L385" s="4" t="str">
        <f t="shared" si="17"/>
        <v>일</v>
      </c>
      <c r="M385" s="2" t="str">
        <f>VLOOKUP($C385, 고객정보!$A$2:$E$151, 2, FALSE)</f>
        <v>부산</v>
      </c>
      <c r="N385" t="str">
        <f>VLOOKUP(C385,고객정보!$A$2:$D$151,4,FALSE)</f>
        <v>L4</v>
      </c>
      <c r="O385" t="str">
        <f>VLOOKUP($C385, 고객정보!$A$2:$E$151, 5, FALSE)</f>
        <v>20대</v>
      </c>
      <c r="P385" t="str">
        <f>VLOOKUP(D385,상품정보!$A$2:$E$61,2,FALSE)</f>
        <v>핸드폰케이스</v>
      </c>
      <c r="Q385" t="str">
        <f>VLOOKUP(D385,상품정보!$A$2:$D$151,3,FALSE)</f>
        <v>액세서리</v>
      </c>
      <c r="R385" t="str">
        <f>VLOOKUP(D385,상품정보!$A$2:$D$151,4,FALSE)</f>
        <v>브랜드F</v>
      </c>
    </row>
    <row r="386" spans="1:18" x14ac:dyDescent="0.45">
      <c r="A386" t="s">
        <v>173</v>
      </c>
      <c r="B386" t="s">
        <v>785</v>
      </c>
      <c r="C386" t="s">
        <v>2411</v>
      </c>
      <c r="D386" t="s">
        <v>2569</v>
      </c>
      <c r="E386">
        <v>1</v>
      </c>
      <c r="F386">
        <v>11400</v>
      </c>
      <c r="G386">
        <v>1500</v>
      </c>
      <c r="H386">
        <v>2400</v>
      </c>
      <c r="I386" t="s">
        <v>2612</v>
      </c>
      <c r="J386" s="4">
        <f t="shared" si="15"/>
        <v>10500</v>
      </c>
      <c r="K386" s="4" t="str">
        <f t="shared" si="16"/>
        <v>2024-02</v>
      </c>
      <c r="L386" s="4" t="str">
        <f t="shared" si="17"/>
        <v>토</v>
      </c>
      <c r="M386" s="2" t="str">
        <f>VLOOKUP($C386, 고객정보!$A$2:$E$151, 2, FALSE)</f>
        <v>부산</v>
      </c>
      <c r="N386" t="str">
        <f>VLOOKUP(C386,고객정보!$A$2:$D$151,4,FALSE)</f>
        <v>L5</v>
      </c>
      <c r="O386" t="str">
        <f>VLOOKUP($C386, 고객정보!$A$2:$E$151, 5, FALSE)</f>
        <v>30대</v>
      </c>
      <c r="P386" t="str">
        <f>VLOOKUP(D386,상품정보!$A$2:$E$61,2,FALSE)</f>
        <v>귀걸이</v>
      </c>
      <c r="Q386" t="str">
        <f>VLOOKUP(D386,상품정보!$A$2:$D$151,3,FALSE)</f>
        <v>액세서리</v>
      </c>
      <c r="R386" t="str">
        <f>VLOOKUP(D386,상품정보!$A$2:$D$151,4,FALSE)</f>
        <v>브랜드E</v>
      </c>
    </row>
    <row r="387" spans="1:18" x14ac:dyDescent="0.45">
      <c r="A387" t="s">
        <v>240</v>
      </c>
      <c r="B387" t="s">
        <v>786</v>
      </c>
      <c r="C387" t="s">
        <v>2491</v>
      </c>
      <c r="D387" t="s">
        <v>2591</v>
      </c>
      <c r="E387">
        <v>3</v>
      </c>
      <c r="F387">
        <v>69200</v>
      </c>
      <c r="G387">
        <v>0</v>
      </c>
      <c r="H387">
        <v>12200</v>
      </c>
      <c r="I387" t="s">
        <v>2611</v>
      </c>
      <c r="J387" s="4">
        <f t="shared" ref="J387:J450" si="18">E387*F387+G387-H387</f>
        <v>195400</v>
      </c>
      <c r="K387" s="4" t="str">
        <f t="shared" ref="K387:K450" si="19">LEFT(A387,7)</f>
        <v>2024-03</v>
      </c>
      <c r="L387" s="4" t="str">
        <f t="shared" ref="L387:L450" si="20">TEXT(WEEKDAY(A387),"aaa")</f>
        <v>목</v>
      </c>
      <c r="M387" s="2" t="str">
        <f>VLOOKUP($C387, 고객정보!$A$2:$E$151, 2, FALSE)</f>
        <v>서울</v>
      </c>
      <c r="N387" t="str">
        <f>VLOOKUP(C387,고객정보!$A$2:$D$151,4,FALSE)</f>
        <v>L5</v>
      </c>
      <c r="O387" t="str">
        <f>VLOOKUP($C387, 고객정보!$A$2:$E$151, 5, FALSE)</f>
        <v>30대</v>
      </c>
      <c r="P387" t="str">
        <f>VLOOKUP(D387,상품정보!$A$2:$E$61,2,FALSE)</f>
        <v>셔츠</v>
      </c>
      <c r="Q387" t="str">
        <f>VLOOKUP(D387,상품정보!$A$2:$D$151,3,FALSE)</f>
        <v>의류</v>
      </c>
      <c r="R387" t="str">
        <f>VLOOKUP(D387,상품정보!$A$2:$D$151,4,FALSE)</f>
        <v>브랜드F</v>
      </c>
    </row>
    <row r="388" spans="1:18" x14ac:dyDescent="0.45">
      <c r="A388" t="s">
        <v>95</v>
      </c>
      <c r="B388" t="s">
        <v>787</v>
      </c>
      <c r="C388" t="s">
        <v>2463</v>
      </c>
      <c r="D388" t="s">
        <v>2596</v>
      </c>
      <c r="E388">
        <v>5</v>
      </c>
      <c r="F388">
        <v>59700</v>
      </c>
      <c r="G388">
        <v>0</v>
      </c>
      <c r="H388">
        <v>0</v>
      </c>
      <c r="I388" t="s">
        <v>2652</v>
      </c>
      <c r="J388" s="4">
        <f t="shared" si="18"/>
        <v>298500</v>
      </c>
      <c r="K388" s="4" t="str">
        <f t="shared" si="19"/>
        <v>2024-10</v>
      </c>
      <c r="L388" s="4" t="str">
        <f t="shared" si="20"/>
        <v>월</v>
      </c>
      <c r="M388" s="2" t="str">
        <f>VLOOKUP($C388, 고객정보!$A$2:$E$151, 2, FALSE)</f>
        <v>대구</v>
      </c>
      <c r="N388" t="str">
        <f>VLOOKUP(C388,고객정보!$A$2:$D$151,4,FALSE)</f>
        <v>L4</v>
      </c>
      <c r="O388" t="str">
        <f>VLOOKUP($C388, 고객정보!$A$2:$E$151, 5, FALSE)</f>
        <v>20대</v>
      </c>
      <c r="P388" t="str">
        <f>VLOOKUP(D388,상품정보!$A$2:$E$61,2,FALSE)</f>
        <v>청바지</v>
      </c>
      <c r="Q388" t="str">
        <f>VLOOKUP(D388,상품정보!$A$2:$D$151,3,FALSE)</f>
        <v>의류</v>
      </c>
      <c r="R388" t="str">
        <f>VLOOKUP(D388,상품정보!$A$2:$D$151,4,FALSE)</f>
        <v>브랜드A</v>
      </c>
    </row>
    <row r="389" spans="1:18" x14ac:dyDescent="0.45">
      <c r="A389" t="s">
        <v>104</v>
      </c>
      <c r="B389" t="s">
        <v>788</v>
      </c>
      <c r="C389" t="s">
        <v>2406</v>
      </c>
      <c r="D389" t="s">
        <v>2558</v>
      </c>
      <c r="E389">
        <v>1</v>
      </c>
      <c r="F389">
        <v>63700</v>
      </c>
      <c r="G389">
        <v>0</v>
      </c>
      <c r="H389">
        <v>0</v>
      </c>
      <c r="I389" t="s">
        <v>2652</v>
      </c>
      <c r="J389" s="4">
        <f t="shared" si="18"/>
        <v>63700</v>
      </c>
      <c r="K389" s="4" t="str">
        <f t="shared" si="19"/>
        <v>2024-07</v>
      </c>
      <c r="L389" s="4" t="str">
        <f t="shared" si="20"/>
        <v>월</v>
      </c>
      <c r="M389" s="2" t="str">
        <f>VLOOKUP($C389, 고객정보!$A$2:$E$151, 2, FALSE)</f>
        <v>부산</v>
      </c>
      <c r="N389" t="str">
        <f>VLOOKUP(C389,고객정보!$A$2:$D$151,4,FALSE)</f>
        <v>L5</v>
      </c>
      <c r="O389" t="str">
        <f>VLOOKUP($C389, 고객정보!$A$2:$E$151, 5, FALSE)</f>
        <v>30대</v>
      </c>
      <c r="P389" t="str">
        <f>VLOOKUP(D389,상품정보!$A$2:$E$61,2,FALSE)</f>
        <v>셔츠</v>
      </c>
      <c r="Q389" t="str">
        <f>VLOOKUP(D389,상품정보!$A$2:$D$151,3,FALSE)</f>
        <v>의류</v>
      </c>
      <c r="R389" t="str">
        <f>VLOOKUP(D389,상품정보!$A$2:$D$151,4,FALSE)</f>
        <v>브랜드A</v>
      </c>
    </row>
    <row r="390" spans="1:18" x14ac:dyDescent="0.45">
      <c r="A390" t="s">
        <v>45</v>
      </c>
      <c r="B390" t="s">
        <v>789</v>
      </c>
      <c r="C390" t="s">
        <v>2498</v>
      </c>
      <c r="D390" t="s">
        <v>2576</v>
      </c>
      <c r="E390">
        <v>4</v>
      </c>
      <c r="F390">
        <v>8800</v>
      </c>
      <c r="G390">
        <v>500</v>
      </c>
      <c r="H390">
        <v>4900</v>
      </c>
      <c r="I390" t="s">
        <v>2612</v>
      </c>
      <c r="J390" s="4">
        <f t="shared" si="18"/>
        <v>30800</v>
      </c>
      <c r="K390" s="4" t="str">
        <f t="shared" si="19"/>
        <v>2025-01</v>
      </c>
      <c r="L390" s="4" t="str">
        <f t="shared" si="20"/>
        <v>토</v>
      </c>
      <c r="M390" s="2" t="str">
        <f>VLOOKUP($C390, 고객정보!$A$2:$E$151, 2, FALSE)</f>
        <v>서울</v>
      </c>
      <c r="N390" t="str">
        <f>VLOOKUP(C390,고객정보!$A$2:$D$151,4,FALSE)</f>
        <v>L3</v>
      </c>
      <c r="O390" t="str">
        <f>VLOOKUP($C390, 고객정보!$A$2:$E$151, 5, FALSE)</f>
        <v>30대</v>
      </c>
      <c r="P390" t="str">
        <f>VLOOKUP(D390,상품정보!$A$2:$E$61,2,FALSE)</f>
        <v>핸드폰케이스</v>
      </c>
      <c r="Q390" t="str">
        <f>VLOOKUP(D390,상품정보!$A$2:$D$151,3,FALSE)</f>
        <v>액세서리</v>
      </c>
      <c r="R390" t="str">
        <f>VLOOKUP(D390,상품정보!$A$2:$D$151,4,FALSE)</f>
        <v>브랜드D</v>
      </c>
    </row>
    <row r="391" spans="1:18" x14ac:dyDescent="0.45">
      <c r="A391" t="s">
        <v>155</v>
      </c>
      <c r="B391" t="s">
        <v>790</v>
      </c>
      <c r="C391" t="s">
        <v>2455</v>
      </c>
      <c r="D391" t="s">
        <v>2595</v>
      </c>
      <c r="E391">
        <v>5</v>
      </c>
      <c r="F391">
        <v>12700</v>
      </c>
      <c r="G391">
        <v>1000</v>
      </c>
      <c r="H391">
        <v>14600</v>
      </c>
      <c r="I391" t="s">
        <v>2613</v>
      </c>
      <c r="J391" s="4">
        <f t="shared" si="18"/>
        <v>49900</v>
      </c>
      <c r="K391" s="4" t="str">
        <f t="shared" si="19"/>
        <v>2024-06</v>
      </c>
      <c r="L391" s="4" t="str">
        <f t="shared" si="20"/>
        <v>토</v>
      </c>
      <c r="M391" s="2" t="str">
        <f>VLOOKUP($C391, 고객정보!$A$2:$E$151, 2, FALSE)</f>
        <v>서울</v>
      </c>
      <c r="N391" t="str">
        <f>VLOOKUP(C391,고객정보!$A$2:$D$151,4,FALSE)</f>
        <v>L5</v>
      </c>
      <c r="O391" t="str">
        <f>VLOOKUP($C391, 고객정보!$A$2:$E$151, 5, FALSE)</f>
        <v>20대</v>
      </c>
      <c r="P391" t="str">
        <f>VLOOKUP(D391,상품정보!$A$2:$E$61,2,FALSE)</f>
        <v>반지</v>
      </c>
      <c r="Q391" t="str">
        <f>VLOOKUP(D391,상품정보!$A$2:$D$151,3,FALSE)</f>
        <v>액세서리</v>
      </c>
      <c r="R391" t="str">
        <f>VLOOKUP(D391,상품정보!$A$2:$D$151,4,FALSE)</f>
        <v>브랜드C</v>
      </c>
    </row>
    <row r="392" spans="1:18" x14ac:dyDescent="0.45">
      <c r="A392" t="s">
        <v>46</v>
      </c>
      <c r="B392" t="s">
        <v>791</v>
      </c>
      <c r="C392" t="s">
        <v>2498</v>
      </c>
      <c r="D392" t="s">
        <v>2591</v>
      </c>
      <c r="E392">
        <v>5</v>
      </c>
      <c r="F392">
        <v>69200</v>
      </c>
      <c r="G392">
        <v>0</v>
      </c>
      <c r="H392">
        <v>19600</v>
      </c>
      <c r="I392" t="s">
        <v>2611</v>
      </c>
      <c r="J392" s="4">
        <f t="shared" si="18"/>
        <v>326400</v>
      </c>
      <c r="K392" s="4" t="str">
        <f t="shared" si="19"/>
        <v>2024-09</v>
      </c>
      <c r="L392" s="4" t="str">
        <f t="shared" si="20"/>
        <v>월</v>
      </c>
      <c r="M392" s="2" t="str">
        <f>VLOOKUP($C392, 고객정보!$A$2:$E$151, 2, FALSE)</f>
        <v>서울</v>
      </c>
      <c r="N392" t="str">
        <f>VLOOKUP(C392,고객정보!$A$2:$D$151,4,FALSE)</f>
        <v>L3</v>
      </c>
      <c r="O392" t="str">
        <f>VLOOKUP($C392, 고객정보!$A$2:$E$151, 5, FALSE)</f>
        <v>30대</v>
      </c>
      <c r="P392" t="str">
        <f>VLOOKUP(D392,상품정보!$A$2:$E$61,2,FALSE)</f>
        <v>셔츠</v>
      </c>
      <c r="Q392" t="str">
        <f>VLOOKUP(D392,상품정보!$A$2:$D$151,3,FALSE)</f>
        <v>의류</v>
      </c>
      <c r="R392" t="str">
        <f>VLOOKUP(D392,상품정보!$A$2:$D$151,4,FALSE)</f>
        <v>브랜드F</v>
      </c>
    </row>
    <row r="393" spans="1:18" x14ac:dyDescent="0.45">
      <c r="A393" t="s">
        <v>107</v>
      </c>
      <c r="B393" t="s">
        <v>792</v>
      </c>
      <c r="C393" t="s">
        <v>2447</v>
      </c>
      <c r="D393" t="s">
        <v>2573</v>
      </c>
      <c r="E393">
        <v>4</v>
      </c>
      <c r="F393">
        <v>6400</v>
      </c>
      <c r="G393">
        <v>500</v>
      </c>
      <c r="H393">
        <v>0</v>
      </c>
      <c r="I393" t="s">
        <v>2652</v>
      </c>
      <c r="J393" s="4">
        <f t="shared" si="18"/>
        <v>26100</v>
      </c>
      <c r="K393" s="4" t="str">
        <f t="shared" si="19"/>
        <v>2024-04</v>
      </c>
      <c r="L393" s="4" t="str">
        <f t="shared" si="20"/>
        <v>수</v>
      </c>
      <c r="M393" s="2" t="str">
        <f>VLOOKUP($C393, 고객정보!$A$2:$E$151, 2, FALSE)</f>
        <v>대구</v>
      </c>
      <c r="N393" t="str">
        <f>VLOOKUP(C393,고객정보!$A$2:$D$151,4,FALSE)</f>
        <v>L1</v>
      </c>
      <c r="O393" t="str">
        <f>VLOOKUP($C393, 고객정보!$A$2:$E$151, 5, FALSE)</f>
        <v>10대</v>
      </c>
      <c r="P393" t="str">
        <f>VLOOKUP(D393,상품정보!$A$2:$E$61,2,FALSE)</f>
        <v>귀걸이</v>
      </c>
      <c r="Q393" t="str">
        <f>VLOOKUP(D393,상품정보!$A$2:$D$151,3,FALSE)</f>
        <v>액세서리</v>
      </c>
      <c r="R393" t="str">
        <f>VLOOKUP(D393,상품정보!$A$2:$D$151,4,FALSE)</f>
        <v>브랜드E</v>
      </c>
    </row>
    <row r="394" spans="1:18" x14ac:dyDescent="0.45">
      <c r="A394" t="s">
        <v>175</v>
      </c>
      <c r="B394" t="s">
        <v>793</v>
      </c>
      <c r="C394" t="s">
        <v>2438</v>
      </c>
      <c r="D394" t="s">
        <v>2603</v>
      </c>
      <c r="E394">
        <v>5</v>
      </c>
      <c r="F394">
        <v>8200</v>
      </c>
      <c r="G394">
        <v>0</v>
      </c>
      <c r="H394">
        <v>0</v>
      </c>
      <c r="I394" t="s">
        <v>2652</v>
      </c>
      <c r="J394" s="4">
        <f t="shared" si="18"/>
        <v>41000</v>
      </c>
      <c r="K394" s="4" t="str">
        <f t="shared" si="19"/>
        <v>2024-07</v>
      </c>
      <c r="L394" s="4" t="str">
        <f t="shared" si="20"/>
        <v>일</v>
      </c>
      <c r="M394" s="2" t="str">
        <f>VLOOKUP($C394, 고객정보!$A$2:$E$151, 2, FALSE)</f>
        <v>대구</v>
      </c>
      <c r="N394" t="str">
        <f>VLOOKUP(C394,고객정보!$A$2:$D$151,4,FALSE)</f>
        <v>L4</v>
      </c>
      <c r="O394" t="str">
        <f>VLOOKUP($C394, 고객정보!$A$2:$E$151, 5, FALSE)</f>
        <v>30대</v>
      </c>
      <c r="P394" t="str">
        <f>VLOOKUP(D394,상품정보!$A$2:$E$61,2,FALSE)</f>
        <v>목걸이</v>
      </c>
      <c r="Q394" t="str">
        <f>VLOOKUP(D394,상품정보!$A$2:$D$151,3,FALSE)</f>
        <v>액세서리</v>
      </c>
      <c r="R394" t="str">
        <f>VLOOKUP(D394,상품정보!$A$2:$D$151,4,FALSE)</f>
        <v>브랜드E</v>
      </c>
    </row>
    <row r="395" spans="1:18" x14ac:dyDescent="0.45">
      <c r="A395" t="s">
        <v>253</v>
      </c>
      <c r="B395" t="s">
        <v>794</v>
      </c>
      <c r="C395" t="s">
        <v>2504</v>
      </c>
      <c r="D395" t="s">
        <v>2557</v>
      </c>
      <c r="E395">
        <v>3</v>
      </c>
      <c r="F395">
        <v>77700</v>
      </c>
      <c r="G395">
        <v>500</v>
      </c>
      <c r="H395">
        <v>5000</v>
      </c>
      <c r="I395" t="s">
        <v>2611</v>
      </c>
      <c r="J395" s="4">
        <f t="shared" si="18"/>
        <v>228600</v>
      </c>
      <c r="K395" s="4" t="str">
        <f t="shared" si="19"/>
        <v>2024-10</v>
      </c>
      <c r="L395" s="4" t="str">
        <f t="shared" si="20"/>
        <v>일</v>
      </c>
      <c r="M395" s="2" t="str">
        <f>VLOOKUP($C395, 고객정보!$A$2:$E$151, 2, FALSE)</f>
        <v>서울</v>
      </c>
      <c r="N395" t="str">
        <f>VLOOKUP(C395,고객정보!$A$2:$D$151,4,FALSE)</f>
        <v>L1</v>
      </c>
      <c r="O395" t="str">
        <f>VLOOKUP($C395, 고객정보!$A$2:$E$151, 5, FALSE)</f>
        <v>40대</v>
      </c>
      <c r="P395" t="str">
        <f>VLOOKUP(D395,상품정보!$A$2:$E$61,2,FALSE)</f>
        <v>귀걸이</v>
      </c>
      <c r="Q395" t="str">
        <f>VLOOKUP(D395,상품정보!$A$2:$D$151,3,FALSE)</f>
        <v>액세서리</v>
      </c>
      <c r="R395" t="str">
        <f>VLOOKUP(D395,상품정보!$A$2:$D$151,4,FALSE)</f>
        <v>브랜드B</v>
      </c>
    </row>
    <row r="396" spans="1:18" x14ac:dyDescent="0.45">
      <c r="A396" t="s">
        <v>95</v>
      </c>
      <c r="B396" t="s">
        <v>795</v>
      </c>
      <c r="C396" t="s">
        <v>2402</v>
      </c>
      <c r="D396" t="s">
        <v>2570</v>
      </c>
      <c r="E396">
        <v>4</v>
      </c>
      <c r="F396">
        <v>73900</v>
      </c>
      <c r="G396">
        <v>1000</v>
      </c>
      <c r="H396">
        <v>0</v>
      </c>
      <c r="I396" t="s">
        <v>2652</v>
      </c>
      <c r="J396" s="4">
        <f t="shared" si="18"/>
        <v>296600</v>
      </c>
      <c r="K396" s="4" t="str">
        <f t="shared" si="19"/>
        <v>2024-10</v>
      </c>
      <c r="L396" s="4" t="str">
        <f t="shared" si="20"/>
        <v>월</v>
      </c>
      <c r="M396" s="2" t="str">
        <f>VLOOKUP($C396, 고객정보!$A$2:$E$151, 2, FALSE)</f>
        <v>서울</v>
      </c>
      <c r="N396" t="str">
        <f>VLOOKUP(C396,고객정보!$A$2:$D$151,4,FALSE)</f>
        <v>L2</v>
      </c>
      <c r="O396" t="str">
        <f>VLOOKUP($C396, 고객정보!$A$2:$E$151, 5, FALSE)</f>
        <v>30대</v>
      </c>
      <c r="P396" t="str">
        <f>VLOOKUP(D396,상품정보!$A$2:$E$61,2,FALSE)</f>
        <v>반지</v>
      </c>
      <c r="Q396" t="str">
        <f>VLOOKUP(D396,상품정보!$A$2:$D$151,3,FALSE)</f>
        <v>액세서리</v>
      </c>
      <c r="R396" t="str">
        <f>VLOOKUP(D396,상품정보!$A$2:$D$151,4,FALSE)</f>
        <v>브랜드B</v>
      </c>
    </row>
    <row r="397" spans="1:18" x14ac:dyDescent="0.45">
      <c r="A397" t="s">
        <v>254</v>
      </c>
      <c r="B397" t="s">
        <v>796</v>
      </c>
      <c r="C397" t="s">
        <v>2463</v>
      </c>
      <c r="D397" t="s">
        <v>2551</v>
      </c>
      <c r="E397">
        <v>5</v>
      </c>
      <c r="F397">
        <v>66600</v>
      </c>
      <c r="G397">
        <v>0</v>
      </c>
      <c r="H397">
        <v>1000</v>
      </c>
      <c r="I397" t="s">
        <v>2611</v>
      </c>
      <c r="J397" s="4">
        <f t="shared" si="18"/>
        <v>332000</v>
      </c>
      <c r="K397" s="4" t="str">
        <f t="shared" si="19"/>
        <v>2024-12</v>
      </c>
      <c r="L397" s="4" t="str">
        <f t="shared" si="20"/>
        <v>월</v>
      </c>
      <c r="M397" s="2" t="str">
        <f>VLOOKUP($C397, 고객정보!$A$2:$E$151, 2, FALSE)</f>
        <v>대구</v>
      </c>
      <c r="N397" t="str">
        <f>VLOOKUP(C397,고객정보!$A$2:$D$151,4,FALSE)</f>
        <v>L4</v>
      </c>
      <c r="O397" t="str">
        <f>VLOOKUP($C397, 고객정보!$A$2:$E$151, 5, FALSE)</f>
        <v>20대</v>
      </c>
      <c r="P397" t="str">
        <f>VLOOKUP(D397,상품정보!$A$2:$E$61,2,FALSE)</f>
        <v>반지</v>
      </c>
      <c r="Q397" t="str">
        <f>VLOOKUP(D397,상품정보!$A$2:$D$151,3,FALSE)</f>
        <v>액세서리</v>
      </c>
      <c r="R397" t="str">
        <f>VLOOKUP(D397,상품정보!$A$2:$D$151,4,FALSE)</f>
        <v>브랜드B</v>
      </c>
    </row>
    <row r="398" spans="1:18" x14ac:dyDescent="0.45">
      <c r="A398" t="s">
        <v>145</v>
      </c>
      <c r="B398" t="s">
        <v>797</v>
      </c>
      <c r="C398" t="s">
        <v>2425</v>
      </c>
      <c r="D398" t="s">
        <v>2551</v>
      </c>
      <c r="E398">
        <v>2</v>
      </c>
      <c r="F398">
        <v>66600</v>
      </c>
      <c r="G398">
        <v>0</v>
      </c>
      <c r="H398">
        <v>1100</v>
      </c>
      <c r="I398" t="s">
        <v>2611</v>
      </c>
      <c r="J398" s="4">
        <f t="shared" si="18"/>
        <v>132100</v>
      </c>
      <c r="K398" s="4" t="str">
        <f t="shared" si="19"/>
        <v>2024-05</v>
      </c>
      <c r="L398" s="4" t="str">
        <f t="shared" si="20"/>
        <v>일</v>
      </c>
      <c r="M398" s="2" t="str">
        <f>VLOOKUP($C398, 고객정보!$A$2:$E$151, 2, FALSE)</f>
        <v>서울</v>
      </c>
      <c r="N398" t="str">
        <f>VLOOKUP(C398,고객정보!$A$2:$D$151,4,FALSE)</f>
        <v>L4</v>
      </c>
      <c r="O398" t="str">
        <f>VLOOKUP($C398, 고객정보!$A$2:$E$151, 5, FALSE)</f>
        <v>30대</v>
      </c>
      <c r="P398" t="str">
        <f>VLOOKUP(D398,상품정보!$A$2:$E$61,2,FALSE)</f>
        <v>반지</v>
      </c>
      <c r="Q398" t="str">
        <f>VLOOKUP(D398,상품정보!$A$2:$D$151,3,FALSE)</f>
        <v>액세서리</v>
      </c>
      <c r="R398" t="str">
        <f>VLOOKUP(D398,상품정보!$A$2:$D$151,4,FALSE)</f>
        <v>브랜드B</v>
      </c>
    </row>
    <row r="399" spans="1:18" x14ac:dyDescent="0.45">
      <c r="A399" t="s">
        <v>106</v>
      </c>
      <c r="B399" t="s">
        <v>798</v>
      </c>
      <c r="C399" t="s">
        <v>2488</v>
      </c>
      <c r="D399" t="s">
        <v>2582</v>
      </c>
      <c r="E399">
        <v>3</v>
      </c>
      <c r="F399">
        <v>12500</v>
      </c>
      <c r="G399">
        <v>500</v>
      </c>
      <c r="H399">
        <v>0</v>
      </c>
      <c r="I399" t="s">
        <v>2652</v>
      </c>
      <c r="J399" s="4">
        <f t="shared" si="18"/>
        <v>38000</v>
      </c>
      <c r="K399" s="4" t="str">
        <f t="shared" si="19"/>
        <v>2024-06</v>
      </c>
      <c r="L399" s="4" t="str">
        <f t="shared" si="20"/>
        <v>금</v>
      </c>
      <c r="M399" s="2" t="str">
        <f>VLOOKUP($C399, 고객정보!$A$2:$E$151, 2, FALSE)</f>
        <v>서울</v>
      </c>
      <c r="N399" t="str">
        <f>VLOOKUP(C399,고객정보!$A$2:$D$151,4,FALSE)</f>
        <v>L3</v>
      </c>
      <c r="O399" t="str">
        <f>VLOOKUP($C399, 고객정보!$A$2:$E$151, 5, FALSE)</f>
        <v>40대</v>
      </c>
      <c r="P399" t="str">
        <f>VLOOKUP(D399,상품정보!$A$2:$E$61,2,FALSE)</f>
        <v>셔츠</v>
      </c>
      <c r="Q399" t="str">
        <f>VLOOKUP(D399,상품정보!$A$2:$D$151,3,FALSE)</f>
        <v>의류</v>
      </c>
      <c r="R399" t="str">
        <f>VLOOKUP(D399,상품정보!$A$2:$D$151,4,FALSE)</f>
        <v>브랜드D</v>
      </c>
    </row>
    <row r="400" spans="1:18" x14ac:dyDescent="0.45">
      <c r="A400" t="s">
        <v>84</v>
      </c>
      <c r="B400" t="s">
        <v>799</v>
      </c>
      <c r="C400" t="s">
        <v>2408</v>
      </c>
      <c r="D400" t="s">
        <v>2604</v>
      </c>
      <c r="E400">
        <v>2</v>
      </c>
      <c r="F400">
        <v>9700</v>
      </c>
      <c r="G400">
        <v>1500</v>
      </c>
      <c r="H400">
        <v>7300</v>
      </c>
      <c r="I400" t="s">
        <v>2613</v>
      </c>
      <c r="J400" s="4">
        <f t="shared" si="18"/>
        <v>13600</v>
      </c>
      <c r="K400" s="4" t="str">
        <f t="shared" si="19"/>
        <v>2024-10</v>
      </c>
      <c r="L400" s="4" t="str">
        <f t="shared" si="20"/>
        <v>수</v>
      </c>
      <c r="M400" s="2" t="str">
        <f>VLOOKUP($C400, 고객정보!$A$2:$E$151, 2, FALSE)</f>
        <v>수원</v>
      </c>
      <c r="N400" t="str">
        <f>VLOOKUP(C400,고객정보!$A$2:$D$151,4,FALSE)</f>
        <v>L5</v>
      </c>
      <c r="O400" t="str">
        <f>VLOOKUP($C400, 고객정보!$A$2:$E$151, 5, FALSE)</f>
        <v>20대</v>
      </c>
      <c r="P400" t="str">
        <f>VLOOKUP(D400,상품정보!$A$2:$E$61,2,FALSE)</f>
        <v>반팔 티셔츠</v>
      </c>
      <c r="Q400" t="str">
        <f>VLOOKUP(D400,상품정보!$A$2:$D$151,3,FALSE)</f>
        <v>의류</v>
      </c>
      <c r="R400" t="str">
        <f>VLOOKUP(D400,상품정보!$A$2:$D$151,4,FALSE)</f>
        <v>브랜드E</v>
      </c>
    </row>
    <row r="401" spans="1:18" x14ac:dyDescent="0.45">
      <c r="A401" t="s">
        <v>255</v>
      </c>
      <c r="B401" t="s">
        <v>800</v>
      </c>
      <c r="C401" t="s">
        <v>2461</v>
      </c>
      <c r="D401" t="s">
        <v>2571</v>
      </c>
      <c r="E401">
        <v>2</v>
      </c>
      <c r="F401">
        <v>55600</v>
      </c>
      <c r="G401">
        <v>0</v>
      </c>
      <c r="H401">
        <v>700</v>
      </c>
      <c r="I401" t="s">
        <v>2611</v>
      </c>
      <c r="J401" s="4">
        <f t="shared" si="18"/>
        <v>110500</v>
      </c>
      <c r="K401" s="4" t="str">
        <f t="shared" si="19"/>
        <v>2025-01</v>
      </c>
      <c r="L401" s="4" t="str">
        <f t="shared" si="20"/>
        <v>화</v>
      </c>
      <c r="M401" s="2" t="str">
        <f>VLOOKUP($C401, 고객정보!$A$2:$E$151, 2, FALSE)</f>
        <v>부산</v>
      </c>
      <c r="N401" t="str">
        <f>VLOOKUP(C401,고객정보!$A$2:$D$151,4,FALSE)</f>
        <v>L2</v>
      </c>
      <c r="O401" t="str">
        <f>VLOOKUP($C401, 고객정보!$A$2:$E$151, 5, FALSE)</f>
        <v>40대</v>
      </c>
      <c r="P401" t="str">
        <f>VLOOKUP(D401,상품정보!$A$2:$E$61,2,FALSE)</f>
        <v>자켓</v>
      </c>
      <c r="Q401" t="str">
        <f>VLOOKUP(D401,상품정보!$A$2:$D$151,3,FALSE)</f>
        <v>의류</v>
      </c>
      <c r="R401" t="str">
        <f>VLOOKUP(D401,상품정보!$A$2:$D$151,4,FALSE)</f>
        <v>브랜드B</v>
      </c>
    </row>
    <row r="402" spans="1:18" x14ac:dyDescent="0.45">
      <c r="A402" t="s">
        <v>256</v>
      </c>
      <c r="B402" t="s">
        <v>801</v>
      </c>
      <c r="C402" t="s">
        <v>2503</v>
      </c>
      <c r="D402" t="s">
        <v>2553</v>
      </c>
      <c r="E402">
        <v>5</v>
      </c>
      <c r="F402">
        <v>63400</v>
      </c>
      <c r="G402">
        <v>0</v>
      </c>
      <c r="H402">
        <v>0</v>
      </c>
      <c r="I402" t="s">
        <v>2652</v>
      </c>
      <c r="J402" s="4">
        <f t="shared" si="18"/>
        <v>317000</v>
      </c>
      <c r="K402" s="4" t="str">
        <f t="shared" si="19"/>
        <v>2024-04</v>
      </c>
      <c r="L402" s="4" t="str">
        <f t="shared" si="20"/>
        <v>토</v>
      </c>
      <c r="M402" s="2" t="str">
        <f>VLOOKUP($C402, 고객정보!$A$2:$E$151, 2, FALSE)</f>
        <v>대전</v>
      </c>
      <c r="N402" t="str">
        <f>VLOOKUP(C402,고객정보!$A$2:$D$151,4,FALSE)</f>
        <v>L3</v>
      </c>
      <c r="O402" t="str">
        <f>VLOOKUP($C402, 고객정보!$A$2:$E$151, 5, FALSE)</f>
        <v>40대</v>
      </c>
      <c r="P402" t="str">
        <f>VLOOKUP(D402,상품정보!$A$2:$E$61,2,FALSE)</f>
        <v>귀걸이</v>
      </c>
      <c r="Q402" t="str">
        <f>VLOOKUP(D402,상품정보!$A$2:$D$151,3,FALSE)</f>
        <v>액세서리</v>
      </c>
      <c r="R402" t="str">
        <f>VLOOKUP(D402,상품정보!$A$2:$D$151,4,FALSE)</f>
        <v>브랜드F</v>
      </c>
    </row>
    <row r="403" spans="1:18" x14ac:dyDescent="0.45">
      <c r="A403" t="s">
        <v>168</v>
      </c>
      <c r="B403" t="s">
        <v>802</v>
      </c>
      <c r="C403" t="s">
        <v>2538</v>
      </c>
      <c r="D403" t="s">
        <v>2592</v>
      </c>
      <c r="E403">
        <v>4</v>
      </c>
      <c r="F403">
        <v>72700</v>
      </c>
      <c r="G403">
        <v>0</v>
      </c>
      <c r="H403">
        <v>2300</v>
      </c>
      <c r="I403" t="s">
        <v>2614</v>
      </c>
      <c r="J403" s="4">
        <f t="shared" si="18"/>
        <v>288500</v>
      </c>
      <c r="K403" s="4" t="str">
        <f t="shared" si="19"/>
        <v>2024-06</v>
      </c>
      <c r="L403" s="4" t="str">
        <f t="shared" si="20"/>
        <v>일</v>
      </c>
      <c r="M403" s="2" t="str">
        <f>VLOOKUP($C403, 고객정보!$A$2:$E$151, 2, FALSE)</f>
        <v>대구</v>
      </c>
      <c r="N403" t="str">
        <f>VLOOKUP(C403,고객정보!$A$2:$D$151,4,FALSE)</f>
        <v>L4</v>
      </c>
      <c r="O403" t="str">
        <f>VLOOKUP($C403, 고객정보!$A$2:$E$151, 5, FALSE)</f>
        <v>40대</v>
      </c>
      <c r="P403" t="str">
        <f>VLOOKUP(D403,상품정보!$A$2:$E$61,2,FALSE)</f>
        <v>귀걸이</v>
      </c>
      <c r="Q403" t="str">
        <f>VLOOKUP(D403,상품정보!$A$2:$D$151,3,FALSE)</f>
        <v>액세서리</v>
      </c>
      <c r="R403" t="str">
        <f>VLOOKUP(D403,상품정보!$A$2:$D$151,4,FALSE)</f>
        <v>브랜드A</v>
      </c>
    </row>
    <row r="404" spans="1:18" x14ac:dyDescent="0.45">
      <c r="A404" t="s">
        <v>45</v>
      </c>
      <c r="B404" t="s">
        <v>803</v>
      </c>
      <c r="C404" t="s">
        <v>2432</v>
      </c>
      <c r="D404" t="s">
        <v>2599</v>
      </c>
      <c r="E404">
        <v>3</v>
      </c>
      <c r="F404">
        <v>73800</v>
      </c>
      <c r="G404">
        <v>0</v>
      </c>
      <c r="H404">
        <v>0</v>
      </c>
      <c r="I404" t="s">
        <v>2652</v>
      </c>
      <c r="J404" s="4">
        <f t="shared" si="18"/>
        <v>221400</v>
      </c>
      <c r="K404" s="4" t="str">
        <f t="shared" si="19"/>
        <v>2025-01</v>
      </c>
      <c r="L404" s="4" t="str">
        <f t="shared" si="20"/>
        <v>토</v>
      </c>
      <c r="M404" s="2" t="str">
        <f>VLOOKUP($C404, 고객정보!$A$2:$E$151, 2, FALSE)</f>
        <v>서울</v>
      </c>
      <c r="N404" t="str">
        <f>VLOOKUP(C404,고객정보!$A$2:$D$151,4,FALSE)</f>
        <v>L5</v>
      </c>
      <c r="O404" t="str">
        <f>VLOOKUP($C404, 고객정보!$A$2:$E$151, 5, FALSE)</f>
        <v>20대</v>
      </c>
      <c r="P404" t="str">
        <f>VLOOKUP(D404,상품정보!$A$2:$E$61,2,FALSE)</f>
        <v>핸드폰케이스</v>
      </c>
      <c r="Q404" t="str">
        <f>VLOOKUP(D404,상품정보!$A$2:$D$151,3,FALSE)</f>
        <v>액세서리</v>
      </c>
      <c r="R404" t="str">
        <f>VLOOKUP(D404,상품정보!$A$2:$D$151,4,FALSE)</f>
        <v>브랜드F</v>
      </c>
    </row>
    <row r="405" spans="1:18" x14ac:dyDescent="0.45">
      <c r="A405" t="s">
        <v>40</v>
      </c>
      <c r="B405" t="s">
        <v>804</v>
      </c>
      <c r="C405" t="s">
        <v>2424</v>
      </c>
      <c r="D405" t="s">
        <v>2587</v>
      </c>
      <c r="E405">
        <v>5</v>
      </c>
      <c r="F405">
        <v>50200</v>
      </c>
      <c r="G405">
        <v>0</v>
      </c>
      <c r="H405">
        <v>4000</v>
      </c>
      <c r="I405" t="s">
        <v>2611</v>
      </c>
      <c r="J405" s="4">
        <f t="shared" si="18"/>
        <v>247000</v>
      </c>
      <c r="K405" s="4" t="str">
        <f t="shared" si="19"/>
        <v>2024-11</v>
      </c>
      <c r="L405" s="4" t="str">
        <f t="shared" si="20"/>
        <v>금</v>
      </c>
      <c r="M405" s="2" t="str">
        <f>VLOOKUP($C405, 고객정보!$A$2:$E$151, 2, FALSE)</f>
        <v>서울</v>
      </c>
      <c r="N405" t="str">
        <f>VLOOKUP(C405,고객정보!$A$2:$D$151,4,FALSE)</f>
        <v>L1</v>
      </c>
      <c r="O405" t="str">
        <f>VLOOKUP($C405, 고객정보!$A$2:$E$151, 5, FALSE)</f>
        <v>30대</v>
      </c>
      <c r="P405" t="str">
        <f>VLOOKUP(D405,상품정보!$A$2:$E$61,2,FALSE)</f>
        <v>반지</v>
      </c>
      <c r="Q405" t="str">
        <f>VLOOKUP(D405,상품정보!$A$2:$D$151,3,FALSE)</f>
        <v>액세서리</v>
      </c>
      <c r="R405" t="str">
        <f>VLOOKUP(D405,상품정보!$A$2:$D$151,4,FALSE)</f>
        <v>브랜드B</v>
      </c>
    </row>
    <row r="406" spans="1:18" x14ac:dyDescent="0.45">
      <c r="A406" t="s">
        <v>16</v>
      </c>
      <c r="B406" t="s">
        <v>805</v>
      </c>
      <c r="C406" t="s">
        <v>2444</v>
      </c>
      <c r="D406" t="s">
        <v>2584</v>
      </c>
      <c r="E406">
        <v>1</v>
      </c>
      <c r="F406">
        <v>59700</v>
      </c>
      <c r="G406">
        <v>0</v>
      </c>
      <c r="H406">
        <v>0</v>
      </c>
      <c r="I406" t="s">
        <v>2652</v>
      </c>
      <c r="J406" s="4">
        <f t="shared" si="18"/>
        <v>59700</v>
      </c>
      <c r="K406" s="4" t="str">
        <f t="shared" si="19"/>
        <v>2024-03</v>
      </c>
      <c r="L406" s="4" t="str">
        <f t="shared" si="20"/>
        <v>수</v>
      </c>
      <c r="M406" s="2" t="str">
        <f>VLOOKUP($C406, 고객정보!$A$2:$E$151, 2, FALSE)</f>
        <v>서울</v>
      </c>
      <c r="N406" t="str">
        <f>VLOOKUP(C406,고객정보!$A$2:$D$151,4,FALSE)</f>
        <v>L4</v>
      </c>
      <c r="O406" t="str">
        <f>VLOOKUP($C406, 고객정보!$A$2:$E$151, 5, FALSE)</f>
        <v>40대</v>
      </c>
      <c r="P406" t="str">
        <f>VLOOKUP(D406,상품정보!$A$2:$E$61,2,FALSE)</f>
        <v>목걸이</v>
      </c>
      <c r="Q406" t="str">
        <f>VLOOKUP(D406,상품정보!$A$2:$D$151,3,FALSE)</f>
        <v>액세서리</v>
      </c>
      <c r="R406" t="str">
        <f>VLOOKUP(D406,상품정보!$A$2:$D$151,4,FALSE)</f>
        <v>브랜드B</v>
      </c>
    </row>
    <row r="407" spans="1:18" x14ac:dyDescent="0.45">
      <c r="A407" t="s">
        <v>257</v>
      </c>
      <c r="B407" t="s">
        <v>806</v>
      </c>
      <c r="C407" t="s">
        <v>2432</v>
      </c>
      <c r="D407" t="s">
        <v>2557</v>
      </c>
      <c r="E407">
        <v>5</v>
      </c>
      <c r="F407">
        <v>77700</v>
      </c>
      <c r="G407">
        <v>0</v>
      </c>
      <c r="H407">
        <v>8400</v>
      </c>
      <c r="I407" t="s">
        <v>2613</v>
      </c>
      <c r="J407" s="4">
        <f t="shared" si="18"/>
        <v>380100</v>
      </c>
      <c r="K407" s="4" t="str">
        <f t="shared" si="19"/>
        <v>2024-01</v>
      </c>
      <c r="L407" s="4" t="str">
        <f t="shared" si="20"/>
        <v>금</v>
      </c>
      <c r="M407" s="2" t="str">
        <f>VLOOKUP($C407, 고객정보!$A$2:$E$151, 2, FALSE)</f>
        <v>서울</v>
      </c>
      <c r="N407" t="str">
        <f>VLOOKUP(C407,고객정보!$A$2:$D$151,4,FALSE)</f>
        <v>L5</v>
      </c>
      <c r="O407" t="str">
        <f>VLOOKUP($C407, 고객정보!$A$2:$E$151, 5, FALSE)</f>
        <v>20대</v>
      </c>
      <c r="P407" t="str">
        <f>VLOOKUP(D407,상품정보!$A$2:$E$61,2,FALSE)</f>
        <v>귀걸이</v>
      </c>
      <c r="Q407" t="str">
        <f>VLOOKUP(D407,상품정보!$A$2:$D$151,3,FALSE)</f>
        <v>액세서리</v>
      </c>
      <c r="R407" t="str">
        <f>VLOOKUP(D407,상품정보!$A$2:$D$151,4,FALSE)</f>
        <v>브랜드B</v>
      </c>
    </row>
    <row r="408" spans="1:18" x14ac:dyDescent="0.45">
      <c r="A408" t="s">
        <v>159</v>
      </c>
      <c r="B408" t="s">
        <v>807</v>
      </c>
      <c r="C408" t="s">
        <v>2414</v>
      </c>
      <c r="D408" t="s">
        <v>2565</v>
      </c>
      <c r="E408">
        <v>4</v>
      </c>
      <c r="F408">
        <v>50000</v>
      </c>
      <c r="G408">
        <v>0</v>
      </c>
      <c r="H408">
        <v>0</v>
      </c>
      <c r="I408" t="s">
        <v>2652</v>
      </c>
      <c r="J408" s="4">
        <f t="shared" si="18"/>
        <v>200000</v>
      </c>
      <c r="K408" s="4" t="str">
        <f t="shared" si="19"/>
        <v>2024-12</v>
      </c>
      <c r="L408" s="4" t="str">
        <f t="shared" si="20"/>
        <v>수</v>
      </c>
      <c r="M408" s="2" t="str">
        <f>VLOOKUP($C408, 고객정보!$A$2:$E$151, 2, FALSE)</f>
        <v>대구</v>
      </c>
      <c r="N408" t="str">
        <f>VLOOKUP(C408,고객정보!$A$2:$D$151,4,FALSE)</f>
        <v>L3</v>
      </c>
      <c r="O408" t="str">
        <f>VLOOKUP($C408, 고객정보!$A$2:$E$151, 5, FALSE)</f>
        <v>30대</v>
      </c>
      <c r="P408" t="str">
        <f>VLOOKUP(D408,상품정보!$A$2:$E$61,2,FALSE)</f>
        <v>핸드폰케이스</v>
      </c>
      <c r="Q408" t="str">
        <f>VLOOKUP(D408,상품정보!$A$2:$D$151,3,FALSE)</f>
        <v>액세서리</v>
      </c>
      <c r="R408" t="str">
        <f>VLOOKUP(D408,상품정보!$A$2:$D$151,4,FALSE)</f>
        <v>브랜드B</v>
      </c>
    </row>
    <row r="409" spans="1:18" x14ac:dyDescent="0.45">
      <c r="A409" t="s">
        <v>118</v>
      </c>
      <c r="B409" t="s">
        <v>808</v>
      </c>
      <c r="C409" t="s">
        <v>2409</v>
      </c>
      <c r="D409" t="s">
        <v>2583</v>
      </c>
      <c r="E409">
        <v>5</v>
      </c>
      <c r="F409">
        <v>6600</v>
      </c>
      <c r="G409">
        <v>0</v>
      </c>
      <c r="H409">
        <v>0</v>
      </c>
      <c r="I409" t="s">
        <v>2652</v>
      </c>
      <c r="J409" s="4">
        <f t="shared" si="18"/>
        <v>33000</v>
      </c>
      <c r="K409" s="4" t="str">
        <f t="shared" si="19"/>
        <v>2024-08</v>
      </c>
      <c r="L409" s="4" t="str">
        <f t="shared" si="20"/>
        <v>수</v>
      </c>
      <c r="M409" s="2" t="str">
        <f>VLOOKUP($C409, 고객정보!$A$2:$E$151, 2, FALSE)</f>
        <v>서울</v>
      </c>
      <c r="N409" t="str">
        <f>VLOOKUP(C409,고객정보!$A$2:$D$151,4,FALSE)</f>
        <v>L3</v>
      </c>
      <c r="O409" t="str">
        <f>VLOOKUP($C409, 고객정보!$A$2:$E$151, 5, FALSE)</f>
        <v>50대 이상</v>
      </c>
      <c r="P409" t="str">
        <f>VLOOKUP(D409,상품정보!$A$2:$E$61,2,FALSE)</f>
        <v>셔츠</v>
      </c>
      <c r="Q409" t="str">
        <f>VLOOKUP(D409,상품정보!$A$2:$D$151,3,FALSE)</f>
        <v>의류</v>
      </c>
      <c r="R409" t="str">
        <f>VLOOKUP(D409,상품정보!$A$2:$D$151,4,FALSE)</f>
        <v>브랜드E</v>
      </c>
    </row>
    <row r="410" spans="1:18" x14ac:dyDescent="0.45">
      <c r="A410" t="s">
        <v>56</v>
      </c>
      <c r="B410" t="s">
        <v>809</v>
      </c>
      <c r="C410" t="s">
        <v>2515</v>
      </c>
      <c r="D410" t="s">
        <v>2565</v>
      </c>
      <c r="E410">
        <v>2</v>
      </c>
      <c r="F410">
        <v>50000</v>
      </c>
      <c r="G410">
        <v>500</v>
      </c>
      <c r="H410">
        <v>700</v>
      </c>
      <c r="I410" t="s">
        <v>2611</v>
      </c>
      <c r="J410" s="4">
        <f t="shared" si="18"/>
        <v>99800</v>
      </c>
      <c r="K410" s="4" t="str">
        <f t="shared" si="19"/>
        <v>2025-01</v>
      </c>
      <c r="L410" s="4" t="str">
        <f t="shared" si="20"/>
        <v>화</v>
      </c>
      <c r="M410" s="2" t="str">
        <f>VLOOKUP($C410, 고객정보!$A$2:$E$151, 2, FALSE)</f>
        <v>부산</v>
      </c>
      <c r="N410" t="str">
        <f>VLOOKUP(C410,고객정보!$A$2:$D$151,4,FALSE)</f>
        <v>L5</v>
      </c>
      <c r="O410" t="str">
        <f>VLOOKUP($C410, 고객정보!$A$2:$E$151, 5, FALSE)</f>
        <v>40대</v>
      </c>
      <c r="P410" t="str">
        <f>VLOOKUP(D410,상품정보!$A$2:$E$61,2,FALSE)</f>
        <v>핸드폰케이스</v>
      </c>
      <c r="Q410" t="str">
        <f>VLOOKUP(D410,상품정보!$A$2:$D$151,3,FALSE)</f>
        <v>액세서리</v>
      </c>
      <c r="R410" t="str">
        <f>VLOOKUP(D410,상품정보!$A$2:$D$151,4,FALSE)</f>
        <v>브랜드B</v>
      </c>
    </row>
    <row r="411" spans="1:18" x14ac:dyDescent="0.45">
      <c r="A411" t="s">
        <v>98</v>
      </c>
      <c r="B411" t="s">
        <v>810</v>
      </c>
      <c r="C411" t="s">
        <v>2493</v>
      </c>
      <c r="D411" t="s">
        <v>2580</v>
      </c>
      <c r="E411">
        <v>3</v>
      </c>
      <c r="F411">
        <v>77800</v>
      </c>
      <c r="G411">
        <v>1000</v>
      </c>
      <c r="H411">
        <v>0</v>
      </c>
      <c r="I411" t="s">
        <v>2652</v>
      </c>
      <c r="J411" s="4">
        <f t="shared" si="18"/>
        <v>234400</v>
      </c>
      <c r="K411" s="4" t="str">
        <f t="shared" si="19"/>
        <v>2024-08</v>
      </c>
      <c r="L411" s="4" t="str">
        <f t="shared" si="20"/>
        <v>목</v>
      </c>
      <c r="M411" s="2" t="str">
        <f>VLOOKUP($C411, 고객정보!$A$2:$E$151, 2, FALSE)</f>
        <v>서울</v>
      </c>
      <c r="N411" t="str">
        <f>VLOOKUP(C411,고객정보!$A$2:$D$151,4,FALSE)</f>
        <v>L1</v>
      </c>
      <c r="O411" t="str">
        <f>VLOOKUP($C411, 고객정보!$A$2:$E$151, 5, FALSE)</f>
        <v>20대</v>
      </c>
      <c r="P411" t="str">
        <f>VLOOKUP(D411,상품정보!$A$2:$E$61,2,FALSE)</f>
        <v>청바지</v>
      </c>
      <c r="Q411" t="str">
        <f>VLOOKUP(D411,상품정보!$A$2:$D$151,3,FALSE)</f>
        <v>의류</v>
      </c>
      <c r="R411" t="str">
        <f>VLOOKUP(D411,상품정보!$A$2:$D$151,4,FALSE)</f>
        <v>브랜드A</v>
      </c>
    </row>
    <row r="412" spans="1:18" x14ac:dyDescent="0.45">
      <c r="A412" t="s">
        <v>258</v>
      </c>
      <c r="B412" t="s">
        <v>811</v>
      </c>
      <c r="C412" t="s">
        <v>2401</v>
      </c>
      <c r="D412" t="s">
        <v>2595</v>
      </c>
      <c r="E412">
        <v>5</v>
      </c>
      <c r="F412">
        <v>12700</v>
      </c>
      <c r="G412">
        <v>0</v>
      </c>
      <c r="H412">
        <v>0</v>
      </c>
      <c r="I412" t="s">
        <v>2652</v>
      </c>
      <c r="J412" s="4">
        <f t="shared" si="18"/>
        <v>63500</v>
      </c>
      <c r="K412" s="4" t="str">
        <f t="shared" si="19"/>
        <v>2024-09</v>
      </c>
      <c r="L412" s="4" t="str">
        <f t="shared" si="20"/>
        <v>금</v>
      </c>
      <c r="M412" s="2" t="str">
        <f>VLOOKUP($C412, 고객정보!$A$2:$E$151, 2, FALSE)</f>
        <v>대구</v>
      </c>
      <c r="N412" t="str">
        <f>VLOOKUP(C412,고객정보!$A$2:$D$151,4,FALSE)</f>
        <v>L2</v>
      </c>
      <c r="O412" t="str">
        <f>VLOOKUP($C412, 고객정보!$A$2:$E$151, 5, FALSE)</f>
        <v>30대</v>
      </c>
      <c r="P412" t="str">
        <f>VLOOKUP(D412,상품정보!$A$2:$E$61,2,FALSE)</f>
        <v>반지</v>
      </c>
      <c r="Q412" t="str">
        <f>VLOOKUP(D412,상품정보!$A$2:$D$151,3,FALSE)</f>
        <v>액세서리</v>
      </c>
      <c r="R412" t="str">
        <f>VLOOKUP(D412,상품정보!$A$2:$D$151,4,FALSE)</f>
        <v>브랜드C</v>
      </c>
    </row>
    <row r="413" spans="1:18" x14ac:dyDescent="0.45">
      <c r="A413" t="s">
        <v>181</v>
      </c>
      <c r="B413" t="s">
        <v>812</v>
      </c>
      <c r="C413" t="s">
        <v>2513</v>
      </c>
      <c r="D413" t="s">
        <v>2567</v>
      </c>
      <c r="E413">
        <v>3</v>
      </c>
      <c r="F413">
        <v>58600</v>
      </c>
      <c r="G413">
        <v>2000</v>
      </c>
      <c r="H413">
        <v>5400</v>
      </c>
      <c r="I413" t="s">
        <v>2614</v>
      </c>
      <c r="J413" s="4">
        <f t="shared" si="18"/>
        <v>172400</v>
      </c>
      <c r="K413" s="4" t="str">
        <f t="shared" si="19"/>
        <v>2024-01</v>
      </c>
      <c r="L413" s="4" t="str">
        <f t="shared" si="20"/>
        <v>수</v>
      </c>
      <c r="M413" s="2" t="str">
        <f>VLOOKUP($C413, 고객정보!$A$2:$E$151, 2, FALSE)</f>
        <v>수원</v>
      </c>
      <c r="N413" t="str">
        <f>VLOOKUP(C413,고객정보!$A$2:$D$151,4,FALSE)</f>
        <v>L5</v>
      </c>
      <c r="O413" t="str">
        <f>VLOOKUP($C413, 고객정보!$A$2:$E$151, 5, FALSE)</f>
        <v>20대</v>
      </c>
      <c r="P413" t="str">
        <f>VLOOKUP(D413,상품정보!$A$2:$E$61,2,FALSE)</f>
        <v>귀걸이</v>
      </c>
      <c r="Q413" t="str">
        <f>VLOOKUP(D413,상품정보!$A$2:$D$151,3,FALSE)</f>
        <v>액세서리</v>
      </c>
      <c r="R413" t="str">
        <f>VLOOKUP(D413,상품정보!$A$2:$D$151,4,FALSE)</f>
        <v>브랜드B</v>
      </c>
    </row>
    <row r="414" spans="1:18" x14ac:dyDescent="0.45">
      <c r="A414" t="s">
        <v>259</v>
      </c>
      <c r="B414" t="s">
        <v>813</v>
      </c>
      <c r="C414" t="s">
        <v>2407</v>
      </c>
      <c r="D414" t="s">
        <v>2575</v>
      </c>
      <c r="E414">
        <v>5</v>
      </c>
      <c r="F414">
        <v>7200</v>
      </c>
      <c r="G414">
        <v>0</v>
      </c>
      <c r="H414">
        <v>13600</v>
      </c>
      <c r="I414" t="s">
        <v>2613</v>
      </c>
      <c r="J414" s="4">
        <f t="shared" si="18"/>
        <v>22400</v>
      </c>
      <c r="K414" s="4" t="str">
        <f t="shared" si="19"/>
        <v>2024-01</v>
      </c>
      <c r="L414" s="4" t="str">
        <f t="shared" si="20"/>
        <v>월</v>
      </c>
      <c r="M414" s="2" t="str">
        <f>VLOOKUP($C414, 고객정보!$A$2:$E$151, 2, FALSE)</f>
        <v>서울</v>
      </c>
      <c r="N414" t="str">
        <f>VLOOKUP(C414,고객정보!$A$2:$D$151,4,FALSE)</f>
        <v>L5</v>
      </c>
      <c r="O414" t="str">
        <f>VLOOKUP($C414, 고객정보!$A$2:$E$151, 5, FALSE)</f>
        <v>30대</v>
      </c>
      <c r="P414" t="str">
        <f>VLOOKUP(D414,상품정보!$A$2:$E$61,2,FALSE)</f>
        <v>반지</v>
      </c>
      <c r="Q414" t="str">
        <f>VLOOKUP(D414,상품정보!$A$2:$D$151,3,FALSE)</f>
        <v>액세서리</v>
      </c>
      <c r="R414" t="str">
        <f>VLOOKUP(D414,상품정보!$A$2:$D$151,4,FALSE)</f>
        <v>브랜드E</v>
      </c>
    </row>
    <row r="415" spans="1:18" x14ac:dyDescent="0.45">
      <c r="A415" t="s">
        <v>167</v>
      </c>
      <c r="B415" t="s">
        <v>814</v>
      </c>
      <c r="C415" t="s">
        <v>2408</v>
      </c>
      <c r="D415" t="s">
        <v>2572</v>
      </c>
      <c r="E415">
        <v>3</v>
      </c>
      <c r="F415">
        <v>61700</v>
      </c>
      <c r="G415">
        <v>1500</v>
      </c>
      <c r="H415">
        <v>0</v>
      </c>
      <c r="I415" t="s">
        <v>2652</v>
      </c>
      <c r="J415" s="4">
        <f t="shared" si="18"/>
        <v>186600</v>
      </c>
      <c r="K415" s="4" t="str">
        <f t="shared" si="19"/>
        <v>2024-04</v>
      </c>
      <c r="L415" s="4" t="str">
        <f t="shared" si="20"/>
        <v>목</v>
      </c>
      <c r="M415" s="2" t="str">
        <f>VLOOKUP($C415, 고객정보!$A$2:$E$151, 2, FALSE)</f>
        <v>수원</v>
      </c>
      <c r="N415" t="str">
        <f>VLOOKUP(C415,고객정보!$A$2:$D$151,4,FALSE)</f>
        <v>L5</v>
      </c>
      <c r="O415" t="str">
        <f>VLOOKUP($C415, 고객정보!$A$2:$E$151, 5, FALSE)</f>
        <v>20대</v>
      </c>
      <c r="P415" t="str">
        <f>VLOOKUP(D415,상품정보!$A$2:$E$61,2,FALSE)</f>
        <v>반팔 티셔츠</v>
      </c>
      <c r="Q415" t="str">
        <f>VLOOKUP(D415,상품정보!$A$2:$D$151,3,FALSE)</f>
        <v>의류</v>
      </c>
      <c r="R415" t="str">
        <f>VLOOKUP(D415,상품정보!$A$2:$D$151,4,FALSE)</f>
        <v>브랜드F</v>
      </c>
    </row>
    <row r="416" spans="1:18" x14ac:dyDescent="0.45">
      <c r="A416" t="s">
        <v>260</v>
      </c>
      <c r="B416" t="s">
        <v>815</v>
      </c>
      <c r="C416" t="s">
        <v>2430</v>
      </c>
      <c r="D416" t="s">
        <v>2557</v>
      </c>
      <c r="E416">
        <v>3</v>
      </c>
      <c r="F416">
        <v>77700</v>
      </c>
      <c r="G416">
        <v>500</v>
      </c>
      <c r="H416">
        <v>0</v>
      </c>
      <c r="I416" t="s">
        <v>2652</v>
      </c>
      <c r="J416" s="4">
        <f t="shared" si="18"/>
        <v>233600</v>
      </c>
      <c r="K416" s="4" t="str">
        <f t="shared" si="19"/>
        <v>2024-05</v>
      </c>
      <c r="L416" s="4" t="str">
        <f t="shared" si="20"/>
        <v>화</v>
      </c>
      <c r="M416" s="2" t="str">
        <f>VLOOKUP($C416, 고객정보!$A$2:$E$151, 2, FALSE)</f>
        <v>광주</v>
      </c>
      <c r="N416" t="str">
        <f>VLOOKUP(C416,고객정보!$A$2:$D$151,4,FALSE)</f>
        <v>L4</v>
      </c>
      <c r="O416" t="str">
        <f>VLOOKUP($C416, 고객정보!$A$2:$E$151, 5, FALSE)</f>
        <v>30대</v>
      </c>
      <c r="P416" t="str">
        <f>VLOOKUP(D416,상품정보!$A$2:$E$61,2,FALSE)</f>
        <v>귀걸이</v>
      </c>
      <c r="Q416" t="str">
        <f>VLOOKUP(D416,상품정보!$A$2:$D$151,3,FALSE)</f>
        <v>액세서리</v>
      </c>
      <c r="R416" t="str">
        <f>VLOOKUP(D416,상품정보!$A$2:$D$151,4,FALSE)</f>
        <v>브랜드B</v>
      </c>
    </row>
    <row r="417" spans="1:18" x14ac:dyDescent="0.45">
      <c r="A417" t="s">
        <v>226</v>
      </c>
      <c r="B417" t="s">
        <v>816</v>
      </c>
      <c r="C417" t="s">
        <v>2424</v>
      </c>
      <c r="D417" t="s">
        <v>2580</v>
      </c>
      <c r="E417">
        <v>1</v>
      </c>
      <c r="F417">
        <v>77800</v>
      </c>
      <c r="G417">
        <v>0</v>
      </c>
      <c r="H417">
        <v>0</v>
      </c>
      <c r="I417" t="s">
        <v>2652</v>
      </c>
      <c r="J417" s="4">
        <f t="shared" si="18"/>
        <v>77800</v>
      </c>
      <c r="K417" s="4" t="str">
        <f t="shared" si="19"/>
        <v>2024-09</v>
      </c>
      <c r="L417" s="4" t="str">
        <f t="shared" si="20"/>
        <v>수</v>
      </c>
      <c r="M417" s="2" t="str">
        <f>VLOOKUP($C417, 고객정보!$A$2:$E$151, 2, FALSE)</f>
        <v>서울</v>
      </c>
      <c r="N417" t="str">
        <f>VLOOKUP(C417,고객정보!$A$2:$D$151,4,FALSE)</f>
        <v>L1</v>
      </c>
      <c r="O417" t="str">
        <f>VLOOKUP($C417, 고객정보!$A$2:$E$151, 5, FALSE)</f>
        <v>30대</v>
      </c>
      <c r="P417" t="str">
        <f>VLOOKUP(D417,상품정보!$A$2:$E$61,2,FALSE)</f>
        <v>청바지</v>
      </c>
      <c r="Q417" t="str">
        <f>VLOOKUP(D417,상품정보!$A$2:$D$151,3,FALSE)</f>
        <v>의류</v>
      </c>
      <c r="R417" t="str">
        <f>VLOOKUP(D417,상품정보!$A$2:$D$151,4,FALSE)</f>
        <v>브랜드A</v>
      </c>
    </row>
    <row r="418" spans="1:18" x14ac:dyDescent="0.45">
      <c r="A418" t="s">
        <v>29</v>
      </c>
      <c r="B418" t="s">
        <v>817</v>
      </c>
      <c r="C418" t="s">
        <v>2491</v>
      </c>
      <c r="D418" t="s">
        <v>2604</v>
      </c>
      <c r="E418">
        <v>2</v>
      </c>
      <c r="F418">
        <v>9700</v>
      </c>
      <c r="G418">
        <v>500</v>
      </c>
      <c r="H418">
        <v>0</v>
      </c>
      <c r="I418" t="s">
        <v>2652</v>
      </c>
      <c r="J418" s="4">
        <f t="shared" si="18"/>
        <v>19900</v>
      </c>
      <c r="K418" s="4" t="str">
        <f t="shared" si="19"/>
        <v>2024-07</v>
      </c>
      <c r="L418" s="4" t="str">
        <f t="shared" si="20"/>
        <v>토</v>
      </c>
      <c r="M418" s="2" t="str">
        <f>VLOOKUP($C418, 고객정보!$A$2:$E$151, 2, FALSE)</f>
        <v>서울</v>
      </c>
      <c r="N418" t="str">
        <f>VLOOKUP(C418,고객정보!$A$2:$D$151,4,FALSE)</f>
        <v>L5</v>
      </c>
      <c r="O418" t="str">
        <f>VLOOKUP($C418, 고객정보!$A$2:$E$151, 5, FALSE)</f>
        <v>30대</v>
      </c>
      <c r="P418" t="str">
        <f>VLOOKUP(D418,상품정보!$A$2:$E$61,2,FALSE)</f>
        <v>반팔 티셔츠</v>
      </c>
      <c r="Q418" t="str">
        <f>VLOOKUP(D418,상품정보!$A$2:$D$151,3,FALSE)</f>
        <v>의류</v>
      </c>
      <c r="R418" t="str">
        <f>VLOOKUP(D418,상품정보!$A$2:$D$151,4,FALSE)</f>
        <v>브랜드E</v>
      </c>
    </row>
    <row r="419" spans="1:18" x14ac:dyDescent="0.45">
      <c r="A419" t="s">
        <v>261</v>
      </c>
      <c r="B419" t="s">
        <v>818</v>
      </c>
      <c r="C419" t="s">
        <v>2445</v>
      </c>
      <c r="D419" t="s">
        <v>2588</v>
      </c>
      <c r="E419">
        <v>2</v>
      </c>
      <c r="F419">
        <v>7700</v>
      </c>
      <c r="G419">
        <v>0</v>
      </c>
      <c r="H419">
        <v>0</v>
      </c>
      <c r="I419" t="s">
        <v>2652</v>
      </c>
      <c r="J419" s="4">
        <f t="shared" si="18"/>
        <v>15400</v>
      </c>
      <c r="K419" s="4" t="str">
        <f t="shared" si="19"/>
        <v>2024-09</v>
      </c>
      <c r="L419" s="4" t="str">
        <f t="shared" si="20"/>
        <v>금</v>
      </c>
      <c r="M419" s="2" t="str">
        <f>VLOOKUP($C419, 고객정보!$A$2:$E$151, 2, FALSE)</f>
        <v>대구</v>
      </c>
      <c r="N419" t="str">
        <f>VLOOKUP(C419,고객정보!$A$2:$D$151,4,FALSE)</f>
        <v>L3</v>
      </c>
      <c r="O419" t="str">
        <f>VLOOKUP($C419, 고객정보!$A$2:$E$151, 5, FALSE)</f>
        <v>10대</v>
      </c>
      <c r="P419" t="str">
        <f>VLOOKUP(D419,상품정보!$A$2:$E$61,2,FALSE)</f>
        <v>귀걸이</v>
      </c>
      <c r="Q419" t="str">
        <f>VLOOKUP(D419,상품정보!$A$2:$D$151,3,FALSE)</f>
        <v>액세서리</v>
      </c>
      <c r="R419" t="str">
        <f>VLOOKUP(D419,상품정보!$A$2:$D$151,4,FALSE)</f>
        <v>브랜드D</v>
      </c>
    </row>
    <row r="420" spans="1:18" x14ac:dyDescent="0.45">
      <c r="A420" t="s">
        <v>194</v>
      </c>
      <c r="B420" t="s">
        <v>819</v>
      </c>
      <c r="C420" t="s">
        <v>2406</v>
      </c>
      <c r="D420" t="s">
        <v>2569</v>
      </c>
      <c r="E420">
        <v>3</v>
      </c>
      <c r="F420">
        <v>11400</v>
      </c>
      <c r="G420">
        <v>1500</v>
      </c>
      <c r="H420">
        <v>0</v>
      </c>
      <c r="I420" t="s">
        <v>2652</v>
      </c>
      <c r="J420" s="4">
        <f t="shared" si="18"/>
        <v>35700</v>
      </c>
      <c r="K420" s="4" t="str">
        <f t="shared" si="19"/>
        <v>2024-02</v>
      </c>
      <c r="L420" s="4" t="str">
        <f t="shared" si="20"/>
        <v>화</v>
      </c>
      <c r="M420" s="2" t="str">
        <f>VLOOKUP($C420, 고객정보!$A$2:$E$151, 2, FALSE)</f>
        <v>부산</v>
      </c>
      <c r="N420" t="str">
        <f>VLOOKUP(C420,고객정보!$A$2:$D$151,4,FALSE)</f>
        <v>L5</v>
      </c>
      <c r="O420" t="str">
        <f>VLOOKUP($C420, 고객정보!$A$2:$E$151, 5, FALSE)</f>
        <v>30대</v>
      </c>
      <c r="P420" t="str">
        <f>VLOOKUP(D420,상품정보!$A$2:$E$61,2,FALSE)</f>
        <v>귀걸이</v>
      </c>
      <c r="Q420" t="str">
        <f>VLOOKUP(D420,상품정보!$A$2:$D$151,3,FALSE)</f>
        <v>액세서리</v>
      </c>
      <c r="R420" t="str">
        <f>VLOOKUP(D420,상품정보!$A$2:$D$151,4,FALSE)</f>
        <v>브랜드E</v>
      </c>
    </row>
    <row r="421" spans="1:18" x14ac:dyDescent="0.45">
      <c r="A421" t="s">
        <v>109</v>
      </c>
      <c r="B421" t="s">
        <v>820</v>
      </c>
      <c r="C421" t="s">
        <v>2533</v>
      </c>
      <c r="D421" t="s">
        <v>2576</v>
      </c>
      <c r="E421">
        <v>1</v>
      </c>
      <c r="F421">
        <v>8800</v>
      </c>
      <c r="G421">
        <v>1000</v>
      </c>
      <c r="H421">
        <v>1400</v>
      </c>
      <c r="I421" t="s">
        <v>2613</v>
      </c>
      <c r="J421" s="4">
        <f t="shared" si="18"/>
        <v>8400</v>
      </c>
      <c r="K421" s="4" t="str">
        <f t="shared" si="19"/>
        <v>2024-08</v>
      </c>
      <c r="L421" s="4" t="str">
        <f t="shared" si="20"/>
        <v>일</v>
      </c>
      <c r="M421" s="2" t="str">
        <f>VLOOKUP($C421, 고객정보!$A$2:$E$151, 2, FALSE)</f>
        <v>인천</v>
      </c>
      <c r="N421" t="str">
        <f>VLOOKUP(C421,고객정보!$A$2:$D$151,4,FALSE)</f>
        <v>L5</v>
      </c>
      <c r="O421" t="str">
        <f>VLOOKUP($C421, 고객정보!$A$2:$E$151, 5, FALSE)</f>
        <v>30대</v>
      </c>
      <c r="P421" t="str">
        <f>VLOOKUP(D421,상품정보!$A$2:$E$61,2,FALSE)</f>
        <v>핸드폰케이스</v>
      </c>
      <c r="Q421" t="str">
        <f>VLOOKUP(D421,상품정보!$A$2:$D$151,3,FALSE)</f>
        <v>액세서리</v>
      </c>
      <c r="R421" t="str">
        <f>VLOOKUP(D421,상품정보!$A$2:$D$151,4,FALSE)</f>
        <v>브랜드D</v>
      </c>
    </row>
    <row r="422" spans="1:18" x14ac:dyDescent="0.45">
      <c r="A422" t="s">
        <v>250</v>
      </c>
      <c r="B422" t="s">
        <v>821</v>
      </c>
      <c r="C422" t="s">
        <v>2539</v>
      </c>
      <c r="D422" t="s">
        <v>2581</v>
      </c>
      <c r="E422">
        <v>1</v>
      </c>
      <c r="F422">
        <v>72900</v>
      </c>
      <c r="G422">
        <v>0</v>
      </c>
      <c r="H422">
        <v>700</v>
      </c>
      <c r="I422" t="s">
        <v>2614</v>
      </c>
      <c r="J422" s="4">
        <f t="shared" si="18"/>
        <v>72200</v>
      </c>
      <c r="K422" s="4" t="str">
        <f t="shared" si="19"/>
        <v>2024-06</v>
      </c>
      <c r="L422" s="4" t="str">
        <f t="shared" si="20"/>
        <v>일</v>
      </c>
      <c r="M422" s="2" t="str">
        <f>VLOOKUP($C422, 고객정보!$A$2:$E$151, 2, FALSE)</f>
        <v>서울</v>
      </c>
      <c r="N422" t="str">
        <f>VLOOKUP(C422,고객정보!$A$2:$D$151,4,FALSE)</f>
        <v>L1</v>
      </c>
      <c r="O422" t="str">
        <f>VLOOKUP($C422, 고객정보!$A$2:$E$151, 5, FALSE)</f>
        <v>50대 이상</v>
      </c>
      <c r="P422" t="str">
        <f>VLOOKUP(D422,상품정보!$A$2:$E$61,2,FALSE)</f>
        <v>귀걸이</v>
      </c>
      <c r="Q422" t="str">
        <f>VLOOKUP(D422,상품정보!$A$2:$D$151,3,FALSE)</f>
        <v>액세서리</v>
      </c>
      <c r="R422" t="str">
        <f>VLOOKUP(D422,상품정보!$A$2:$D$151,4,FALSE)</f>
        <v>브랜드F</v>
      </c>
    </row>
    <row r="423" spans="1:18" x14ac:dyDescent="0.45">
      <c r="A423" t="s">
        <v>262</v>
      </c>
      <c r="B423" t="s">
        <v>822</v>
      </c>
      <c r="C423" t="s">
        <v>2494</v>
      </c>
      <c r="D423" t="s">
        <v>2609</v>
      </c>
      <c r="E423">
        <v>5</v>
      </c>
      <c r="F423">
        <v>58600</v>
      </c>
      <c r="G423">
        <v>0</v>
      </c>
      <c r="H423">
        <v>4100</v>
      </c>
      <c r="I423" t="s">
        <v>2614</v>
      </c>
      <c r="J423" s="4">
        <f t="shared" si="18"/>
        <v>288900</v>
      </c>
      <c r="K423" s="4" t="str">
        <f t="shared" si="19"/>
        <v>2024-07</v>
      </c>
      <c r="L423" s="4" t="str">
        <f t="shared" si="20"/>
        <v>금</v>
      </c>
      <c r="M423" s="2" t="str">
        <f>VLOOKUP($C423, 고객정보!$A$2:$E$151, 2, FALSE)</f>
        <v>대구</v>
      </c>
      <c r="N423" t="str">
        <f>VLOOKUP(C423,고객정보!$A$2:$D$151,4,FALSE)</f>
        <v>L4</v>
      </c>
      <c r="O423" t="str">
        <f>VLOOKUP($C423, 고객정보!$A$2:$E$151, 5, FALSE)</f>
        <v>40대</v>
      </c>
      <c r="P423" t="str">
        <f>VLOOKUP(D423,상품정보!$A$2:$E$61,2,FALSE)</f>
        <v>목걸이</v>
      </c>
      <c r="Q423" t="str">
        <f>VLOOKUP(D423,상품정보!$A$2:$D$151,3,FALSE)</f>
        <v>액세서리</v>
      </c>
      <c r="R423" t="str">
        <f>VLOOKUP(D423,상품정보!$A$2:$D$151,4,FALSE)</f>
        <v>브랜드F</v>
      </c>
    </row>
    <row r="424" spans="1:18" x14ac:dyDescent="0.45">
      <c r="A424" t="s">
        <v>262</v>
      </c>
      <c r="B424" t="s">
        <v>823</v>
      </c>
      <c r="C424" t="s">
        <v>2515</v>
      </c>
      <c r="D424" t="s">
        <v>2595</v>
      </c>
      <c r="E424">
        <v>1</v>
      </c>
      <c r="F424">
        <v>12700</v>
      </c>
      <c r="G424">
        <v>1000</v>
      </c>
      <c r="H424">
        <v>0</v>
      </c>
      <c r="I424" t="s">
        <v>2652</v>
      </c>
      <c r="J424" s="4">
        <f t="shared" si="18"/>
        <v>13700</v>
      </c>
      <c r="K424" s="4" t="str">
        <f t="shared" si="19"/>
        <v>2024-07</v>
      </c>
      <c r="L424" s="4" t="str">
        <f t="shared" si="20"/>
        <v>금</v>
      </c>
      <c r="M424" s="2" t="str">
        <f>VLOOKUP($C424, 고객정보!$A$2:$E$151, 2, FALSE)</f>
        <v>부산</v>
      </c>
      <c r="N424" t="str">
        <f>VLOOKUP(C424,고객정보!$A$2:$D$151,4,FALSE)</f>
        <v>L5</v>
      </c>
      <c r="O424" t="str">
        <f>VLOOKUP($C424, 고객정보!$A$2:$E$151, 5, FALSE)</f>
        <v>40대</v>
      </c>
      <c r="P424" t="str">
        <f>VLOOKUP(D424,상품정보!$A$2:$E$61,2,FALSE)</f>
        <v>반지</v>
      </c>
      <c r="Q424" t="str">
        <f>VLOOKUP(D424,상품정보!$A$2:$D$151,3,FALSE)</f>
        <v>액세서리</v>
      </c>
      <c r="R424" t="str">
        <f>VLOOKUP(D424,상품정보!$A$2:$D$151,4,FALSE)</f>
        <v>브랜드C</v>
      </c>
    </row>
    <row r="425" spans="1:18" x14ac:dyDescent="0.45">
      <c r="A425" t="s">
        <v>188</v>
      </c>
      <c r="B425" t="s">
        <v>824</v>
      </c>
      <c r="C425" t="s">
        <v>2520</v>
      </c>
      <c r="D425" t="s">
        <v>2597</v>
      </c>
      <c r="E425">
        <v>2</v>
      </c>
      <c r="F425">
        <v>65300</v>
      </c>
      <c r="G425">
        <v>0</v>
      </c>
      <c r="H425">
        <v>0</v>
      </c>
      <c r="I425" t="s">
        <v>2652</v>
      </c>
      <c r="J425" s="4">
        <f t="shared" si="18"/>
        <v>130600</v>
      </c>
      <c r="K425" s="4" t="str">
        <f t="shared" si="19"/>
        <v>2024-11</v>
      </c>
      <c r="L425" s="4" t="str">
        <f t="shared" si="20"/>
        <v>화</v>
      </c>
      <c r="M425" s="2" t="str">
        <f>VLOOKUP($C425, 고객정보!$A$2:$E$151, 2, FALSE)</f>
        <v>서울</v>
      </c>
      <c r="N425" t="str">
        <f>VLOOKUP(C425,고객정보!$A$2:$D$151,4,FALSE)</f>
        <v>L2</v>
      </c>
      <c r="O425" t="str">
        <f>VLOOKUP($C425, 고객정보!$A$2:$E$151, 5, FALSE)</f>
        <v>40대</v>
      </c>
      <c r="P425" t="str">
        <f>VLOOKUP(D425,상품정보!$A$2:$E$61,2,FALSE)</f>
        <v>반지</v>
      </c>
      <c r="Q425" t="str">
        <f>VLOOKUP(D425,상품정보!$A$2:$D$151,3,FALSE)</f>
        <v>액세서리</v>
      </c>
      <c r="R425" t="str">
        <f>VLOOKUP(D425,상품정보!$A$2:$D$151,4,FALSE)</f>
        <v>브랜드F</v>
      </c>
    </row>
    <row r="426" spans="1:18" x14ac:dyDescent="0.45">
      <c r="A426" t="s">
        <v>263</v>
      </c>
      <c r="B426" t="s">
        <v>825</v>
      </c>
      <c r="C426" t="s">
        <v>2413</v>
      </c>
      <c r="D426" t="s">
        <v>2569</v>
      </c>
      <c r="E426">
        <v>3</v>
      </c>
      <c r="F426">
        <v>11400</v>
      </c>
      <c r="G426">
        <v>500</v>
      </c>
      <c r="H426">
        <v>0</v>
      </c>
      <c r="I426" t="s">
        <v>2652</v>
      </c>
      <c r="J426" s="4">
        <f t="shared" si="18"/>
        <v>34700</v>
      </c>
      <c r="K426" s="4" t="str">
        <f t="shared" si="19"/>
        <v>2024-02</v>
      </c>
      <c r="L426" s="4" t="str">
        <f t="shared" si="20"/>
        <v>목</v>
      </c>
      <c r="M426" s="2" t="str">
        <f>VLOOKUP($C426, 고객정보!$A$2:$E$151, 2, FALSE)</f>
        <v>서울</v>
      </c>
      <c r="N426" t="str">
        <f>VLOOKUP(C426,고객정보!$A$2:$D$151,4,FALSE)</f>
        <v>L5</v>
      </c>
      <c r="O426" t="str">
        <f>VLOOKUP($C426, 고객정보!$A$2:$E$151, 5, FALSE)</f>
        <v>30대</v>
      </c>
      <c r="P426" t="str">
        <f>VLOOKUP(D426,상품정보!$A$2:$E$61,2,FALSE)</f>
        <v>귀걸이</v>
      </c>
      <c r="Q426" t="str">
        <f>VLOOKUP(D426,상품정보!$A$2:$D$151,3,FALSE)</f>
        <v>액세서리</v>
      </c>
      <c r="R426" t="str">
        <f>VLOOKUP(D426,상품정보!$A$2:$D$151,4,FALSE)</f>
        <v>브랜드E</v>
      </c>
    </row>
    <row r="427" spans="1:18" x14ac:dyDescent="0.45">
      <c r="A427" t="s">
        <v>63</v>
      </c>
      <c r="B427" t="s">
        <v>826</v>
      </c>
      <c r="C427" t="s">
        <v>2485</v>
      </c>
      <c r="D427" t="s">
        <v>2610</v>
      </c>
      <c r="E427">
        <v>1</v>
      </c>
      <c r="F427">
        <v>18800</v>
      </c>
      <c r="G427">
        <v>1000</v>
      </c>
      <c r="H427">
        <v>0</v>
      </c>
      <c r="I427" t="s">
        <v>2652</v>
      </c>
      <c r="J427" s="4">
        <f t="shared" si="18"/>
        <v>19800</v>
      </c>
      <c r="K427" s="4" t="str">
        <f t="shared" si="19"/>
        <v>2024-05</v>
      </c>
      <c r="L427" s="4" t="str">
        <f t="shared" si="20"/>
        <v>토</v>
      </c>
      <c r="M427" s="2" t="str">
        <f>VLOOKUP($C427, 고객정보!$A$2:$E$151, 2, FALSE)</f>
        <v>서울</v>
      </c>
      <c r="N427" t="str">
        <f>VLOOKUP(C427,고객정보!$A$2:$D$151,4,FALSE)</f>
        <v>L4</v>
      </c>
      <c r="O427" t="str">
        <f>VLOOKUP($C427, 고객정보!$A$2:$E$151, 5, FALSE)</f>
        <v>40대</v>
      </c>
      <c r="P427" t="str">
        <f>VLOOKUP(D427,상품정보!$A$2:$E$61,2,FALSE)</f>
        <v>자켓</v>
      </c>
      <c r="Q427" t="str">
        <f>VLOOKUP(D427,상품정보!$A$2:$D$151,3,FALSE)</f>
        <v>의류</v>
      </c>
      <c r="R427" t="str">
        <f>VLOOKUP(D427,상품정보!$A$2:$D$151,4,FALSE)</f>
        <v>브랜드E</v>
      </c>
    </row>
    <row r="428" spans="1:18" x14ac:dyDescent="0.45">
      <c r="A428" t="s">
        <v>264</v>
      </c>
      <c r="B428" t="s">
        <v>827</v>
      </c>
      <c r="C428" t="s">
        <v>2485</v>
      </c>
      <c r="D428" t="s">
        <v>2589</v>
      </c>
      <c r="E428">
        <v>4</v>
      </c>
      <c r="F428">
        <v>71400</v>
      </c>
      <c r="G428">
        <v>1500</v>
      </c>
      <c r="H428">
        <v>0</v>
      </c>
      <c r="I428" t="s">
        <v>2652</v>
      </c>
      <c r="J428" s="4">
        <f t="shared" si="18"/>
        <v>287100</v>
      </c>
      <c r="K428" s="4" t="str">
        <f t="shared" si="19"/>
        <v>2024-09</v>
      </c>
      <c r="L428" s="4" t="str">
        <f t="shared" si="20"/>
        <v>수</v>
      </c>
      <c r="M428" s="2" t="str">
        <f>VLOOKUP($C428, 고객정보!$A$2:$E$151, 2, FALSE)</f>
        <v>서울</v>
      </c>
      <c r="N428" t="str">
        <f>VLOOKUP(C428,고객정보!$A$2:$D$151,4,FALSE)</f>
        <v>L4</v>
      </c>
      <c r="O428" t="str">
        <f>VLOOKUP($C428, 고객정보!$A$2:$E$151, 5, FALSE)</f>
        <v>40대</v>
      </c>
      <c r="P428" t="str">
        <f>VLOOKUP(D428,상품정보!$A$2:$E$61,2,FALSE)</f>
        <v>셔츠</v>
      </c>
      <c r="Q428" t="str">
        <f>VLOOKUP(D428,상품정보!$A$2:$D$151,3,FALSE)</f>
        <v>의류</v>
      </c>
      <c r="R428" t="str">
        <f>VLOOKUP(D428,상품정보!$A$2:$D$151,4,FALSE)</f>
        <v>브랜드A</v>
      </c>
    </row>
    <row r="429" spans="1:18" x14ac:dyDescent="0.45">
      <c r="A429" t="s">
        <v>216</v>
      </c>
      <c r="B429" t="s">
        <v>828</v>
      </c>
      <c r="C429" t="s">
        <v>2414</v>
      </c>
      <c r="D429" t="s">
        <v>2575</v>
      </c>
      <c r="E429">
        <v>3</v>
      </c>
      <c r="F429">
        <v>7200</v>
      </c>
      <c r="G429">
        <v>0</v>
      </c>
      <c r="H429">
        <v>5900</v>
      </c>
      <c r="I429" t="s">
        <v>2614</v>
      </c>
      <c r="J429" s="4">
        <f t="shared" si="18"/>
        <v>15700</v>
      </c>
      <c r="K429" s="4" t="str">
        <f t="shared" si="19"/>
        <v>2025-01</v>
      </c>
      <c r="L429" s="4" t="str">
        <f t="shared" si="20"/>
        <v>목</v>
      </c>
      <c r="M429" s="2" t="str">
        <f>VLOOKUP($C429, 고객정보!$A$2:$E$151, 2, FALSE)</f>
        <v>대구</v>
      </c>
      <c r="N429" t="str">
        <f>VLOOKUP(C429,고객정보!$A$2:$D$151,4,FALSE)</f>
        <v>L3</v>
      </c>
      <c r="O429" t="str">
        <f>VLOOKUP($C429, 고객정보!$A$2:$E$151, 5, FALSE)</f>
        <v>30대</v>
      </c>
      <c r="P429" t="str">
        <f>VLOOKUP(D429,상품정보!$A$2:$E$61,2,FALSE)</f>
        <v>반지</v>
      </c>
      <c r="Q429" t="str">
        <f>VLOOKUP(D429,상품정보!$A$2:$D$151,3,FALSE)</f>
        <v>액세서리</v>
      </c>
      <c r="R429" t="str">
        <f>VLOOKUP(D429,상품정보!$A$2:$D$151,4,FALSE)</f>
        <v>브랜드E</v>
      </c>
    </row>
    <row r="430" spans="1:18" x14ac:dyDescent="0.45">
      <c r="A430" t="s">
        <v>265</v>
      </c>
      <c r="B430" t="s">
        <v>829</v>
      </c>
      <c r="C430" t="s">
        <v>2450</v>
      </c>
      <c r="D430" t="s">
        <v>2607</v>
      </c>
      <c r="E430">
        <v>3</v>
      </c>
      <c r="F430">
        <v>16000</v>
      </c>
      <c r="G430">
        <v>0</v>
      </c>
      <c r="H430">
        <v>0</v>
      </c>
      <c r="I430" t="s">
        <v>2652</v>
      </c>
      <c r="J430" s="4">
        <f t="shared" si="18"/>
        <v>48000</v>
      </c>
      <c r="K430" s="4" t="str">
        <f t="shared" si="19"/>
        <v>2024-03</v>
      </c>
      <c r="L430" s="4" t="str">
        <f t="shared" si="20"/>
        <v>수</v>
      </c>
      <c r="M430" s="2" t="str">
        <f>VLOOKUP($C430, 고객정보!$A$2:$E$151, 2, FALSE)</f>
        <v>인천</v>
      </c>
      <c r="N430" t="str">
        <f>VLOOKUP(C430,고객정보!$A$2:$D$151,4,FALSE)</f>
        <v>L5</v>
      </c>
      <c r="O430" t="str">
        <f>VLOOKUP($C430, 고객정보!$A$2:$E$151, 5, FALSE)</f>
        <v>40대</v>
      </c>
      <c r="P430" t="str">
        <f>VLOOKUP(D430,상품정보!$A$2:$E$61,2,FALSE)</f>
        <v>목걸이</v>
      </c>
      <c r="Q430" t="str">
        <f>VLOOKUP(D430,상품정보!$A$2:$D$151,3,FALSE)</f>
        <v>액세서리</v>
      </c>
      <c r="R430" t="str">
        <f>VLOOKUP(D430,상품정보!$A$2:$D$151,4,FALSE)</f>
        <v>브랜드E</v>
      </c>
    </row>
    <row r="431" spans="1:18" x14ac:dyDescent="0.45">
      <c r="A431" t="s">
        <v>230</v>
      </c>
      <c r="B431" t="s">
        <v>830</v>
      </c>
      <c r="C431" t="s">
        <v>2532</v>
      </c>
      <c r="D431" t="s">
        <v>2554</v>
      </c>
      <c r="E431">
        <v>1</v>
      </c>
      <c r="F431">
        <v>12100</v>
      </c>
      <c r="G431">
        <v>0</v>
      </c>
      <c r="H431">
        <v>0</v>
      </c>
      <c r="I431" t="s">
        <v>2652</v>
      </c>
      <c r="J431" s="4">
        <f t="shared" si="18"/>
        <v>12100</v>
      </c>
      <c r="K431" s="4" t="str">
        <f t="shared" si="19"/>
        <v>2024-09</v>
      </c>
      <c r="L431" s="4" t="str">
        <f t="shared" si="20"/>
        <v>토</v>
      </c>
      <c r="M431" s="2" t="str">
        <f>VLOOKUP($C431, 고객정보!$A$2:$E$151, 2, FALSE)</f>
        <v>서울</v>
      </c>
      <c r="N431" t="str">
        <f>VLOOKUP(C431,고객정보!$A$2:$D$151,4,FALSE)</f>
        <v>L2</v>
      </c>
      <c r="O431" t="str">
        <f>VLOOKUP($C431, 고객정보!$A$2:$E$151, 5, FALSE)</f>
        <v>50대 이상</v>
      </c>
      <c r="P431" t="str">
        <f>VLOOKUP(D431,상품정보!$A$2:$E$61,2,FALSE)</f>
        <v>귀걸이</v>
      </c>
      <c r="Q431" t="str">
        <f>VLOOKUP(D431,상품정보!$A$2:$D$151,3,FALSE)</f>
        <v>액세서리</v>
      </c>
      <c r="R431" t="str">
        <f>VLOOKUP(D431,상품정보!$A$2:$D$151,4,FALSE)</f>
        <v>브랜드D</v>
      </c>
    </row>
    <row r="432" spans="1:18" x14ac:dyDescent="0.45">
      <c r="A432" t="s">
        <v>106</v>
      </c>
      <c r="B432" t="s">
        <v>831</v>
      </c>
      <c r="C432" t="s">
        <v>2484</v>
      </c>
      <c r="D432" t="s">
        <v>2555</v>
      </c>
      <c r="E432">
        <v>3</v>
      </c>
      <c r="F432">
        <v>8300</v>
      </c>
      <c r="G432">
        <v>1000</v>
      </c>
      <c r="H432">
        <v>0</v>
      </c>
      <c r="I432" t="s">
        <v>2652</v>
      </c>
      <c r="J432" s="4">
        <f t="shared" si="18"/>
        <v>25900</v>
      </c>
      <c r="K432" s="4" t="str">
        <f t="shared" si="19"/>
        <v>2024-06</v>
      </c>
      <c r="L432" s="4" t="str">
        <f t="shared" si="20"/>
        <v>금</v>
      </c>
      <c r="M432" s="2" t="str">
        <f>VLOOKUP($C432, 고객정보!$A$2:$E$151, 2, FALSE)</f>
        <v>부산</v>
      </c>
      <c r="N432" t="str">
        <f>VLOOKUP(C432,고객정보!$A$2:$D$151,4,FALSE)</f>
        <v>L5</v>
      </c>
      <c r="O432" t="str">
        <f>VLOOKUP($C432, 고객정보!$A$2:$E$151, 5, FALSE)</f>
        <v>20대</v>
      </c>
      <c r="P432" t="str">
        <f>VLOOKUP(D432,상품정보!$A$2:$E$61,2,FALSE)</f>
        <v>청바지</v>
      </c>
      <c r="Q432" t="str">
        <f>VLOOKUP(D432,상품정보!$A$2:$D$151,3,FALSE)</f>
        <v>의류</v>
      </c>
      <c r="R432" t="str">
        <f>VLOOKUP(D432,상품정보!$A$2:$D$151,4,FALSE)</f>
        <v>브랜드E</v>
      </c>
    </row>
    <row r="433" spans="1:18" x14ac:dyDescent="0.45">
      <c r="A433" t="s">
        <v>212</v>
      </c>
      <c r="B433" t="s">
        <v>832</v>
      </c>
      <c r="C433" t="s">
        <v>2535</v>
      </c>
      <c r="D433" t="s">
        <v>2585</v>
      </c>
      <c r="E433">
        <v>1</v>
      </c>
      <c r="F433">
        <v>14900</v>
      </c>
      <c r="G433">
        <v>500</v>
      </c>
      <c r="H433">
        <v>1100</v>
      </c>
      <c r="I433" t="s">
        <v>2614</v>
      </c>
      <c r="J433" s="4">
        <f t="shared" si="18"/>
        <v>14300</v>
      </c>
      <c r="K433" s="4" t="str">
        <f t="shared" si="19"/>
        <v>2024-03</v>
      </c>
      <c r="L433" s="4" t="str">
        <f t="shared" si="20"/>
        <v>금</v>
      </c>
      <c r="M433" s="2" t="str">
        <f>VLOOKUP($C433, 고객정보!$A$2:$E$151, 2, FALSE)</f>
        <v>서울</v>
      </c>
      <c r="N433" t="str">
        <f>VLOOKUP(C433,고객정보!$A$2:$D$151,4,FALSE)</f>
        <v>L2</v>
      </c>
      <c r="O433" t="str">
        <f>VLOOKUP($C433, 고객정보!$A$2:$E$151, 5, FALSE)</f>
        <v>10대</v>
      </c>
      <c r="P433" t="str">
        <f>VLOOKUP(D433,상품정보!$A$2:$E$61,2,FALSE)</f>
        <v>반팔 티셔츠</v>
      </c>
      <c r="Q433" t="str">
        <f>VLOOKUP(D433,상품정보!$A$2:$D$151,3,FALSE)</f>
        <v>의류</v>
      </c>
      <c r="R433" t="str">
        <f>VLOOKUP(D433,상품정보!$A$2:$D$151,4,FALSE)</f>
        <v>브랜드C</v>
      </c>
    </row>
    <row r="434" spans="1:18" x14ac:dyDescent="0.45">
      <c r="A434" t="s">
        <v>144</v>
      </c>
      <c r="B434" t="s">
        <v>833</v>
      </c>
      <c r="C434" t="s">
        <v>2505</v>
      </c>
      <c r="D434" t="s">
        <v>2555</v>
      </c>
      <c r="E434">
        <v>2</v>
      </c>
      <c r="F434">
        <v>8300</v>
      </c>
      <c r="G434">
        <v>0</v>
      </c>
      <c r="H434">
        <v>0</v>
      </c>
      <c r="I434" t="s">
        <v>2652</v>
      </c>
      <c r="J434" s="4">
        <f t="shared" si="18"/>
        <v>16600</v>
      </c>
      <c r="K434" s="4" t="str">
        <f t="shared" si="19"/>
        <v>2024-11</v>
      </c>
      <c r="L434" s="4" t="str">
        <f t="shared" si="20"/>
        <v>월</v>
      </c>
      <c r="M434" s="2" t="str">
        <f>VLOOKUP($C434, 고객정보!$A$2:$E$151, 2, FALSE)</f>
        <v>대구</v>
      </c>
      <c r="N434" t="str">
        <f>VLOOKUP(C434,고객정보!$A$2:$D$151,4,FALSE)</f>
        <v>L4</v>
      </c>
      <c r="O434" t="str">
        <f>VLOOKUP($C434, 고객정보!$A$2:$E$151, 5, FALSE)</f>
        <v>40대</v>
      </c>
      <c r="P434" t="str">
        <f>VLOOKUP(D434,상품정보!$A$2:$E$61,2,FALSE)</f>
        <v>청바지</v>
      </c>
      <c r="Q434" t="str">
        <f>VLOOKUP(D434,상품정보!$A$2:$D$151,3,FALSE)</f>
        <v>의류</v>
      </c>
      <c r="R434" t="str">
        <f>VLOOKUP(D434,상품정보!$A$2:$D$151,4,FALSE)</f>
        <v>브랜드E</v>
      </c>
    </row>
    <row r="435" spans="1:18" x14ac:dyDescent="0.45">
      <c r="A435" t="s">
        <v>266</v>
      </c>
      <c r="B435" t="s">
        <v>834</v>
      </c>
      <c r="C435" t="s">
        <v>2477</v>
      </c>
      <c r="D435" t="s">
        <v>2557</v>
      </c>
      <c r="E435">
        <v>1</v>
      </c>
      <c r="F435">
        <v>77700</v>
      </c>
      <c r="G435">
        <v>0</v>
      </c>
      <c r="H435">
        <v>0</v>
      </c>
      <c r="I435" t="s">
        <v>2652</v>
      </c>
      <c r="J435" s="4">
        <f t="shared" si="18"/>
        <v>77700</v>
      </c>
      <c r="K435" s="4" t="str">
        <f t="shared" si="19"/>
        <v>2024-03</v>
      </c>
      <c r="L435" s="4" t="str">
        <f t="shared" si="20"/>
        <v>일</v>
      </c>
      <c r="M435" s="2" t="str">
        <f>VLOOKUP($C435, 고객정보!$A$2:$E$151, 2, FALSE)</f>
        <v>부산</v>
      </c>
      <c r="N435" t="str">
        <f>VLOOKUP(C435,고객정보!$A$2:$D$151,4,FALSE)</f>
        <v>L4</v>
      </c>
      <c r="O435" t="str">
        <f>VLOOKUP($C435, 고객정보!$A$2:$E$151, 5, FALSE)</f>
        <v>20대</v>
      </c>
      <c r="P435" t="str">
        <f>VLOOKUP(D435,상품정보!$A$2:$E$61,2,FALSE)</f>
        <v>귀걸이</v>
      </c>
      <c r="Q435" t="str">
        <f>VLOOKUP(D435,상품정보!$A$2:$D$151,3,FALSE)</f>
        <v>액세서리</v>
      </c>
      <c r="R435" t="str">
        <f>VLOOKUP(D435,상품정보!$A$2:$D$151,4,FALSE)</f>
        <v>브랜드B</v>
      </c>
    </row>
    <row r="436" spans="1:18" x14ac:dyDescent="0.45">
      <c r="A436" t="s">
        <v>223</v>
      </c>
      <c r="B436" t="s">
        <v>835</v>
      </c>
      <c r="C436" t="s">
        <v>2534</v>
      </c>
      <c r="D436" t="s">
        <v>2581</v>
      </c>
      <c r="E436">
        <v>5</v>
      </c>
      <c r="F436">
        <v>72900</v>
      </c>
      <c r="G436">
        <v>500</v>
      </c>
      <c r="H436">
        <v>0</v>
      </c>
      <c r="I436" t="s">
        <v>2652</v>
      </c>
      <c r="J436" s="4">
        <f t="shared" si="18"/>
        <v>365000</v>
      </c>
      <c r="K436" s="4" t="str">
        <f t="shared" si="19"/>
        <v>2025-01</v>
      </c>
      <c r="L436" s="4" t="str">
        <f t="shared" si="20"/>
        <v>금</v>
      </c>
      <c r="M436" s="2" t="str">
        <f>VLOOKUP($C436, 고객정보!$A$2:$E$151, 2, FALSE)</f>
        <v>광주</v>
      </c>
      <c r="N436" t="str">
        <f>VLOOKUP(C436,고객정보!$A$2:$D$151,4,FALSE)</f>
        <v>L2</v>
      </c>
      <c r="O436" t="str">
        <f>VLOOKUP($C436, 고객정보!$A$2:$E$151, 5, FALSE)</f>
        <v>10대</v>
      </c>
      <c r="P436" t="str">
        <f>VLOOKUP(D436,상품정보!$A$2:$E$61,2,FALSE)</f>
        <v>귀걸이</v>
      </c>
      <c r="Q436" t="str">
        <f>VLOOKUP(D436,상품정보!$A$2:$D$151,3,FALSE)</f>
        <v>액세서리</v>
      </c>
      <c r="R436" t="str">
        <f>VLOOKUP(D436,상품정보!$A$2:$D$151,4,FALSE)</f>
        <v>브랜드F</v>
      </c>
    </row>
    <row r="437" spans="1:18" x14ac:dyDescent="0.45">
      <c r="A437" t="s">
        <v>244</v>
      </c>
      <c r="B437" t="s">
        <v>836</v>
      </c>
      <c r="C437" t="s">
        <v>2465</v>
      </c>
      <c r="D437" t="s">
        <v>2556</v>
      </c>
      <c r="E437">
        <v>5</v>
      </c>
      <c r="F437">
        <v>70100</v>
      </c>
      <c r="G437">
        <v>0</v>
      </c>
      <c r="H437">
        <v>100</v>
      </c>
      <c r="I437" t="s">
        <v>2614</v>
      </c>
      <c r="J437" s="4">
        <f t="shared" si="18"/>
        <v>350400</v>
      </c>
      <c r="K437" s="4" t="str">
        <f t="shared" si="19"/>
        <v>2024-11</v>
      </c>
      <c r="L437" s="4" t="str">
        <f t="shared" si="20"/>
        <v>월</v>
      </c>
      <c r="M437" s="2" t="str">
        <f>VLOOKUP($C437, 고객정보!$A$2:$E$151, 2, FALSE)</f>
        <v>서울</v>
      </c>
      <c r="N437" t="str">
        <f>VLOOKUP(C437,고객정보!$A$2:$D$151,4,FALSE)</f>
        <v>L1</v>
      </c>
      <c r="O437" t="str">
        <f>VLOOKUP($C437, 고객정보!$A$2:$E$151, 5, FALSE)</f>
        <v>20대</v>
      </c>
      <c r="P437" t="str">
        <f>VLOOKUP(D437,상품정보!$A$2:$E$61,2,FALSE)</f>
        <v>핸드폰케이스</v>
      </c>
      <c r="Q437" t="str">
        <f>VLOOKUP(D437,상품정보!$A$2:$D$151,3,FALSE)</f>
        <v>액세서리</v>
      </c>
      <c r="R437" t="str">
        <f>VLOOKUP(D437,상품정보!$A$2:$D$151,4,FALSE)</f>
        <v>브랜드F</v>
      </c>
    </row>
    <row r="438" spans="1:18" x14ac:dyDescent="0.45">
      <c r="A438" t="s">
        <v>185</v>
      </c>
      <c r="B438" t="s">
        <v>837</v>
      </c>
      <c r="C438" t="s">
        <v>2442</v>
      </c>
      <c r="D438" t="s">
        <v>2576</v>
      </c>
      <c r="E438">
        <v>3</v>
      </c>
      <c r="F438">
        <v>8800</v>
      </c>
      <c r="G438">
        <v>0</v>
      </c>
      <c r="H438">
        <v>0</v>
      </c>
      <c r="I438" t="s">
        <v>2652</v>
      </c>
      <c r="J438" s="4">
        <f t="shared" si="18"/>
        <v>26400</v>
      </c>
      <c r="K438" s="4" t="str">
        <f t="shared" si="19"/>
        <v>2024-03</v>
      </c>
      <c r="L438" s="4" t="str">
        <f t="shared" si="20"/>
        <v>월</v>
      </c>
      <c r="M438" s="2" t="str">
        <f>VLOOKUP($C438, 고객정보!$A$2:$E$151, 2, FALSE)</f>
        <v>부산</v>
      </c>
      <c r="N438" t="str">
        <f>VLOOKUP(C438,고객정보!$A$2:$D$151,4,FALSE)</f>
        <v>L1</v>
      </c>
      <c r="O438" t="str">
        <f>VLOOKUP($C438, 고객정보!$A$2:$E$151, 5, FALSE)</f>
        <v>40대</v>
      </c>
      <c r="P438" t="str">
        <f>VLOOKUP(D438,상품정보!$A$2:$E$61,2,FALSE)</f>
        <v>핸드폰케이스</v>
      </c>
      <c r="Q438" t="str">
        <f>VLOOKUP(D438,상품정보!$A$2:$D$151,3,FALSE)</f>
        <v>액세서리</v>
      </c>
      <c r="R438" t="str">
        <f>VLOOKUP(D438,상품정보!$A$2:$D$151,4,FALSE)</f>
        <v>브랜드D</v>
      </c>
    </row>
    <row r="439" spans="1:18" x14ac:dyDescent="0.45">
      <c r="A439" t="s">
        <v>118</v>
      </c>
      <c r="B439" t="s">
        <v>838</v>
      </c>
      <c r="C439" t="s">
        <v>2470</v>
      </c>
      <c r="D439" t="s">
        <v>2571</v>
      </c>
      <c r="E439">
        <v>4</v>
      </c>
      <c r="F439">
        <v>55600</v>
      </c>
      <c r="G439">
        <v>0</v>
      </c>
      <c r="H439">
        <v>600</v>
      </c>
      <c r="I439" t="s">
        <v>2613</v>
      </c>
      <c r="J439" s="4">
        <f t="shared" si="18"/>
        <v>221800</v>
      </c>
      <c r="K439" s="4" t="str">
        <f t="shared" si="19"/>
        <v>2024-08</v>
      </c>
      <c r="L439" s="4" t="str">
        <f t="shared" si="20"/>
        <v>수</v>
      </c>
      <c r="M439" s="2" t="str">
        <f>VLOOKUP($C439, 고객정보!$A$2:$E$151, 2, FALSE)</f>
        <v>대전</v>
      </c>
      <c r="N439" t="str">
        <f>VLOOKUP(C439,고객정보!$A$2:$D$151,4,FALSE)</f>
        <v>L5</v>
      </c>
      <c r="O439" t="str">
        <f>VLOOKUP($C439, 고객정보!$A$2:$E$151, 5, FALSE)</f>
        <v>20대</v>
      </c>
      <c r="P439" t="str">
        <f>VLOOKUP(D439,상품정보!$A$2:$E$61,2,FALSE)</f>
        <v>자켓</v>
      </c>
      <c r="Q439" t="str">
        <f>VLOOKUP(D439,상품정보!$A$2:$D$151,3,FALSE)</f>
        <v>의류</v>
      </c>
      <c r="R439" t="str">
        <f>VLOOKUP(D439,상품정보!$A$2:$D$151,4,FALSE)</f>
        <v>브랜드B</v>
      </c>
    </row>
    <row r="440" spans="1:18" x14ac:dyDescent="0.45">
      <c r="A440" t="s">
        <v>267</v>
      </c>
      <c r="B440" t="s">
        <v>839</v>
      </c>
      <c r="C440" t="s">
        <v>2471</v>
      </c>
      <c r="D440" t="s">
        <v>2577</v>
      </c>
      <c r="E440">
        <v>3</v>
      </c>
      <c r="F440">
        <v>10200</v>
      </c>
      <c r="G440">
        <v>0</v>
      </c>
      <c r="H440">
        <v>7900</v>
      </c>
      <c r="I440" t="s">
        <v>2613</v>
      </c>
      <c r="J440" s="4">
        <f t="shared" si="18"/>
        <v>22700</v>
      </c>
      <c r="K440" s="4" t="str">
        <f t="shared" si="19"/>
        <v>2024-10</v>
      </c>
      <c r="L440" s="4" t="str">
        <f t="shared" si="20"/>
        <v>화</v>
      </c>
      <c r="M440" s="2" t="str">
        <f>VLOOKUP($C440, 고객정보!$A$2:$E$151, 2, FALSE)</f>
        <v>서울</v>
      </c>
      <c r="N440" t="str">
        <f>VLOOKUP(C440,고객정보!$A$2:$D$151,4,FALSE)</f>
        <v>L5</v>
      </c>
      <c r="O440" t="str">
        <f>VLOOKUP($C440, 고객정보!$A$2:$E$151, 5, FALSE)</f>
        <v>40대</v>
      </c>
      <c r="P440" t="str">
        <f>VLOOKUP(D440,상품정보!$A$2:$E$61,2,FALSE)</f>
        <v>셔츠</v>
      </c>
      <c r="Q440" t="str">
        <f>VLOOKUP(D440,상품정보!$A$2:$D$151,3,FALSE)</f>
        <v>의류</v>
      </c>
      <c r="R440" t="str">
        <f>VLOOKUP(D440,상품정보!$A$2:$D$151,4,FALSE)</f>
        <v>브랜드C</v>
      </c>
    </row>
    <row r="441" spans="1:18" x14ac:dyDescent="0.45">
      <c r="A441" t="s">
        <v>184</v>
      </c>
      <c r="B441" t="s">
        <v>840</v>
      </c>
      <c r="C441" t="s">
        <v>2443</v>
      </c>
      <c r="D441" t="s">
        <v>2603</v>
      </c>
      <c r="E441">
        <v>5</v>
      </c>
      <c r="F441">
        <v>8200</v>
      </c>
      <c r="G441">
        <v>500</v>
      </c>
      <c r="H441">
        <v>0</v>
      </c>
      <c r="I441" t="s">
        <v>2652</v>
      </c>
      <c r="J441" s="4">
        <f t="shared" si="18"/>
        <v>41500</v>
      </c>
      <c r="K441" s="4" t="str">
        <f t="shared" si="19"/>
        <v>2024-02</v>
      </c>
      <c r="L441" s="4" t="str">
        <f t="shared" si="20"/>
        <v>수</v>
      </c>
      <c r="M441" s="2" t="str">
        <f>VLOOKUP($C441, 고객정보!$A$2:$E$151, 2, FALSE)</f>
        <v>서울</v>
      </c>
      <c r="N441" t="str">
        <f>VLOOKUP(C441,고객정보!$A$2:$D$151,4,FALSE)</f>
        <v>L4</v>
      </c>
      <c r="O441" t="str">
        <f>VLOOKUP($C441, 고객정보!$A$2:$E$151, 5, FALSE)</f>
        <v>30대</v>
      </c>
      <c r="P441" t="str">
        <f>VLOOKUP(D441,상품정보!$A$2:$E$61,2,FALSE)</f>
        <v>목걸이</v>
      </c>
      <c r="Q441" t="str">
        <f>VLOOKUP(D441,상품정보!$A$2:$D$151,3,FALSE)</f>
        <v>액세서리</v>
      </c>
      <c r="R441" t="str">
        <f>VLOOKUP(D441,상품정보!$A$2:$D$151,4,FALSE)</f>
        <v>브랜드E</v>
      </c>
    </row>
    <row r="442" spans="1:18" x14ac:dyDescent="0.45">
      <c r="A442" t="s">
        <v>268</v>
      </c>
      <c r="B442" t="s">
        <v>841</v>
      </c>
      <c r="C442" t="s">
        <v>2488</v>
      </c>
      <c r="D442" t="s">
        <v>2581</v>
      </c>
      <c r="E442">
        <v>4</v>
      </c>
      <c r="F442">
        <v>72900</v>
      </c>
      <c r="G442">
        <v>0</v>
      </c>
      <c r="H442">
        <v>0</v>
      </c>
      <c r="I442" t="s">
        <v>2652</v>
      </c>
      <c r="J442" s="4">
        <f t="shared" si="18"/>
        <v>291600</v>
      </c>
      <c r="K442" s="4" t="str">
        <f t="shared" si="19"/>
        <v>2024-01</v>
      </c>
      <c r="L442" s="4" t="str">
        <f t="shared" si="20"/>
        <v>토</v>
      </c>
      <c r="M442" s="2" t="str">
        <f>VLOOKUP($C442, 고객정보!$A$2:$E$151, 2, FALSE)</f>
        <v>서울</v>
      </c>
      <c r="N442" t="str">
        <f>VLOOKUP(C442,고객정보!$A$2:$D$151,4,FALSE)</f>
        <v>L3</v>
      </c>
      <c r="O442" t="str">
        <f>VLOOKUP($C442, 고객정보!$A$2:$E$151, 5, FALSE)</f>
        <v>40대</v>
      </c>
      <c r="P442" t="str">
        <f>VLOOKUP(D442,상품정보!$A$2:$E$61,2,FALSE)</f>
        <v>귀걸이</v>
      </c>
      <c r="Q442" t="str">
        <f>VLOOKUP(D442,상품정보!$A$2:$D$151,3,FALSE)</f>
        <v>액세서리</v>
      </c>
      <c r="R442" t="str">
        <f>VLOOKUP(D442,상품정보!$A$2:$D$151,4,FALSE)</f>
        <v>브랜드F</v>
      </c>
    </row>
    <row r="443" spans="1:18" x14ac:dyDescent="0.45">
      <c r="A443" t="s">
        <v>269</v>
      </c>
      <c r="B443" t="s">
        <v>842</v>
      </c>
      <c r="C443" t="s">
        <v>2443</v>
      </c>
      <c r="D443" t="s">
        <v>2599</v>
      </c>
      <c r="E443">
        <v>3</v>
      </c>
      <c r="F443">
        <v>73800</v>
      </c>
      <c r="G443">
        <v>500</v>
      </c>
      <c r="H443">
        <v>200</v>
      </c>
      <c r="I443" t="s">
        <v>2611</v>
      </c>
      <c r="J443" s="4">
        <f t="shared" si="18"/>
        <v>221700</v>
      </c>
      <c r="K443" s="4" t="str">
        <f t="shared" si="19"/>
        <v>2024-02</v>
      </c>
      <c r="L443" s="4" t="str">
        <f t="shared" si="20"/>
        <v>금</v>
      </c>
      <c r="M443" s="2" t="str">
        <f>VLOOKUP($C443, 고객정보!$A$2:$E$151, 2, FALSE)</f>
        <v>서울</v>
      </c>
      <c r="N443" t="str">
        <f>VLOOKUP(C443,고객정보!$A$2:$D$151,4,FALSE)</f>
        <v>L4</v>
      </c>
      <c r="O443" t="str">
        <f>VLOOKUP($C443, 고객정보!$A$2:$E$151, 5, FALSE)</f>
        <v>30대</v>
      </c>
      <c r="P443" t="str">
        <f>VLOOKUP(D443,상품정보!$A$2:$E$61,2,FALSE)</f>
        <v>핸드폰케이스</v>
      </c>
      <c r="Q443" t="str">
        <f>VLOOKUP(D443,상품정보!$A$2:$D$151,3,FALSE)</f>
        <v>액세서리</v>
      </c>
      <c r="R443" t="str">
        <f>VLOOKUP(D443,상품정보!$A$2:$D$151,4,FALSE)</f>
        <v>브랜드F</v>
      </c>
    </row>
    <row r="444" spans="1:18" x14ac:dyDescent="0.45">
      <c r="A444" t="s">
        <v>46</v>
      </c>
      <c r="B444" t="s">
        <v>843</v>
      </c>
      <c r="C444" t="s">
        <v>2411</v>
      </c>
      <c r="D444" t="s">
        <v>2598</v>
      </c>
      <c r="E444">
        <v>5</v>
      </c>
      <c r="F444">
        <v>77300</v>
      </c>
      <c r="G444">
        <v>0</v>
      </c>
      <c r="H444">
        <v>0</v>
      </c>
      <c r="I444" t="s">
        <v>2652</v>
      </c>
      <c r="J444" s="4">
        <f t="shared" si="18"/>
        <v>386500</v>
      </c>
      <c r="K444" s="4" t="str">
        <f t="shared" si="19"/>
        <v>2024-09</v>
      </c>
      <c r="L444" s="4" t="str">
        <f t="shared" si="20"/>
        <v>월</v>
      </c>
      <c r="M444" s="2" t="str">
        <f>VLOOKUP($C444, 고객정보!$A$2:$E$151, 2, FALSE)</f>
        <v>부산</v>
      </c>
      <c r="N444" t="str">
        <f>VLOOKUP(C444,고객정보!$A$2:$D$151,4,FALSE)</f>
        <v>L5</v>
      </c>
      <c r="O444" t="str">
        <f>VLOOKUP($C444, 고객정보!$A$2:$E$151, 5, FALSE)</f>
        <v>30대</v>
      </c>
      <c r="P444" t="str">
        <f>VLOOKUP(D444,상품정보!$A$2:$E$61,2,FALSE)</f>
        <v>청바지</v>
      </c>
      <c r="Q444" t="str">
        <f>VLOOKUP(D444,상품정보!$A$2:$D$151,3,FALSE)</f>
        <v>의류</v>
      </c>
      <c r="R444" t="str">
        <f>VLOOKUP(D444,상품정보!$A$2:$D$151,4,FALSE)</f>
        <v>브랜드F</v>
      </c>
    </row>
    <row r="445" spans="1:18" x14ac:dyDescent="0.45">
      <c r="A445" t="s">
        <v>41</v>
      </c>
      <c r="B445" t="s">
        <v>844</v>
      </c>
      <c r="C445" t="s">
        <v>2496</v>
      </c>
      <c r="D445" t="s">
        <v>2581</v>
      </c>
      <c r="E445">
        <v>5</v>
      </c>
      <c r="F445">
        <v>72900</v>
      </c>
      <c r="G445">
        <v>1000</v>
      </c>
      <c r="H445">
        <v>0</v>
      </c>
      <c r="I445" t="s">
        <v>2652</v>
      </c>
      <c r="J445" s="4">
        <f t="shared" si="18"/>
        <v>365500</v>
      </c>
      <c r="K445" s="4" t="str">
        <f t="shared" si="19"/>
        <v>2024-10</v>
      </c>
      <c r="L445" s="4" t="str">
        <f t="shared" si="20"/>
        <v>목</v>
      </c>
      <c r="M445" s="2" t="str">
        <f>VLOOKUP($C445, 고객정보!$A$2:$E$151, 2, FALSE)</f>
        <v>서울</v>
      </c>
      <c r="N445" t="str">
        <f>VLOOKUP(C445,고객정보!$A$2:$D$151,4,FALSE)</f>
        <v>L3</v>
      </c>
      <c r="O445" t="str">
        <f>VLOOKUP($C445, 고객정보!$A$2:$E$151, 5, FALSE)</f>
        <v>50대 이상</v>
      </c>
      <c r="P445" t="str">
        <f>VLOOKUP(D445,상품정보!$A$2:$E$61,2,FALSE)</f>
        <v>귀걸이</v>
      </c>
      <c r="Q445" t="str">
        <f>VLOOKUP(D445,상품정보!$A$2:$D$151,3,FALSE)</f>
        <v>액세서리</v>
      </c>
      <c r="R445" t="str">
        <f>VLOOKUP(D445,상품정보!$A$2:$D$151,4,FALSE)</f>
        <v>브랜드F</v>
      </c>
    </row>
    <row r="446" spans="1:18" x14ac:dyDescent="0.45">
      <c r="A446" t="s">
        <v>162</v>
      </c>
      <c r="B446" t="s">
        <v>845</v>
      </c>
      <c r="C446" t="s">
        <v>2476</v>
      </c>
      <c r="D446" t="s">
        <v>2556</v>
      </c>
      <c r="E446">
        <v>5</v>
      </c>
      <c r="F446">
        <v>70100</v>
      </c>
      <c r="G446">
        <v>0</v>
      </c>
      <c r="H446">
        <v>4400</v>
      </c>
      <c r="I446" t="s">
        <v>2611</v>
      </c>
      <c r="J446" s="4">
        <f t="shared" si="18"/>
        <v>346100</v>
      </c>
      <c r="K446" s="4" t="str">
        <f t="shared" si="19"/>
        <v>2024-11</v>
      </c>
      <c r="L446" s="4" t="str">
        <f t="shared" si="20"/>
        <v>금</v>
      </c>
      <c r="M446" s="2" t="str">
        <f>VLOOKUP($C446, 고객정보!$A$2:$E$151, 2, FALSE)</f>
        <v>서울</v>
      </c>
      <c r="N446" t="str">
        <f>VLOOKUP(C446,고객정보!$A$2:$D$151,4,FALSE)</f>
        <v>L2</v>
      </c>
      <c r="O446" t="str">
        <f>VLOOKUP($C446, 고객정보!$A$2:$E$151, 5, FALSE)</f>
        <v>10대</v>
      </c>
      <c r="P446" t="str">
        <f>VLOOKUP(D446,상품정보!$A$2:$E$61,2,FALSE)</f>
        <v>핸드폰케이스</v>
      </c>
      <c r="Q446" t="str">
        <f>VLOOKUP(D446,상품정보!$A$2:$D$151,3,FALSE)</f>
        <v>액세서리</v>
      </c>
      <c r="R446" t="str">
        <f>VLOOKUP(D446,상품정보!$A$2:$D$151,4,FALSE)</f>
        <v>브랜드F</v>
      </c>
    </row>
    <row r="447" spans="1:18" x14ac:dyDescent="0.45">
      <c r="A447" t="s">
        <v>124</v>
      </c>
      <c r="B447" t="s">
        <v>846</v>
      </c>
      <c r="C447" t="s">
        <v>2464</v>
      </c>
      <c r="D447" t="s">
        <v>2597</v>
      </c>
      <c r="E447">
        <v>5</v>
      </c>
      <c r="F447">
        <v>65300</v>
      </c>
      <c r="G447">
        <v>1500</v>
      </c>
      <c r="H447">
        <v>200</v>
      </c>
      <c r="I447" t="s">
        <v>2612</v>
      </c>
      <c r="J447" s="4">
        <f t="shared" si="18"/>
        <v>327800</v>
      </c>
      <c r="K447" s="4" t="str">
        <f t="shared" si="19"/>
        <v>2024-08</v>
      </c>
      <c r="L447" s="4" t="str">
        <f t="shared" si="20"/>
        <v>토</v>
      </c>
      <c r="M447" s="2" t="str">
        <f>VLOOKUP($C447, 고객정보!$A$2:$E$151, 2, FALSE)</f>
        <v>대구</v>
      </c>
      <c r="N447" t="str">
        <f>VLOOKUP(C447,고객정보!$A$2:$D$151,4,FALSE)</f>
        <v>L1</v>
      </c>
      <c r="O447" t="str">
        <f>VLOOKUP($C447, 고객정보!$A$2:$E$151, 5, FALSE)</f>
        <v>20대</v>
      </c>
      <c r="P447" t="str">
        <f>VLOOKUP(D447,상품정보!$A$2:$E$61,2,FALSE)</f>
        <v>반지</v>
      </c>
      <c r="Q447" t="str">
        <f>VLOOKUP(D447,상품정보!$A$2:$D$151,3,FALSE)</f>
        <v>액세서리</v>
      </c>
      <c r="R447" t="str">
        <f>VLOOKUP(D447,상품정보!$A$2:$D$151,4,FALSE)</f>
        <v>브랜드F</v>
      </c>
    </row>
    <row r="448" spans="1:18" x14ac:dyDescent="0.45">
      <c r="A448" t="s">
        <v>270</v>
      </c>
      <c r="B448" t="s">
        <v>847</v>
      </c>
      <c r="C448" t="s">
        <v>2519</v>
      </c>
      <c r="D448" t="s">
        <v>2573</v>
      </c>
      <c r="E448">
        <v>1</v>
      </c>
      <c r="F448">
        <v>6400</v>
      </c>
      <c r="G448">
        <v>1000</v>
      </c>
      <c r="H448">
        <v>200</v>
      </c>
      <c r="I448" t="s">
        <v>2611</v>
      </c>
      <c r="J448" s="4">
        <f t="shared" si="18"/>
        <v>7200</v>
      </c>
      <c r="K448" s="4" t="str">
        <f t="shared" si="19"/>
        <v>2024-08</v>
      </c>
      <c r="L448" s="4" t="str">
        <f t="shared" si="20"/>
        <v>일</v>
      </c>
      <c r="M448" s="2" t="str">
        <f>VLOOKUP($C448, 고객정보!$A$2:$E$151, 2, FALSE)</f>
        <v>서울</v>
      </c>
      <c r="N448" t="str">
        <f>VLOOKUP(C448,고객정보!$A$2:$D$151,4,FALSE)</f>
        <v>L4</v>
      </c>
      <c r="O448" t="str">
        <f>VLOOKUP($C448, 고객정보!$A$2:$E$151, 5, FALSE)</f>
        <v>20대</v>
      </c>
      <c r="P448" t="str">
        <f>VLOOKUP(D448,상품정보!$A$2:$E$61,2,FALSE)</f>
        <v>귀걸이</v>
      </c>
      <c r="Q448" t="str">
        <f>VLOOKUP(D448,상품정보!$A$2:$D$151,3,FALSE)</f>
        <v>액세서리</v>
      </c>
      <c r="R448" t="str">
        <f>VLOOKUP(D448,상품정보!$A$2:$D$151,4,FALSE)</f>
        <v>브랜드E</v>
      </c>
    </row>
    <row r="449" spans="1:18" x14ac:dyDescent="0.45">
      <c r="A449" t="s">
        <v>271</v>
      </c>
      <c r="B449" t="s">
        <v>848</v>
      </c>
      <c r="C449" t="s">
        <v>2523</v>
      </c>
      <c r="D449" t="s">
        <v>2570</v>
      </c>
      <c r="E449">
        <v>3</v>
      </c>
      <c r="F449">
        <v>73900</v>
      </c>
      <c r="G449">
        <v>0</v>
      </c>
      <c r="H449">
        <v>4200</v>
      </c>
      <c r="I449" t="s">
        <v>2611</v>
      </c>
      <c r="J449" s="4">
        <f t="shared" si="18"/>
        <v>217500</v>
      </c>
      <c r="K449" s="4" t="str">
        <f t="shared" si="19"/>
        <v>2024-12</v>
      </c>
      <c r="L449" s="4" t="str">
        <f t="shared" si="20"/>
        <v>화</v>
      </c>
      <c r="M449" s="2" t="str">
        <f>VLOOKUP($C449, 고객정보!$A$2:$E$151, 2, FALSE)</f>
        <v>서울</v>
      </c>
      <c r="N449" t="str">
        <f>VLOOKUP(C449,고객정보!$A$2:$D$151,4,FALSE)</f>
        <v>L3</v>
      </c>
      <c r="O449" t="str">
        <f>VLOOKUP($C449, 고객정보!$A$2:$E$151, 5, FALSE)</f>
        <v>20대</v>
      </c>
      <c r="P449" t="str">
        <f>VLOOKUP(D449,상품정보!$A$2:$E$61,2,FALSE)</f>
        <v>반지</v>
      </c>
      <c r="Q449" t="str">
        <f>VLOOKUP(D449,상품정보!$A$2:$D$151,3,FALSE)</f>
        <v>액세서리</v>
      </c>
      <c r="R449" t="str">
        <f>VLOOKUP(D449,상품정보!$A$2:$D$151,4,FALSE)</f>
        <v>브랜드B</v>
      </c>
    </row>
    <row r="450" spans="1:18" x14ac:dyDescent="0.45">
      <c r="A450" t="s">
        <v>83</v>
      </c>
      <c r="B450" t="s">
        <v>849</v>
      </c>
      <c r="C450" t="s">
        <v>2444</v>
      </c>
      <c r="D450" t="s">
        <v>2554</v>
      </c>
      <c r="E450">
        <v>2</v>
      </c>
      <c r="F450">
        <v>12100</v>
      </c>
      <c r="G450">
        <v>1000</v>
      </c>
      <c r="H450">
        <v>0</v>
      </c>
      <c r="I450" t="s">
        <v>2652</v>
      </c>
      <c r="J450" s="4">
        <f t="shared" si="18"/>
        <v>25200</v>
      </c>
      <c r="K450" s="4" t="str">
        <f t="shared" si="19"/>
        <v>2024-01</v>
      </c>
      <c r="L450" s="4" t="str">
        <f t="shared" si="20"/>
        <v>일</v>
      </c>
      <c r="M450" s="2" t="str">
        <f>VLOOKUP($C450, 고객정보!$A$2:$E$151, 2, FALSE)</f>
        <v>서울</v>
      </c>
      <c r="N450" t="str">
        <f>VLOOKUP(C450,고객정보!$A$2:$D$151,4,FALSE)</f>
        <v>L4</v>
      </c>
      <c r="O450" t="str">
        <f>VLOOKUP($C450, 고객정보!$A$2:$E$151, 5, FALSE)</f>
        <v>40대</v>
      </c>
      <c r="P450" t="str">
        <f>VLOOKUP(D450,상품정보!$A$2:$E$61,2,FALSE)</f>
        <v>귀걸이</v>
      </c>
      <c r="Q450" t="str">
        <f>VLOOKUP(D450,상품정보!$A$2:$D$151,3,FALSE)</f>
        <v>액세서리</v>
      </c>
      <c r="R450" t="str">
        <f>VLOOKUP(D450,상품정보!$A$2:$D$151,4,FALSE)</f>
        <v>브랜드D</v>
      </c>
    </row>
    <row r="451" spans="1:18" x14ac:dyDescent="0.45">
      <c r="A451" t="s">
        <v>199</v>
      </c>
      <c r="B451" t="s">
        <v>850</v>
      </c>
      <c r="C451" t="s">
        <v>2427</v>
      </c>
      <c r="D451" t="s">
        <v>2588</v>
      </c>
      <c r="E451">
        <v>4</v>
      </c>
      <c r="F451">
        <v>7700</v>
      </c>
      <c r="G451">
        <v>0</v>
      </c>
      <c r="H451">
        <v>0</v>
      </c>
      <c r="I451" t="s">
        <v>2652</v>
      </c>
      <c r="J451" s="4">
        <f t="shared" ref="J451:J514" si="21">E451*F451+G451-H451</f>
        <v>30800</v>
      </c>
      <c r="K451" s="4" t="str">
        <f t="shared" ref="K451:K514" si="22">LEFT(A451,7)</f>
        <v>2024-08</v>
      </c>
      <c r="L451" s="4" t="str">
        <f t="shared" ref="L451:L514" si="23">TEXT(WEEKDAY(A451),"aaa")</f>
        <v>월</v>
      </c>
      <c r="M451" s="2" t="str">
        <f>VLOOKUP($C451, 고객정보!$A$2:$E$151, 2, FALSE)</f>
        <v>부산</v>
      </c>
      <c r="N451" t="str">
        <f>VLOOKUP(C451,고객정보!$A$2:$D$151,4,FALSE)</f>
        <v>L4</v>
      </c>
      <c r="O451" t="str">
        <f>VLOOKUP($C451, 고객정보!$A$2:$E$151, 5, FALSE)</f>
        <v>20대</v>
      </c>
      <c r="P451" t="str">
        <f>VLOOKUP(D451,상품정보!$A$2:$E$61,2,FALSE)</f>
        <v>귀걸이</v>
      </c>
      <c r="Q451" t="str">
        <f>VLOOKUP(D451,상품정보!$A$2:$D$151,3,FALSE)</f>
        <v>액세서리</v>
      </c>
      <c r="R451" t="str">
        <f>VLOOKUP(D451,상품정보!$A$2:$D$151,4,FALSE)</f>
        <v>브랜드D</v>
      </c>
    </row>
    <row r="452" spans="1:18" x14ac:dyDescent="0.45">
      <c r="A452" t="s">
        <v>272</v>
      </c>
      <c r="B452" t="s">
        <v>851</v>
      </c>
      <c r="C452" t="s">
        <v>2513</v>
      </c>
      <c r="D452" t="s">
        <v>2578</v>
      </c>
      <c r="E452">
        <v>5</v>
      </c>
      <c r="F452">
        <v>78000</v>
      </c>
      <c r="G452">
        <v>500</v>
      </c>
      <c r="H452">
        <v>700</v>
      </c>
      <c r="I452" t="s">
        <v>2614</v>
      </c>
      <c r="J452" s="4">
        <f t="shared" si="21"/>
        <v>389800</v>
      </c>
      <c r="K452" s="4" t="str">
        <f t="shared" si="22"/>
        <v>2024-03</v>
      </c>
      <c r="L452" s="4" t="str">
        <f t="shared" si="23"/>
        <v>금</v>
      </c>
      <c r="M452" s="2" t="str">
        <f>VLOOKUP($C452, 고객정보!$A$2:$E$151, 2, FALSE)</f>
        <v>수원</v>
      </c>
      <c r="N452" t="str">
        <f>VLOOKUP(C452,고객정보!$A$2:$D$151,4,FALSE)</f>
        <v>L5</v>
      </c>
      <c r="O452" t="str">
        <f>VLOOKUP($C452, 고객정보!$A$2:$E$151, 5, FALSE)</f>
        <v>20대</v>
      </c>
      <c r="P452" t="str">
        <f>VLOOKUP(D452,상품정보!$A$2:$E$61,2,FALSE)</f>
        <v>귀걸이</v>
      </c>
      <c r="Q452" t="str">
        <f>VLOOKUP(D452,상품정보!$A$2:$D$151,3,FALSE)</f>
        <v>액세서리</v>
      </c>
      <c r="R452" t="str">
        <f>VLOOKUP(D452,상품정보!$A$2:$D$151,4,FALSE)</f>
        <v>브랜드B</v>
      </c>
    </row>
    <row r="453" spans="1:18" x14ac:dyDescent="0.45">
      <c r="A453" t="s">
        <v>273</v>
      </c>
      <c r="B453" t="s">
        <v>852</v>
      </c>
      <c r="C453" t="s">
        <v>2419</v>
      </c>
      <c r="D453" t="s">
        <v>2599</v>
      </c>
      <c r="E453">
        <v>3</v>
      </c>
      <c r="F453">
        <v>73800</v>
      </c>
      <c r="G453">
        <v>1000</v>
      </c>
      <c r="H453">
        <v>0</v>
      </c>
      <c r="I453" t="s">
        <v>2652</v>
      </c>
      <c r="J453" s="4">
        <f t="shared" si="21"/>
        <v>222400</v>
      </c>
      <c r="K453" s="4" t="str">
        <f t="shared" si="22"/>
        <v>2024-07</v>
      </c>
      <c r="L453" s="4" t="str">
        <f t="shared" si="23"/>
        <v>수</v>
      </c>
      <c r="M453" s="2" t="str">
        <f>VLOOKUP($C453, 고객정보!$A$2:$E$151, 2, FALSE)</f>
        <v>대구</v>
      </c>
      <c r="N453" t="str">
        <f>VLOOKUP(C453,고객정보!$A$2:$D$151,4,FALSE)</f>
        <v>L2</v>
      </c>
      <c r="O453" t="str">
        <f>VLOOKUP($C453, 고객정보!$A$2:$E$151, 5, FALSE)</f>
        <v>20대</v>
      </c>
      <c r="P453" t="str">
        <f>VLOOKUP(D453,상품정보!$A$2:$E$61,2,FALSE)</f>
        <v>핸드폰케이스</v>
      </c>
      <c r="Q453" t="str">
        <f>VLOOKUP(D453,상품정보!$A$2:$D$151,3,FALSE)</f>
        <v>액세서리</v>
      </c>
      <c r="R453" t="str">
        <f>VLOOKUP(D453,상품정보!$A$2:$D$151,4,FALSE)</f>
        <v>브랜드F</v>
      </c>
    </row>
    <row r="454" spans="1:18" x14ac:dyDescent="0.45">
      <c r="A454" t="s">
        <v>274</v>
      </c>
      <c r="B454" t="s">
        <v>853</v>
      </c>
      <c r="C454" t="s">
        <v>2460</v>
      </c>
      <c r="D454" t="s">
        <v>2587</v>
      </c>
      <c r="E454">
        <v>3</v>
      </c>
      <c r="F454">
        <v>50200</v>
      </c>
      <c r="G454">
        <v>500</v>
      </c>
      <c r="H454">
        <v>0</v>
      </c>
      <c r="I454" t="s">
        <v>2652</v>
      </c>
      <c r="J454" s="4">
        <f t="shared" si="21"/>
        <v>151100</v>
      </c>
      <c r="K454" s="4" t="str">
        <f t="shared" si="22"/>
        <v>2024-12</v>
      </c>
      <c r="L454" s="4" t="str">
        <f t="shared" si="23"/>
        <v>금</v>
      </c>
      <c r="M454" s="2" t="str">
        <f>VLOOKUP($C454, 고객정보!$A$2:$E$151, 2, FALSE)</f>
        <v>대전</v>
      </c>
      <c r="N454" t="str">
        <f>VLOOKUP(C454,고객정보!$A$2:$D$151,4,FALSE)</f>
        <v>L4</v>
      </c>
      <c r="O454" t="str">
        <f>VLOOKUP($C454, 고객정보!$A$2:$E$151, 5, FALSE)</f>
        <v>20대</v>
      </c>
      <c r="P454" t="str">
        <f>VLOOKUP(D454,상품정보!$A$2:$E$61,2,FALSE)</f>
        <v>반지</v>
      </c>
      <c r="Q454" t="str">
        <f>VLOOKUP(D454,상품정보!$A$2:$D$151,3,FALSE)</f>
        <v>액세서리</v>
      </c>
      <c r="R454" t="str">
        <f>VLOOKUP(D454,상품정보!$A$2:$D$151,4,FALSE)</f>
        <v>브랜드B</v>
      </c>
    </row>
    <row r="455" spans="1:18" x14ac:dyDescent="0.45">
      <c r="A455" t="s">
        <v>275</v>
      </c>
      <c r="B455" t="s">
        <v>854</v>
      </c>
      <c r="C455" t="s">
        <v>2455</v>
      </c>
      <c r="D455" t="s">
        <v>2577</v>
      </c>
      <c r="E455">
        <v>3</v>
      </c>
      <c r="F455">
        <v>10200</v>
      </c>
      <c r="G455">
        <v>500</v>
      </c>
      <c r="H455">
        <v>16000</v>
      </c>
      <c r="I455" t="s">
        <v>2614</v>
      </c>
      <c r="J455" s="4">
        <f t="shared" si="21"/>
        <v>15100</v>
      </c>
      <c r="K455" s="4" t="str">
        <f t="shared" si="22"/>
        <v>2024-02</v>
      </c>
      <c r="L455" s="4" t="str">
        <f t="shared" si="23"/>
        <v>토</v>
      </c>
      <c r="M455" s="2" t="str">
        <f>VLOOKUP($C455, 고객정보!$A$2:$E$151, 2, FALSE)</f>
        <v>서울</v>
      </c>
      <c r="N455" t="str">
        <f>VLOOKUP(C455,고객정보!$A$2:$D$151,4,FALSE)</f>
        <v>L5</v>
      </c>
      <c r="O455" t="str">
        <f>VLOOKUP($C455, 고객정보!$A$2:$E$151, 5, FALSE)</f>
        <v>20대</v>
      </c>
      <c r="P455" t="str">
        <f>VLOOKUP(D455,상품정보!$A$2:$E$61,2,FALSE)</f>
        <v>셔츠</v>
      </c>
      <c r="Q455" t="str">
        <f>VLOOKUP(D455,상품정보!$A$2:$D$151,3,FALSE)</f>
        <v>의류</v>
      </c>
      <c r="R455" t="str">
        <f>VLOOKUP(D455,상품정보!$A$2:$D$151,4,FALSE)</f>
        <v>브랜드C</v>
      </c>
    </row>
    <row r="456" spans="1:18" x14ac:dyDescent="0.45">
      <c r="A456" t="s">
        <v>274</v>
      </c>
      <c r="B456" t="s">
        <v>855</v>
      </c>
      <c r="C456" t="s">
        <v>2481</v>
      </c>
      <c r="D456" t="s">
        <v>2591</v>
      </c>
      <c r="E456">
        <v>5</v>
      </c>
      <c r="F456">
        <v>69200</v>
      </c>
      <c r="G456">
        <v>0</v>
      </c>
      <c r="H456">
        <v>0</v>
      </c>
      <c r="I456" t="s">
        <v>2652</v>
      </c>
      <c r="J456" s="4">
        <f t="shared" si="21"/>
        <v>346000</v>
      </c>
      <c r="K456" s="4" t="str">
        <f t="shared" si="22"/>
        <v>2024-12</v>
      </c>
      <c r="L456" s="4" t="str">
        <f t="shared" si="23"/>
        <v>금</v>
      </c>
      <c r="M456" s="2" t="str">
        <f>VLOOKUP($C456, 고객정보!$A$2:$E$151, 2, FALSE)</f>
        <v>부산</v>
      </c>
      <c r="N456" t="str">
        <f>VLOOKUP(C456,고객정보!$A$2:$D$151,4,FALSE)</f>
        <v>L5</v>
      </c>
      <c r="O456" t="str">
        <f>VLOOKUP($C456, 고객정보!$A$2:$E$151, 5, FALSE)</f>
        <v>20대</v>
      </c>
      <c r="P456" t="str">
        <f>VLOOKUP(D456,상품정보!$A$2:$E$61,2,FALSE)</f>
        <v>셔츠</v>
      </c>
      <c r="Q456" t="str">
        <f>VLOOKUP(D456,상품정보!$A$2:$D$151,3,FALSE)</f>
        <v>의류</v>
      </c>
      <c r="R456" t="str">
        <f>VLOOKUP(D456,상품정보!$A$2:$D$151,4,FALSE)</f>
        <v>브랜드F</v>
      </c>
    </row>
    <row r="457" spans="1:18" x14ac:dyDescent="0.45">
      <c r="A457" t="s">
        <v>146</v>
      </c>
      <c r="B457" t="s">
        <v>856</v>
      </c>
      <c r="C457" t="s">
        <v>2496</v>
      </c>
      <c r="D457" t="s">
        <v>2595</v>
      </c>
      <c r="E457">
        <v>3</v>
      </c>
      <c r="F457">
        <v>12700</v>
      </c>
      <c r="G457">
        <v>500</v>
      </c>
      <c r="H457">
        <v>0</v>
      </c>
      <c r="I457" t="s">
        <v>2652</v>
      </c>
      <c r="J457" s="4">
        <f t="shared" si="21"/>
        <v>38600</v>
      </c>
      <c r="K457" s="4" t="str">
        <f t="shared" si="22"/>
        <v>2025-01</v>
      </c>
      <c r="L457" s="4" t="str">
        <f t="shared" si="23"/>
        <v>일</v>
      </c>
      <c r="M457" s="2" t="str">
        <f>VLOOKUP($C457, 고객정보!$A$2:$E$151, 2, FALSE)</f>
        <v>서울</v>
      </c>
      <c r="N457" t="str">
        <f>VLOOKUP(C457,고객정보!$A$2:$D$151,4,FALSE)</f>
        <v>L3</v>
      </c>
      <c r="O457" t="str">
        <f>VLOOKUP($C457, 고객정보!$A$2:$E$151, 5, FALSE)</f>
        <v>50대 이상</v>
      </c>
      <c r="P457" t="str">
        <f>VLOOKUP(D457,상품정보!$A$2:$E$61,2,FALSE)</f>
        <v>반지</v>
      </c>
      <c r="Q457" t="str">
        <f>VLOOKUP(D457,상품정보!$A$2:$D$151,3,FALSE)</f>
        <v>액세서리</v>
      </c>
      <c r="R457" t="str">
        <f>VLOOKUP(D457,상품정보!$A$2:$D$151,4,FALSE)</f>
        <v>브랜드C</v>
      </c>
    </row>
    <row r="458" spans="1:18" x14ac:dyDescent="0.45">
      <c r="A458" t="s">
        <v>276</v>
      </c>
      <c r="B458" t="s">
        <v>857</v>
      </c>
      <c r="C458" t="s">
        <v>2474</v>
      </c>
      <c r="D458" t="s">
        <v>2558</v>
      </c>
      <c r="E458">
        <v>1</v>
      </c>
      <c r="F458">
        <v>63700</v>
      </c>
      <c r="G458">
        <v>1000</v>
      </c>
      <c r="H458">
        <v>0</v>
      </c>
      <c r="I458" t="s">
        <v>2652</v>
      </c>
      <c r="J458" s="4">
        <f t="shared" si="21"/>
        <v>64700</v>
      </c>
      <c r="K458" s="4" t="str">
        <f t="shared" si="22"/>
        <v>2024-10</v>
      </c>
      <c r="L458" s="4" t="str">
        <f t="shared" si="23"/>
        <v>금</v>
      </c>
      <c r="M458" s="2" t="str">
        <f>VLOOKUP($C458, 고객정보!$A$2:$E$151, 2, FALSE)</f>
        <v>인천</v>
      </c>
      <c r="N458" t="str">
        <f>VLOOKUP(C458,고객정보!$A$2:$D$151,4,FALSE)</f>
        <v>L2</v>
      </c>
      <c r="O458" t="str">
        <f>VLOOKUP($C458, 고객정보!$A$2:$E$151, 5, FALSE)</f>
        <v>10대</v>
      </c>
      <c r="P458" t="str">
        <f>VLOOKUP(D458,상품정보!$A$2:$E$61,2,FALSE)</f>
        <v>셔츠</v>
      </c>
      <c r="Q458" t="str">
        <f>VLOOKUP(D458,상품정보!$A$2:$D$151,3,FALSE)</f>
        <v>의류</v>
      </c>
      <c r="R458" t="str">
        <f>VLOOKUP(D458,상품정보!$A$2:$D$151,4,FALSE)</f>
        <v>브랜드A</v>
      </c>
    </row>
    <row r="459" spans="1:18" x14ac:dyDescent="0.45">
      <c r="A459" t="s">
        <v>229</v>
      </c>
      <c r="B459" t="s">
        <v>858</v>
      </c>
      <c r="C459" t="s">
        <v>2518</v>
      </c>
      <c r="D459" t="s">
        <v>2582</v>
      </c>
      <c r="E459">
        <v>3</v>
      </c>
      <c r="F459">
        <v>12500</v>
      </c>
      <c r="G459">
        <v>1000</v>
      </c>
      <c r="H459">
        <v>0</v>
      </c>
      <c r="I459" t="s">
        <v>2652</v>
      </c>
      <c r="J459" s="4">
        <f t="shared" si="21"/>
        <v>38500</v>
      </c>
      <c r="K459" s="4" t="str">
        <f t="shared" si="22"/>
        <v>2024-06</v>
      </c>
      <c r="L459" s="4" t="str">
        <f t="shared" si="23"/>
        <v>금</v>
      </c>
      <c r="M459" s="2" t="str">
        <f>VLOOKUP($C459, 고객정보!$A$2:$E$151, 2, FALSE)</f>
        <v>부산</v>
      </c>
      <c r="N459" t="str">
        <f>VLOOKUP(C459,고객정보!$A$2:$D$151,4,FALSE)</f>
        <v>L2</v>
      </c>
      <c r="O459" t="str">
        <f>VLOOKUP($C459, 고객정보!$A$2:$E$151, 5, FALSE)</f>
        <v>40대</v>
      </c>
      <c r="P459" t="str">
        <f>VLOOKUP(D459,상품정보!$A$2:$E$61,2,FALSE)</f>
        <v>셔츠</v>
      </c>
      <c r="Q459" t="str">
        <f>VLOOKUP(D459,상품정보!$A$2:$D$151,3,FALSE)</f>
        <v>의류</v>
      </c>
      <c r="R459" t="str">
        <f>VLOOKUP(D459,상품정보!$A$2:$D$151,4,FALSE)</f>
        <v>브랜드D</v>
      </c>
    </row>
    <row r="460" spans="1:18" x14ac:dyDescent="0.45">
      <c r="A460" t="s">
        <v>111</v>
      </c>
      <c r="B460" t="s">
        <v>859</v>
      </c>
      <c r="C460" t="s">
        <v>2540</v>
      </c>
      <c r="D460" t="s">
        <v>2552</v>
      </c>
      <c r="E460">
        <v>5</v>
      </c>
      <c r="F460">
        <v>13300</v>
      </c>
      <c r="G460">
        <v>0</v>
      </c>
      <c r="H460">
        <v>0</v>
      </c>
      <c r="I460" t="s">
        <v>2652</v>
      </c>
      <c r="J460" s="4">
        <f t="shared" si="21"/>
        <v>66500</v>
      </c>
      <c r="K460" s="4" t="str">
        <f t="shared" si="22"/>
        <v>2024-12</v>
      </c>
      <c r="L460" s="4" t="str">
        <f t="shared" si="23"/>
        <v>토</v>
      </c>
      <c r="M460" s="2" t="str">
        <f>VLOOKUP($C460, 고객정보!$A$2:$E$151, 2, FALSE)</f>
        <v>서울</v>
      </c>
      <c r="N460" t="str">
        <f>VLOOKUP(C460,고객정보!$A$2:$D$151,4,FALSE)</f>
        <v>L4</v>
      </c>
      <c r="O460" t="str">
        <f>VLOOKUP($C460, 고객정보!$A$2:$E$151, 5, FALSE)</f>
        <v>50대 이상</v>
      </c>
      <c r="P460" t="str">
        <f>VLOOKUP(D460,상품정보!$A$2:$E$61,2,FALSE)</f>
        <v>셔츠</v>
      </c>
      <c r="Q460" t="str">
        <f>VLOOKUP(D460,상품정보!$A$2:$D$151,3,FALSE)</f>
        <v>의류</v>
      </c>
      <c r="R460" t="str">
        <f>VLOOKUP(D460,상품정보!$A$2:$D$151,4,FALSE)</f>
        <v>브랜드E</v>
      </c>
    </row>
    <row r="461" spans="1:18" x14ac:dyDescent="0.45">
      <c r="A461" t="s">
        <v>277</v>
      </c>
      <c r="B461" t="s">
        <v>860</v>
      </c>
      <c r="C461" t="s">
        <v>2444</v>
      </c>
      <c r="D461" t="s">
        <v>2600</v>
      </c>
      <c r="E461">
        <v>5</v>
      </c>
      <c r="F461">
        <v>10900</v>
      </c>
      <c r="G461">
        <v>0</v>
      </c>
      <c r="H461">
        <v>0</v>
      </c>
      <c r="I461" t="s">
        <v>2652</v>
      </c>
      <c r="J461" s="4">
        <f t="shared" si="21"/>
        <v>54500</v>
      </c>
      <c r="K461" s="4" t="str">
        <f t="shared" si="22"/>
        <v>2024-07</v>
      </c>
      <c r="L461" s="4" t="str">
        <f t="shared" si="23"/>
        <v>목</v>
      </c>
      <c r="M461" s="2" t="str">
        <f>VLOOKUP($C461, 고객정보!$A$2:$E$151, 2, FALSE)</f>
        <v>서울</v>
      </c>
      <c r="N461" t="str">
        <f>VLOOKUP(C461,고객정보!$A$2:$D$151,4,FALSE)</f>
        <v>L4</v>
      </c>
      <c r="O461" t="str">
        <f>VLOOKUP($C461, 고객정보!$A$2:$E$151, 5, FALSE)</f>
        <v>40대</v>
      </c>
      <c r="P461" t="str">
        <f>VLOOKUP(D461,상품정보!$A$2:$E$61,2,FALSE)</f>
        <v>셔츠</v>
      </c>
      <c r="Q461" t="str">
        <f>VLOOKUP(D461,상품정보!$A$2:$D$151,3,FALSE)</f>
        <v>의류</v>
      </c>
      <c r="R461" t="str">
        <f>VLOOKUP(D461,상품정보!$A$2:$D$151,4,FALSE)</f>
        <v>브랜드E</v>
      </c>
    </row>
    <row r="462" spans="1:18" x14ac:dyDescent="0.45">
      <c r="A462" t="s">
        <v>203</v>
      </c>
      <c r="B462" t="s">
        <v>861</v>
      </c>
      <c r="C462" t="s">
        <v>2481</v>
      </c>
      <c r="D462" t="s">
        <v>2602</v>
      </c>
      <c r="E462">
        <v>2</v>
      </c>
      <c r="F462">
        <v>59900</v>
      </c>
      <c r="G462">
        <v>0</v>
      </c>
      <c r="H462">
        <v>0</v>
      </c>
      <c r="I462" t="s">
        <v>2652</v>
      </c>
      <c r="J462" s="4">
        <f t="shared" si="21"/>
        <v>119800</v>
      </c>
      <c r="K462" s="4" t="str">
        <f t="shared" si="22"/>
        <v>2024-12</v>
      </c>
      <c r="L462" s="4" t="str">
        <f t="shared" si="23"/>
        <v>월</v>
      </c>
      <c r="M462" s="2" t="str">
        <f>VLOOKUP($C462, 고객정보!$A$2:$E$151, 2, FALSE)</f>
        <v>부산</v>
      </c>
      <c r="N462" t="str">
        <f>VLOOKUP(C462,고객정보!$A$2:$D$151,4,FALSE)</f>
        <v>L5</v>
      </c>
      <c r="O462" t="str">
        <f>VLOOKUP($C462, 고객정보!$A$2:$E$151, 5, FALSE)</f>
        <v>20대</v>
      </c>
      <c r="P462" t="str">
        <f>VLOOKUP(D462,상품정보!$A$2:$E$61,2,FALSE)</f>
        <v>셔츠</v>
      </c>
      <c r="Q462" t="str">
        <f>VLOOKUP(D462,상품정보!$A$2:$D$151,3,FALSE)</f>
        <v>의류</v>
      </c>
      <c r="R462" t="str">
        <f>VLOOKUP(D462,상품정보!$A$2:$D$151,4,FALSE)</f>
        <v>브랜드A</v>
      </c>
    </row>
    <row r="463" spans="1:18" x14ac:dyDescent="0.45">
      <c r="A463" t="s">
        <v>210</v>
      </c>
      <c r="B463" t="s">
        <v>862</v>
      </c>
      <c r="C463" t="s">
        <v>2513</v>
      </c>
      <c r="D463" t="s">
        <v>2553</v>
      </c>
      <c r="E463">
        <v>4</v>
      </c>
      <c r="F463">
        <v>63400</v>
      </c>
      <c r="G463">
        <v>0</v>
      </c>
      <c r="H463">
        <v>0</v>
      </c>
      <c r="I463" t="s">
        <v>2652</v>
      </c>
      <c r="J463" s="4">
        <f t="shared" si="21"/>
        <v>253600</v>
      </c>
      <c r="K463" s="4" t="str">
        <f t="shared" si="22"/>
        <v>2024-09</v>
      </c>
      <c r="L463" s="4" t="str">
        <f t="shared" si="23"/>
        <v>화</v>
      </c>
      <c r="M463" s="2" t="str">
        <f>VLOOKUP($C463, 고객정보!$A$2:$E$151, 2, FALSE)</f>
        <v>수원</v>
      </c>
      <c r="N463" t="str">
        <f>VLOOKUP(C463,고객정보!$A$2:$D$151,4,FALSE)</f>
        <v>L5</v>
      </c>
      <c r="O463" t="str">
        <f>VLOOKUP($C463, 고객정보!$A$2:$E$151, 5, FALSE)</f>
        <v>20대</v>
      </c>
      <c r="P463" t="str">
        <f>VLOOKUP(D463,상품정보!$A$2:$E$61,2,FALSE)</f>
        <v>귀걸이</v>
      </c>
      <c r="Q463" t="str">
        <f>VLOOKUP(D463,상품정보!$A$2:$D$151,3,FALSE)</f>
        <v>액세서리</v>
      </c>
      <c r="R463" t="str">
        <f>VLOOKUP(D463,상품정보!$A$2:$D$151,4,FALSE)</f>
        <v>브랜드F</v>
      </c>
    </row>
    <row r="464" spans="1:18" x14ac:dyDescent="0.45">
      <c r="A464" t="s">
        <v>229</v>
      </c>
      <c r="B464" t="s">
        <v>863</v>
      </c>
      <c r="C464" t="s">
        <v>2415</v>
      </c>
      <c r="D464" t="s">
        <v>2551</v>
      </c>
      <c r="E464">
        <v>3</v>
      </c>
      <c r="F464">
        <v>66600</v>
      </c>
      <c r="G464">
        <v>500</v>
      </c>
      <c r="H464">
        <v>2700</v>
      </c>
      <c r="I464" t="s">
        <v>2611</v>
      </c>
      <c r="J464" s="4">
        <f t="shared" si="21"/>
        <v>197600</v>
      </c>
      <c r="K464" s="4" t="str">
        <f t="shared" si="22"/>
        <v>2024-06</v>
      </c>
      <c r="L464" s="4" t="str">
        <f t="shared" si="23"/>
        <v>금</v>
      </c>
      <c r="M464" s="2" t="str">
        <f>VLOOKUP($C464, 고객정보!$A$2:$E$151, 2, FALSE)</f>
        <v>광주</v>
      </c>
      <c r="N464" t="str">
        <f>VLOOKUP(C464,고객정보!$A$2:$D$151,4,FALSE)</f>
        <v>L3</v>
      </c>
      <c r="O464" t="str">
        <f>VLOOKUP($C464, 고객정보!$A$2:$E$151, 5, FALSE)</f>
        <v>30대</v>
      </c>
      <c r="P464" t="str">
        <f>VLOOKUP(D464,상품정보!$A$2:$E$61,2,FALSE)</f>
        <v>반지</v>
      </c>
      <c r="Q464" t="str">
        <f>VLOOKUP(D464,상품정보!$A$2:$D$151,3,FALSE)</f>
        <v>액세서리</v>
      </c>
      <c r="R464" t="str">
        <f>VLOOKUP(D464,상품정보!$A$2:$D$151,4,FALSE)</f>
        <v>브랜드B</v>
      </c>
    </row>
    <row r="465" spans="1:18" x14ac:dyDescent="0.45">
      <c r="A465" t="s">
        <v>135</v>
      </c>
      <c r="B465" t="s">
        <v>864</v>
      </c>
      <c r="C465" t="s">
        <v>2522</v>
      </c>
      <c r="D465" t="s">
        <v>2572</v>
      </c>
      <c r="E465">
        <v>3</v>
      </c>
      <c r="F465">
        <v>61700</v>
      </c>
      <c r="G465">
        <v>0</v>
      </c>
      <c r="H465">
        <v>0</v>
      </c>
      <c r="I465" t="s">
        <v>2652</v>
      </c>
      <c r="J465" s="4">
        <f t="shared" si="21"/>
        <v>185100</v>
      </c>
      <c r="K465" s="4" t="str">
        <f t="shared" si="22"/>
        <v>2025-01</v>
      </c>
      <c r="L465" s="4" t="str">
        <f t="shared" si="23"/>
        <v>월</v>
      </c>
      <c r="M465" s="2" t="str">
        <f>VLOOKUP($C465, 고객정보!$A$2:$E$151, 2, FALSE)</f>
        <v>부산</v>
      </c>
      <c r="N465" t="str">
        <f>VLOOKUP(C465,고객정보!$A$2:$D$151,4,FALSE)</f>
        <v>L4</v>
      </c>
      <c r="O465" t="str">
        <f>VLOOKUP($C465, 고객정보!$A$2:$E$151, 5, FALSE)</f>
        <v>40대</v>
      </c>
      <c r="P465" t="str">
        <f>VLOOKUP(D465,상품정보!$A$2:$E$61,2,FALSE)</f>
        <v>반팔 티셔츠</v>
      </c>
      <c r="Q465" t="str">
        <f>VLOOKUP(D465,상품정보!$A$2:$D$151,3,FALSE)</f>
        <v>의류</v>
      </c>
      <c r="R465" t="str">
        <f>VLOOKUP(D465,상품정보!$A$2:$D$151,4,FALSE)</f>
        <v>브랜드F</v>
      </c>
    </row>
    <row r="466" spans="1:18" x14ac:dyDescent="0.45">
      <c r="A466" t="s">
        <v>278</v>
      </c>
      <c r="B466" t="s">
        <v>865</v>
      </c>
      <c r="C466" t="s">
        <v>2452</v>
      </c>
      <c r="D466" t="s">
        <v>2555</v>
      </c>
      <c r="E466">
        <v>2</v>
      </c>
      <c r="F466">
        <v>8300</v>
      </c>
      <c r="G466">
        <v>1000</v>
      </c>
      <c r="H466">
        <v>0</v>
      </c>
      <c r="I466" t="s">
        <v>2652</v>
      </c>
      <c r="J466" s="4">
        <f t="shared" si="21"/>
        <v>17600</v>
      </c>
      <c r="K466" s="4" t="str">
        <f t="shared" si="22"/>
        <v>2024-03</v>
      </c>
      <c r="L466" s="4" t="str">
        <f t="shared" si="23"/>
        <v>월</v>
      </c>
      <c r="M466" s="2" t="str">
        <f>VLOOKUP($C466, 고객정보!$A$2:$E$151, 2, FALSE)</f>
        <v>서울</v>
      </c>
      <c r="N466" t="str">
        <f>VLOOKUP(C466,고객정보!$A$2:$D$151,4,FALSE)</f>
        <v>L3</v>
      </c>
      <c r="O466" t="str">
        <f>VLOOKUP($C466, 고객정보!$A$2:$E$151, 5, FALSE)</f>
        <v>30대</v>
      </c>
      <c r="P466" t="str">
        <f>VLOOKUP(D466,상품정보!$A$2:$E$61,2,FALSE)</f>
        <v>청바지</v>
      </c>
      <c r="Q466" t="str">
        <f>VLOOKUP(D466,상품정보!$A$2:$D$151,3,FALSE)</f>
        <v>의류</v>
      </c>
      <c r="R466" t="str">
        <f>VLOOKUP(D466,상품정보!$A$2:$D$151,4,FALSE)</f>
        <v>브랜드E</v>
      </c>
    </row>
    <row r="467" spans="1:18" x14ac:dyDescent="0.45">
      <c r="A467" t="s">
        <v>24</v>
      </c>
      <c r="B467" t="s">
        <v>866</v>
      </c>
      <c r="C467" t="s">
        <v>2477</v>
      </c>
      <c r="D467" t="s">
        <v>2571</v>
      </c>
      <c r="E467">
        <v>3</v>
      </c>
      <c r="F467">
        <v>55600</v>
      </c>
      <c r="G467">
        <v>500</v>
      </c>
      <c r="H467">
        <v>0</v>
      </c>
      <c r="I467" t="s">
        <v>2652</v>
      </c>
      <c r="J467" s="4">
        <f t="shared" si="21"/>
        <v>167300</v>
      </c>
      <c r="K467" s="4" t="str">
        <f t="shared" si="22"/>
        <v>2024-02</v>
      </c>
      <c r="L467" s="4" t="str">
        <f t="shared" si="23"/>
        <v>수</v>
      </c>
      <c r="M467" s="2" t="str">
        <f>VLOOKUP($C467, 고객정보!$A$2:$E$151, 2, FALSE)</f>
        <v>부산</v>
      </c>
      <c r="N467" t="str">
        <f>VLOOKUP(C467,고객정보!$A$2:$D$151,4,FALSE)</f>
        <v>L4</v>
      </c>
      <c r="O467" t="str">
        <f>VLOOKUP($C467, 고객정보!$A$2:$E$151, 5, FALSE)</f>
        <v>20대</v>
      </c>
      <c r="P467" t="str">
        <f>VLOOKUP(D467,상품정보!$A$2:$E$61,2,FALSE)</f>
        <v>자켓</v>
      </c>
      <c r="Q467" t="str">
        <f>VLOOKUP(D467,상품정보!$A$2:$D$151,3,FALSE)</f>
        <v>의류</v>
      </c>
      <c r="R467" t="str">
        <f>VLOOKUP(D467,상품정보!$A$2:$D$151,4,FALSE)</f>
        <v>브랜드B</v>
      </c>
    </row>
    <row r="468" spans="1:18" x14ac:dyDescent="0.45">
      <c r="A468" t="s">
        <v>279</v>
      </c>
      <c r="B468" t="s">
        <v>867</v>
      </c>
      <c r="C468" t="s">
        <v>2439</v>
      </c>
      <c r="D468" t="s">
        <v>2587</v>
      </c>
      <c r="E468">
        <v>5</v>
      </c>
      <c r="F468">
        <v>50200</v>
      </c>
      <c r="G468">
        <v>0</v>
      </c>
      <c r="H468">
        <v>0</v>
      </c>
      <c r="I468" t="s">
        <v>2652</v>
      </c>
      <c r="J468" s="4">
        <f t="shared" si="21"/>
        <v>251000</v>
      </c>
      <c r="K468" s="4" t="str">
        <f t="shared" si="22"/>
        <v>2025-01</v>
      </c>
      <c r="L468" s="4" t="str">
        <f t="shared" si="23"/>
        <v>월</v>
      </c>
      <c r="M468" s="2" t="str">
        <f>VLOOKUP($C468, 고객정보!$A$2:$E$151, 2, FALSE)</f>
        <v>대구</v>
      </c>
      <c r="N468" t="str">
        <f>VLOOKUP(C468,고객정보!$A$2:$D$151,4,FALSE)</f>
        <v>L3</v>
      </c>
      <c r="O468" t="str">
        <f>VLOOKUP($C468, 고객정보!$A$2:$E$151, 5, FALSE)</f>
        <v>30대</v>
      </c>
      <c r="P468" t="str">
        <f>VLOOKUP(D468,상품정보!$A$2:$E$61,2,FALSE)</f>
        <v>반지</v>
      </c>
      <c r="Q468" t="str">
        <f>VLOOKUP(D468,상품정보!$A$2:$D$151,3,FALSE)</f>
        <v>액세서리</v>
      </c>
      <c r="R468" t="str">
        <f>VLOOKUP(D468,상품정보!$A$2:$D$151,4,FALSE)</f>
        <v>브랜드B</v>
      </c>
    </row>
    <row r="469" spans="1:18" x14ac:dyDescent="0.45">
      <c r="A469" t="s">
        <v>135</v>
      </c>
      <c r="B469" t="s">
        <v>868</v>
      </c>
      <c r="C469" t="s">
        <v>2513</v>
      </c>
      <c r="D469" t="s">
        <v>2564</v>
      </c>
      <c r="E469">
        <v>3</v>
      </c>
      <c r="F469">
        <v>66600</v>
      </c>
      <c r="G469">
        <v>0</v>
      </c>
      <c r="H469">
        <v>700</v>
      </c>
      <c r="I469" t="s">
        <v>2612</v>
      </c>
      <c r="J469" s="4">
        <f t="shared" si="21"/>
        <v>199100</v>
      </c>
      <c r="K469" s="4" t="str">
        <f t="shared" si="22"/>
        <v>2025-01</v>
      </c>
      <c r="L469" s="4" t="str">
        <f t="shared" si="23"/>
        <v>월</v>
      </c>
      <c r="M469" s="2" t="str">
        <f>VLOOKUP($C469, 고객정보!$A$2:$E$151, 2, FALSE)</f>
        <v>수원</v>
      </c>
      <c r="N469" t="str">
        <f>VLOOKUP(C469,고객정보!$A$2:$D$151,4,FALSE)</f>
        <v>L5</v>
      </c>
      <c r="O469" t="str">
        <f>VLOOKUP($C469, 고객정보!$A$2:$E$151, 5, FALSE)</f>
        <v>20대</v>
      </c>
      <c r="P469" t="str">
        <f>VLOOKUP(D469,상품정보!$A$2:$E$61,2,FALSE)</f>
        <v>청바지</v>
      </c>
      <c r="Q469" t="str">
        <f>VLOOKUP(D469,상품정보!$A$2:$D$151,3,FALSE)</f>
        <v>의류</v>
      </c>
      <c r="R469" t="str">
        <f>VLOOKUP(D469,상품정보!$A$2:$D$151,4,FALSE)</f>
        <v>브랜드B</v>
      </c>
    </row>
    <row r="470" spans="1:18" x14ac:dyDescent="0.45">
      <c r="A470" t="s">
        <v>39</v>
      </c>
      <c r="B470" t="s">
        <v>869</v>
      </c>
      <c r="C470" t="s">
        <v>2469</v>
      </c>
      <c r="D470" t="s">
        <v>2560</v>
      </c>
      <c r="E470">
        <v>4</v>
      </c>
      <c r="F470">
        <v>60600</v>
      </c>
      <c r="G470">
        <v>1000</v>
      </c>
      <c r="H470">
        <v>0</v>
      </c>
      <c r="I470" t="s">
        <v>2652</v>
      </c>
      <c r="J470" s="4">
        <f t="shared" si="21"/>
        <v>243400</v>
      </c>
      <c r="K470" s="4" t="str">
        <f t="shared" si="22"/>
        <v>2024-03</v>
      </c>
      <c r="L470" s="4" t="str">
        <f t="shared" si="23"/>
        <v>화</v>
      </c>
      <c r="M470" s="2" t="str">
        <f>VLOOKUP($C470, 고객정보!$A$2:$E$151, 2, FALSE)</f>
        <v>수원</v>
      </c>
      <c r="N470" t="str">
        <f>VLOOKUP(C470,고객정보!$A$2:$D$151,4,FALSE)</f>
        <v>L5</v>
      </c>
      <c r="O470" t="str">
        <f>VLOOKUP($C470, 고객정보!$A$2:$E$151, 5, FALSE)</f>
        <v>20대</v>
      </c>
      <c r="P470" t="str">
        <f>VLOOKUP(D470,상품정보!$A$2:$E$61,2,FALSE)</f>
        <v>반팔 티셔츠</v>
      </c>
      <c r="Q470" t="str">
        <f>VLOOKUP(D470,상품정보!$A$2:$D$151,3,FALSE)</f>
        <v>의류</v>
      </c>
      <c r="R470" t="str">
        <f>VLOOKUP(D470,상품정보!$A$2:$D$151,4,FALSE)</f>
        <v>브랜드F</v>
      </c>
    </row>
    <row r="471" spans="1:18" x14ac:dyDescent="0.45">
      <c r="A471" t="s">
        <v>75</v>
      </c>
      <c r="B471" t="s">
        <v>870</v>
      </c>
      <c r="C471" t="s">
        <v>2541</v>
      </c>
      <c r="D471" t="s">
        <v>2604</v>
      </c>
      <c r="E471">
        <v>5</v>
      </c>
      <c r="F471">
        <v>9700</v>
      </c>
      <c r="G471">
        <v>1500</v>
      </c>
      <c r="H471">
        <v>10000</v>
      </c>
      <c r="I471" t="s">
        <v>2614</v>
      </c>
      <c r="J471" s="4">
        <f t="shared" si="21"/>
        <v>40000</v>
      </c>
      <c r="K471" s="4" t="str">
        <f t="shared" si="22"/>
        <v>2024-03</v>
      </c>
      <c r="L471" s="4" t="str">
        <f t="shared" si="23"/>
        <v>월</v>
      </c>
      <c r="M471" s="2" t="str">
        <f>VLOOKUP($C471, 고객정보!$A$2:$E$151, 2, FALSE)</f>
        <v>대구</v>
      </c>
      <c r="N471" t="str">
        <f>VLOOKUP(C471,고객정보!$A$2:$D$151,4,FALSE)</f>
        <v>L5</v>
      </c>
      <c r="O471" t="str">
        <f>VLOOKUP($C471, 고객정보!$A$2:$E$151, 5, FALSE)</f>
        <v>30대</v>
      </c>
      <c r="P471" t="str">
        <f>VLOOKUP(D471,상품정보!$A$2:$E$61,2,FALSE)</f>
        <v>반팔 티셔츠</v>
      </c>
      <c r="Q471" t="str">
        <f>VLOOKUP(D471,상품정보!$A$2:$D$151,3,FALSE)</f>
        <v>의류</v>
      </c>
      <c r="R471" t="str">
        <f>VLOOKUP(D471,상품정보!$A$2:$D$151,4,FALSE)</f>
        <v>브랜드E</v>
      </c>
    </row>
    <row r="472" spans="1:18" x14ac:dyDescent="0.45">
      <c r="A472" t="s">
        <v>99</v>
      </c>
      <c r="B472" t="s">
        <v>871</v>
      </c>
      <c r="C472" t="s">
        <v>2470</v>
      </c>
      <c r="D472" t="s">
        <v>2564</v>
      </c>
      <c r="E472">
        <v>4</v>
      </c>
      <c r="F472">
        <v>66600</v>
      </c>
      <c r="G472">
        <v>500</v>
      </c>
      <c r="H472">
        <v>0</v>
      </c>
      <c r="I472" t="s">
        <v>2652</v>
      </c>
      <c r="J472" s="4">
        <f t="shared" si="21"/>
        <v>266900</v>
      </c>
      <c r="K472" s="4" t="str">
        <f t="shared" si="22"/>
        <v>2024-07</v>
      </c>
      <c r="L472" s="4" t="str">
        <f t="shared" si="23"/>
        <v>금</v>
      </c>
      <c r="M472" s="2" t="str">
        <f>VLOOKUP($C472, 고객정보!$A$2:$E$151, 2, FALSE)</f>
        <v>대전</v>
      </c>
      <c r="N472" t="str">
        <f>VLOOKUP(C472,고객정보!$A$2:$D$151,4,FALSE)</f>
        <v>L5</v>
      </c>
      <c r="O472" t="str">
        <f>VLOOKUP($C472, 고객정보!$A$2:$E$151, 5, FALSE)</f>
        <v>20대</v>
      </c>
      <c r="P472" t="str">
        <f>VLOOKUP(D472,상품정보!$A$2:$E$61,2,FALSE)</f>
        <v>청바지</v>
      </c>
      <c r="Q472" t="str">
        <f>VLOOKUP(D472,상품정보!$A$2:$D$151,3,FALSE)</f>
        <v>의류</v>
      </c>
      <c r="R472" t="str">
        <f>VLOOKUP(D472,상품정보!$A$2:$D$151,4,FALSE)</f>
        <v>브랜드B</v>
      </c>
    </row>
    <row r="473" spans="1:18" x14ac:dyDescent="0.45">
      <c r="A473" t="s">
        <v>120</v>
      </c>
      <c r="B473" t="s">
        <v>872</v>
      </c>
      <c r="C473" t="s">
        <v>2467</v>
      </c>
      <c r="D473" t="s">
        <v>2556</v>
      </c>
      <c r="E473">
        <v>5</v>
      </c>
      <c r="F473">
        <v>70100</v>
      </c>
      <c r="G473">
        <v>500</v>
      </c>
      <c r="H473">
        <v>3100</v>
      </c>
      <c r="I473" t="s">
        <v>2611</v>
      </c>
      <c r="J473" s="4">
        <f t="shared" si="21"/>
        <v>347900</v>
      </c>
      <c r="K473" s="4" t="str">
        <f t="shared" si="22"/>
        <v>2024-05</v>
      </c>
      <c r="L473" s="4" t="str">
        <f t="shared" si="23"/>
        <v>토</v>
      </c>
      <c r="M473" s="2" t="str">
        <f>VLOOKUP($C473, 고객정보!$A$2:$E$151, 2, FALSE)</f>
        <v>부산</v>
      </c>
      <c r="N473" t="str">
        <f>VLOOKUP(C473,고객정보!$A$2:$D$151,4,FALSE)</f>
        <v>L4</v>
      </c>
      <c r="O473" t="str">
        <f>VLOOKUP($C473, 고객정보!$A$2:$E$151, 5, FALSE)</f>
        <v>20대</v>
      </c>
      <c r="P473" t="str">
        <f>VLOOKUP(D473,상품정보!$A$2:$E$61,2,FALSE)</f>
        <v>핸드폰케이스</v>
      </c>
      <c r="Q473" t="str">
        <f>VLOOKUP(D473,상품정보!$A$2:$D$151,3,FALSE)</f>
        <v>액세서리</v>
      </c>
      <c r="R473" t="str">
        <f>VLOOKUP(D473,상품정보!$A$2:$D$151,4,FALSE)</f>
        <v>브랜드F</v>
      </c>
    </row>
    <row r="474" spans="1:18" x14ac:dyDescent="0.45">
      <c r="A474" t="s">
        <v>51</v>
      </c>
      <c r="B474" t="s">
        <v>873</v>
      </c>
      <c r="C474" t="s">
        <v>2457</v>
      </c>
      <c r="D474" t="s">
        <v>2607</v>
      </c>
      <c r="E474">
        <v>5</v>
      </c>
      <c r="F474">
        <v>16000</v>
      </c>
      <c r="G474">
        <v>0</v>
      </c>
      <c r="H474">
        <v>0</v>
      </c>
      <c r="I474" t="s">
        <v>2652</v>
      </c>
      <c r="J474" s="4">
        <f t="shared" si="21"/>
        <v>80000</v>
      </c>
      <c r="K474" s="4" t="str">
        <f t="shared" si="22"/>
        <v>2024-05</v>
      </c>
      <c r="L474" s="4" t="str">
        <f t="shared" si="23"/>
        <v>목</v>
      </c>
      <c r="M474" s="2" t="str">
        <f>VLOOKUP($C474, 고객정보!$A$2:$E$151, 2, FALSE)</f>
        <v>인천</v>
      </c>
      <c r="N474" t="str">
        <f>VLOOKUP(C474,고객정보!$A$2:$D$151,4,FALSE)</f>
        <v>L4</v>
      </c>
      <c r="O474" t="str">
        <f>VLOOKUP($C474, 고객정보!$A$2:$E$151, 5, FALSE)</f>
        <v>50대 이상</v>
      </c>
      <c r="P474" t="str">
        <f>VLOOKUP(D474,상품정보!$A$2:$E$61,2,FALSE)</f>
        <v>목걸이</v>
      </c>
      <c r="Q474" t="str">
        <f>VLOOKUP(D474,상품정보!$A$2:$D$151,3,FALSE)</f>
        <v>액세서리</v>
      </c>
      <c r="R474" t="str">
        <f>VLOOKUP(D474,상품정보!$A$2:$D$151,4,FALSE)</f>
        <v>브랜드E</v>
      </c>
    </row>
    <row r="475" spans="1:18" x14ac:dyDescent="0.45">
      <c r="A475" t="s">
        <v>280</v>
      </c>
      <c r="B475" t="s">
        <v>874</v>
      </c>
      <c r="C475" t="s">
        <v>2488</v>
      </c>
      <c r="D475" t="s">
        <v>2570</v>
      </c>
      <c r="E475">
        <v>4</v>
      </c>
      <c r="F475">
        <v>73900</v>
      </c>
      <c r="G475">
        <v>1000</v>
      </c>
      <c r="H475">
        <v>5900</v>
      </c>
      <c r="I475" t="s">
        <v>2611</v>
      </c>
      <c r="J475" s="4">
        <f t="shared" si="21"/>
        <v>290700</v>
      </c>
      <c r="K475" s="4" t="str">
        <f t="shared" si="22"/>
        <v>2024-04</v>
      </c>
      <c r="L475" s="4" t="str">
        <f t="shared" si="23"/>
        <v>화</v>
      </c>
      <c r="M475" s="2" t="str">
        <f>VLOOKUP($C475, 고객정보!$A$2:$E$151, 2, FALSE)</f>
        <v>서울</v>
      </c>
      <c r="N475" t="str">
        <f>VLOOKUP(C475,고객정보!$A$2:$D$151,4,FALSE)</f>
        <v>L3</v>
      </c>
      <c r="O475" t="str">
        <f>VLOOKUP($C475, 고객정보!$A$2:$E$151, 5, FALSE)</f>
        <v>40대</v>
      </c>
      <c r="P475" t="str">
        <f>VLOOKUP(D475,상품정보!$A$2:$E$61,2,FALSE)</f>
        <v>반지</v>
      </c>
      <c r="Q475" t="str">
        <f>VLOOKUP(D475,상품정보!$A$2:$D$151,3,FALSE)</f>
        <v>액세서리</v>
      </c>
      <c r="R475" t="str">
        <f>VLOOKUP(D475,상품정보!$A$2:$D$151,4,FALSE)</f>
        <v>브랜드B</v>
      </c>
    </row>
    <row r="476" spans="1:18" x14ac:dyDescent="0.45">
      <c r="A476" t="s">
        <v>281</v>
      </c>
      <c r="B476" t="s">
        <v>875</v>
      </c>
      <c r="C476" t="s">
        <v>2506</v>
      </c>
      <c r="D476" t="s">
        <v>2579</v>
      </c>
      <c r="E476">
        <v>5</v>
      </c>
      <c r="F476">
        <v>51000</v>
      </c>
      <c r="G476">
        <v>0</v>
      </c>
      <c r="H476">
        <v>0</v>
      </c>
      <c r="I476" t="s">
        <v>2652</v>
      </c>
      <c r="J476" s="4">
        <f t="shared" si="21"/>
        <v>255000</v>
      </c>
      <c r="K476" s="4" t="str">
        <f t="shared" si="22"/>
        <v>2024-08</v>
      </c>
      <c r="L476" s="4" t="str">
        <f t="shared" si="23"/>
        <v>화</v>
      </c>
      <c r="M476" s="2" t="str">
        <f>VLOOKUP($C476, 고객정보!$A$2:$E$151, 2, FALSE)</f>
        <v>광주</v>
      </c>
      <c r="N476" t="str">
        <f>VLOOKUP(C476,고객정보!$A$2:$D$151,4,FALSE)</f>
        <v>L2</v>
      </c>
      <c r="O476" t="str">
        <f>VLOOKUP($C476, 고객정보!$A$2:$E$151, 5, FALSE)</f>
        <v>50대 이상</v>
      </c>
      <c r="P476" t="str">
        <f>VLOOKUP(D476,상품정보!$A$2:$E$61,2,FALSE)</f>
        <v>핸드폰케이스</v>
      </c>
      <c r="Q476" t="str">
        <f>VLOOKUP(D476,상품정보!$A$2:$D$151,3,FALSE)</f>
        <v>액세서리</v>
      </c>
      <c r="R476" t="str">
        <f>VLOOKUP(D476,상품정보!$A$2:$D$151,4,FALSE)</f>
        <v>브랜드F</v>
      </c>
    </row>
    <row r="477" spans="1:18" x14ac:dyDescent="0.45">
      <c r="A477" t="s">
        <v>247</v>
      </c>
      <c r="B477" t="s">
        <v>876</v>
      </c>
      <c r="C477" t="s">
        <v>2507</v>
      </c>
      <c r="D477" t="s">
        <v>2587</v>
      </c>
      <c r="E477">
        <v>3</v>
      </c>
      <c r="F477">
        <v>50200</v>
      </c>
      <c r="G477">
        <v>0</v>
      </c>
      <c r="H477">
        <v>4700</v>
      </c>
      <c r="I477" t="s">
        <v>2613</v>
      </c>
      <c r="J477" s="4">
        <f t="shared" si="21"/>
        <v>145900</v>
      </c>
      <c r="K477" s="4" t="str">
        <f t="shared" si="22"/>
        <v>2024-07</v>
      </c>
      <c r="L477" s="4" t="str">
        <f t="shared" si="23"/>
        <v>일</v>
      </c>
      <c r="M477" s="2" t="str">
        <f>VLOOKUP($C477, 고객정보!$A$2:$E$151, 2, FALSE)</f>
        <v>대전</v>
      </c>
      <c r="N477" t="str">
        <f>VLOOKUP(C477,고객정보!$A$2:$D$151,4,FALSE)</f>
        <v>L2</v>
      </c>
      <c r="O477" t="str">
        <f>VLOOKUP($C477, 고객정보!$A$2:$E$151, 5, FALSE)</f>
        <v>40대</v>
      </c>
      <c r="P477" t="str">
        <f>VLOOKUP(D477,상품정보!$A$2:$E$61,2,FALSE)</f>
        <v>반지</v>
      </c>
      <c r="Q477" t="str">
        <f>VLOOKUP(D477,상품정보!$A$2:$D$151,3,FALSE)</f>
        <v>액세서리</v>
      </c>
      <c r="R477" t="str">
        <f>VLOOKUP(D477,상품정보!$A$2:$D$151,4,FALSE)</f>
        <v>브랜드B</v>
      </c>
    </row>
    <row r="478" spans="1:18" x14ac:dyDescent="0.45">
      <c r="A478" t="s">
        <v>94</v>
      </c>
      <c r="B478" t="s">
        <v>877</v>
      </c>
      <c r="C478" t="s">
        <v>2519</v>
      </c>
      <c r="D478" t="s">
        <v>2578</v>
      </c>
      <c r="E478">
        <v>4</v>
      </c>
      <c r="F478">
        <v>78000</v>
      </c>
      <c r="G478">
        <v>2000</v>
      </c>
      <c r="H478">
        <v>0</v>
      </c>
      <c r="I478" t="s">
        <v>2652</v>
      </c>
      <c r="J478" s="4">
        <f t="shared" si="21"/>
        <v>314000</v>
      </c>
      <c r="K478" s="4" t="str">
        <f t="shared" si="22"/>
        <v>2024-03</v>
      </c>
      <c r="L478" s="4" t="str">
        <f t="shared" si="23"/>
        <v>토</v>
      </c>
      <c r="M478" s="2" t="str">
        <f>VLOOKUP($C478, 고객정보!$A$2:$E$151, 2, FALSE)</f>
        <v>서울</v>
      </c>
      <c r="N478" t="str">
        <f>VLOOKUP(C478,고객정보!$A$2:$D$151,4,FALSE)</f>
        <v>L4</v>
      </c>
      <c r="O478" t="str">
        <f>VLOOKUP($C478, 고객정보!$A$2:$E$151, 5, FALSE)</f>
        <v>20대</v>
      </c>
      <c r="P478" t="str">
        <f>VLOOKUP(D478,상품정보!$A$2:$E$61,2,FALSE)</f>
        <v>귀걸이</v>
      </c>
      <c r="Q478" t="str">
        <f>VLOOKUP(D478,상품정보!$A$2:$D$151,3,FALSE)</f>
        <v>액세서리</v>
      </c>
      <c r="R478" t="str">
        <f>VLOOKUP(D478,상품정보!$A$2:$D$151,4,FALSE)</f>
        <v>브랜드B</v>
      </c>
    </row>
    <row r="479" spans="1:18" x14ac:dyDescent="0.45">
      <c r="A479" t="s">
        <v>278</v>
      </c>
      <c r="B479" t="s">
        <v>878</v>
      </c>
      <c r="C479" t="s">
        <v>2448</v>
      </c>
      <c r="D479" t="s">
        <v>2570</v>
      </c>
      <c r="E479">
        <v>5</v>
      </c>
      <c r="F479">
        <v>73900</v>
      </c>
      <c r="G479">
        <v>0</v>
      </c>
      <c r="H479">
        <v>0</v>
      </c>
      <c r="I479" t="s">
        <v>2652</v>
      </c>
      <c r="J479" s="4">
        <f t="shared" si="21"/>
        <v>369500</v>
      </c>
      <c r="K479" s="4" t="str">
        <f t="shared" si="22"/>
        <v>2024-03</v>
      </c>
      <c r="L479" s="4" t="str">
        <f t="shared" si="23"/>
        <v>월</v>
      </c>
      <c r="M479" s="2" t="str">
        <f>VLOOKUP($C479, 고객정보!$A$2:$E$151, 2, FALSE)</f>
        <v>광주</v>
      </c>
      <c r="N479" t="str">
        <f>VLOOKUP(C479,고객정보!$A$2:$D$151,4,FALSE)</f>
        <v>L3</v>
      </c>
      <c r="O479" t="str">
        <f>VLOOKUP($C479, 고객정보!$A$2:$E$151, 5, FALSE)</f>
        <v>50대 이상</v>
      </c>
      <c r="P479" t="str">
        <f>VLOOKUP(D479,상품정보!$A$2:$E$61,2,FALSE)</f>
        <v>반지</v>
      </c>
      <c r="Q479" t="str">
        <f>VLOOKUP(D479,상품정보!$A$2:$D$151,3,FALSE)</f>
        <v>액세서리</v>
      </c>
      <c r="R479" t="str">
        <f>VLOOKUP(D479,상품정보!$A$2:$D$151,4,FALSE)</f>
        <v>브랜드B</v>
      </c>
    </row>
    <row r="480" spans="1:18" x14ac:dyDescent="0.45">
      <c r="A480" t="s">
        <v>282</v>
      </c>
      <c r="B480" t="s">
        <v>879</v>
      </c>
      <c r="C480" t="s">
        <v>2531</v>
      </c>
      <c r="D480" t="s">
        <v>2596</v>
      </c>
      <c r="E480">
        <v>4</v>
      </c>
      <c r="F480">
        <v>59700</v>
      </c>
      <c r="G480">
        <v>0</v>
      </c>
      <c r="H480">
        <v>10600</v>
      </c>
      <c r="I480" t="s">
        <v>2612</v>
      </c>
      <c r="J480" s="4">
        <f t="shared" si="21"/>
        <v>228200</v>
      </c>
      <c r="K480" s="4" t="str">
        <f t="shared" si="22"/>
        <v>2024-07</v>
      </c>
      <c r="L480" s="4" t="str">
        <f t="shared" si="23"/>
        <v>화</v>
      </c>
      <c r="M480" s="2" t="str">
        <f>VLOOKUP($C480, 고객정보!$A$2:$E$151, 2, FALSE)</f>
        <v>서울</v>
      </c>
      <c r="N480" t="str">
        <f>VLOOKUP(C480,고객정보!$A$2:$D$151,4,FALSE)</f>
        <v>L4</v>
      </c>
      <c r="O480" t="str">
        <f>VLOOKUP($C480, 고객정보!$A$2:$E$151, 5, FALSE)</f>
        <v>40대</v>
      </c>
      <c r="P480" t="str">
        <f>VLOOKUP(D480,상품정보!$A$2:$E$61,2,FALSE)</f>
        <v>청바지</v>
      </c>
      <c r="Q480" t="str">
        <f>VLOOKUP(D480,상품정보!$A$2:$D$151,3,FALSE)</f>
        <v>의류</v>
      </c>
      <c r="R480" t="str">
        <f>VLOOKUP(D480,상품정보!$A$2:$D$151,4,FALSE)</f>
        <v>브랜드A</v>
      </c>
    </row>
    <row r="481" spans="1:18" x14ac:dyDescent="0.45">
      <c r="A481" t="s">
        <v>283</v>
      </c>
      <c r="B481" t="s">
        <v>880</v>
      </c>
      <c r="C481" t="s">
        <v>2472</v>
      </c>
      <c r="D481" t="s">
        <v>2568</v>
      </c>
      <c r="E481">
        <v>1</v>
      </c>
      <c r="F481">
        <v>16800</v>
      </c>
      <c r="G481">
        <v>500</v>
      </c>
      <c r="H481">
        <v>0</v>
      </c>
      <c r="I481" t="s">
        <v>2652</v>
      </c>
      <c r="J481" s="4">
        <f t="shared" si="21"/>
        <v>17300</v>
      </c>
      <c r="K481" s="4" t="str">
        <f t="shared" si="22"/>
        <v>2024-12</v>
      </c>
      <c r="L481" s="4" t="str">
        <f t="shared" si="23"/>
        <v>월</v>
      </c>
      <c r="M481" s="2" t="str">
        <f>VLOOKUP($C481, 고객정보!$A$2:$E$151, 2, FALSE)</f>
        <v>서울</v>
      </c>
      <c r="N481" t="str">
        <f>VLOOKUP(C481,고객정보!$A$2:$D$151,4,FALSE)</f>
        <v>L1</v>
      </c>
      <c r="O481" t="str">
        <f>VLOOKUP($C481, 고객정보!$A$2:$E$151, 5, FALSE)</f>
        <v>20대</v>
      </c>
      <c r="P481" t="str">
        <f>VLOOKUP(D481,상품정보!$A$2:$E$61,2,FALSE)</f>
        <v>청바지</v>
      </c>
      <c r="Q481" t="str">
        <f>VLOOKUP(D481,상품정보!$A$2:$D$151,3,FALSE)</f>
        <v>의류</v>
      </c>
      <c r="R481" t="str">
        <f>VLOOKUP(D481,상품정보!$A$2:$D$151,4,FALSE)</f>
        <v>브랜드C</v>
      </c>
    </row>
    <row r="482" spans="1:18" x14ac:dyDescent="0.45">
      <c r="A482" t="s">
        <v>120</v>
      </c>
      <c r="B482" t="s">
        <v>881</v>
      </c>
      <c r="C482" t="s">
        <v>2521</v>
      </c>
      <c r="D482" t="s">
        <v>2610</v>
      </c>
      <c r="E482">
        <v>1</v>
      </c>
      <c r="F482">
        <v>18800</v>
      </c>
      <c r="G482">
        <v>1500</v>
      </c>
      <c r="H482">
        <v>0</v>
      </c>
      <c r="I482" t="s">
        <v>2652</v>
      </c>
      <c r="J482" s="4">
        <f t="shared" si="21"/>
        <v>20300</v>
      </c>
      <c r="K482" s="4" t="str">
        <f t="shared" si="22"/>
        <v>2024-05</v>
      </c>
      <c r="L482" s="4" t="str">
        <f t="shared" si="23"/>
        <v>토</v>
      </c>
      <c r="M482" s="2" t="str">
        <f>VLOOKUP($C482, 고객정보!$A$2:$E$151, 2, FALSE)</f>
        <v>서울</v>
      </c>
      <c r="N482" t="str">
        <f>VLOOKUP(C482,고객정보!$A$2:$D$151,4,FALSE)</f>
        <v>L1</v>
      </c>
      <c r="O482" t="str">
        <f>VLOOKUP($C482, 고객정보!$A$2:$E$151, 5, FALSE)</f>
        <v>30대</v>
      </c>
      <c r="P482" t="str">
        <f>VLOOKUP(D482,상품정보!$A$2:$E$61,2,FALSE)</f>
        <v>자켓</v>
      </c>
      <c r="Q482" t="str">
        <f>VLOOKUP(D482,상품정보!$A$2:$D$151,3,FALSE)</f>
        <v>의류</v>
      </c>
      <c r="R482" t="str">
        <f>VLOOKUP(D482,상품정보!$A$2:$D$151,4,FALSE)</f>
        <v>브랜드E</v>
      </c>
    </row>
    <row r="483" spans="1:18" x14ac:dyDescent="0.45">
      <c r="A483" t="s">
        <v>145</v>
      </c>
      <c r="B483" t="s">
        <v>882</v>
      </c>
      <c r="C483" t="s">
        <v>2444</v>
      </c>
      <c r="D483" t="s">
        <v>2557</v>
      </c>
      <c r="E483">
        <v>2</v>
      </c>
      <c r="F483">
        <v>77700</v>
      </c>
      <c r="G483">
        <v>500</v>
      </c>
      <c r="H483">
        <v>0</v>
      </c>
      <c r="I483" t="s">
        <v>2652</v>
      </c>
      <c r="J483" s="4">
        <f t="shared" si="21"/>
        <v>155900</v>
      </c>
      <c r="K483" s="4" t="str">
        <f t="shared" si="22"/>
        <v>2024-05</v>
      </c>
      <c r="L483" s="4" t="str">
        <f t="shared" si="23"/>
        <v>일</v>
      </c>
      <c r="M483" s="2" t="str">
        <f>VLOOKUP($C483, 고객정보!$A$2:$E$151, 2, FALSE)</f>
        <v>서울</v>
      </c>
      <c r="N483" t="str">
        <f>VLOOKUP(C483,고객정보!$A$2:$D$151,4,FALSE)</f>
        <v>L4</v>
      </c>
      <c r="O483" t="str">
        <f>VLOOKUP($C483, 고객정보!$A$2:$E$151, 5, FALSE)</f>
        <v>40대</v>
      </c>
      <c r="P483" t="str">
        <f>VLOOKUP(D483,상품정보!$A$2:$E$61,2,FALSE)</f>
        <v>귀걸이</v>
      </c>
      <c r="Q483" t="str">
        <f>VLOOKUP(D483,상품정보!$A$2:$D$151,3,FALSE)</f>
        <v>액세서리</v>
      </c>
      <c r="R483" t="str">
        <f>VLOOKUP(D483,상품정보!$A$2:$D$151,4,FALSE)</f>
        <v>브랜드B</v>
      </c>
    </row>
    <row r="484" spans="1:18" x14ac:dyDescent="0.45">
      <c r="A484" t="s">
        <v>123</v>
      </c>
      <c r="B484" t="s">
        <v>883</v>
      </c>
      <c r="C484" t="s">
        <v>2516</v>
      </c>
      <c r="D484" t="s">
        <v>2590</v>
      </c>
      <c r="E484">
        <v>5</v>
      </c>
      <c r="F484">
        <v>68900</v>
      </c>
      <c r="G484">
        <v>0</v>
      </c>
      <c r="H484">
        <v>0</v>
      </c>
      <c r="I484" t="s">
        <v>2652</v>
      </c>
      <c r="J484" s="4">
        <f t="shared" si="21"/>
        <v>344500</v>
      </c>
      <c r="K484" s="4" t="str">
        <f t="shared" si="22"/>
        <v>2024-03</v>
      </c>
      <c r="L484" s="4" t="str">
        <f t="shared" si="23"/>
        <v>토</v>
      </c>
      <c r="M484" s="2" t="str">
        <f>VLOOKUP($C484, 고객정보!$A$2:$E$151, 2, FALSE)</f>
        <v>대전</v>
      </c>
      <c r="N484" t="str">
        <f>VLOOKUP(C484,고객정보!$A$2:$D$151,4,FALSE)</f>
        <v>L3</v>
      </c>
      <c r="O484" t="str">
        <f>VLOOKUP($C484, 고객정보!$A$2:$E$151, 5, FALSE)</f>
        <v>10대</v>
      </c>
      <c r="P484" t="str">
        <f>VLOOKUP(D484,상품정보!$A$2:$E$61,2,FALSE)</f>
        <v>반팔 티셔츠</v>
      </c>
      <c r="Q484" t="str">
        <f>VLOOKUP(D484,상품정보!$A$2:$D$151,3,FALSE)</f>
        <v>의류</v>
      </c>
      <c r="R484" t="str">
        <f>VLOOKUP(D484,상품정보!$A$2:$D$151,4,FALSE)</f>
        <v>브랜드A</v>
      </c>
    </row>
    <row r="485" spans="1:18" x14ac:dyDescent="0.45">
      <c r="A485" t="s">
        <v>270</v>
      </c>
      <c r="B485" t="s">
        <v>884</v>
      </c>
      <c r="C485" t="s">
        <v>2485</v>
      </c>
      <c r="D485" t="s">
        <v>2553</v>
      </c>
      <c r="E485">
        <v>2</v>
      </c>
      <c r="F485">
        <v>63400</v>
      </c>
      <c r="G485">
        <v>500</v>
      </c>
      <c r="H485">
        <v>0</v>
      </c>
      <c r="I485" t="s">
        <v>2652</v>
      </c>
      <c r="J485" s="4">
        <f t="shared" si="21"/>
        <v>127300</v>
      </c>
      <c r="K485" s="4" t="str">
        <f t="shared" si="22"/>
        <v>2024-08</v>
      </c>
      <c r="L485" s="4" t="str">
        <f t="shared" si="23"/>
        <v>일</v>
      </c>
      <c r="M485" s="2" t="str">
        <f>VLOOKUP($C485, 고객정보!$A$2:$E$151, 2, FALSE)</f>
        <v>서울</v>
      </c>
      <c r="N485" t="str">
        <f>VLOOKUP(C485,고객정보!$A$2:$D$151,4,FALSE)</f>
        <v>L4</v>
      </c>
      <c r="O485" t="str">
        <f>VLOOKUP($C485, 고객정보!$A$2:$E$151, 5, FALSE)</f>
        <v>40대</v>
      </c>
      <c r="P485" t="str">
        <f>VLOOKUP(D485,상품정보!$A$2:$E$61,2,FALSE)</f>
        <v>귀걸이</v>
      </c>
      <c r="Q485" t="str">
        <f>VLOOKUP(D485,상품정보!$A$2:$D$151,3,FALSE)</f>
        <v>액세서리</v>
      </c>
      <c r="R485" t="str">
        <f>VLOOKUP(D485,상품정보!$A$2:$D$151,4,FALSE)</f>
        <v>브랜드F</v>
      </c>
    </row>
    <row r="486" spans="1:18" x14ac:dyDescent="0.45">
      <c r="A486" t="s">
        <v>141</v>
      </c>
      <c r="B486" t="s">
        <v>885</v>
      </c>
      <c r="C486" t="s">
        <v>2542</v>
      </c>
      <c r="D486" t="s">
        <v>2568</v>
      </c>
      <c r="E486">
        <v>1</v>
      </c>
      <c r="F486">
        <v>16800</v>
      </c>
      <c r="G486">
        <v>500</v>
      </c>
      <c r="H486">
        <v>0</v>
      </c>
      <c r="I486" t="s">
        <v>2652</v>
      </c>
      <c r="J486" s="4">
        <f t="shared" si="21"/>
        <v>17300</v>
      </c>
      <c r="K486" s="4" t="str">
        <f t="shared" si="22"/>
        <v>2024-07</v>
      </c>
      <c r="L486" s="4" t="str">
        <f t="shared" si="23"/>
        <v>수</v>
      </c>
      <c r="M486" s="2" t="str">
        <f>VLOOKUP($C486, 고객정보!$A$2:$E$151, 2, FALSE)</f>
        <v>부산</v>
      </c>
      <c r="N486" t="str">
        <f>VLOOKUP(C486,고객정보!$A$2:$D$151,4,FALSE)</f>
        <v>L1</v>
      </c>
      <c r="O486" t="str">
        <f>VLOOKUP($C486, 고객정보!$A$2:$E$151, 5, FALSE)</f>
        <v>50대 이상</v>
      </c>
      <c r="P486" t="str">
        <f>VLOOKUP(D486,상품정보!$A$2:$E$61,2,FALSE)</f>
        <v>청바지</v>
      </c>
      <c r="Q486" t="str">
        <f>VLOOKUP(D486,상품정보!$A$2:$D$151,3,FALSE)</f>
        <v>의류</v>
      </c>
      <c r="R486" t="str">
        <f>VLOOKUP(D486,상품정보!$A$2:$D$151,4,FALSE)</f>
        <v>브랜드C</v>
      </c>
    </row>
    <row r="487" spans="1:18" x14ac:dyDescent="0.45">
      <c r="A487" t="s">
        <v>251</v>
      </c>
      <c r="B487" t="s">
        <v>886</v>
      </c>
      <c r="C487" t="s">
        <v>2455</v>
      </c>
      <c r="D487" t="s">
        <v>2575</v>
      </c>
      <c r="E487">
        <v>5</v>
      </c>
      <c r="F487">
        <v>7200</v>
      </c>
      <c r="G487">
        <v>500</v>
      </c>
      <c r="H487">
        <v>10000</v>
      </c>
      <c r="I487" t="s">
        <v>2613</v>
      </c>
      <c r="J487" s="4">
        <f t="shared" si="21"/>
        <v>26500</v>
      </c>
      <c r="K487" s="4" t="str">
        <f t="shared" si="22"/>
        <v>2024-07</v>
      </c>
      <c r="L487" s="4" t="str">
        <f t="shared" si="23"/>
        <v>수</v>
      </c>
      <c r="M487" s="2" t="str">
        <f>VLOOKUP($C487, 고객정보!$A$2:$E$151, 2, FALSE)</f>
        <v>서울</v>
      </c>
      <c r="N487" t="str">
        <f>VLOOKUP(C487,고객정보!$A$2:$D$151,4,FALSE)</f>
        <v>L5</v>
      </c>
      <c r="O487" t="str">
        <f>VLOOKUP($C487, 고객정보!$A$2:$E$151, 5, FALSE)</f>
        <v>20대</v>
      </c>
      <c r="P487" t="str">
        <f>VLOOKUP(D487,상품정보!$A$2:$E$61,2,FALSE)</f>
        <v>반지</v>
      </c>
      <c r="Q487" t="str">
        <f>VLOOKUP(D487,상품정보!$A$2:$D$151,3,FALSE)</f>
        <v>액세서리</v>
      </c>
      <c r="R487" t="str">
        <f>VLOOKUP(D487,상품정보!$A$2:$D$151,4,FALSE)</f>
        <v>브랜드E</v>
      </c>
    </row>
    <row r="488" spans="1:18" x14ac:dyDescent="0.45">
      <c r="A488" t="s">
        <v>251</v>
      </c>
      <c r="B488" t="s">
        <v>887</v>
      </c>
      <c r="C488" t="s">
        <v>2467</v>
      </c>
      <c r="D488" t="s">
        <v>2559</v>
      </c>
      <c r="E488">
        <v>1</v>
      </c>
      <c r="F488">
        <v>5400</v>
      </c>
      <c r="G488">
        <v>0</v>
      </c>
      <c r="H488">
        <v>0</v>
      </c>
      <c r="I488" t="s">
        <v>2652</v>
      </c>
      <c r="J488" s="4">
        <f t="shared" si="21"/>
        <v>5400</v>
      </c>
      <c r="K488" s="4" t="str">
        <f t="shared" si="22"/>
        <v>2024-07</v>
      </c>
      <c r="L488" s="4" t="str">
        <f t="shared" si="23"/>
        <v>수</v>
      </c>
      <c r="M488" s="2" t="str">
        <f>VLOOKUP($C488, 고객정보!$A$2:$E$151, 2, FALSE)</f>
        <v>부산</v>
      </c>
      <c r="N488" t="str">
        <f>VLOOKUP(C488,고객정보!$A$2:$D$151,4,FALSE)</f>
        <v>L4</v>
      </c>
      <c r="O488" t="str">
        <f>VLOOKUP($C488, 고객정보!$A$2:$E$151, 5, FALSE)</f>
        <v>20대</v>
      </c>
      <c r="P488" t="str">
        <f>VLOOKUP(D488,상품정보!$A$2:$E$61,2,FALSE)</f>
        <v>반지</v>
      </c>
      <c r="Q488" t="str">
        <f>VLOOKUP(D488,상품정보!$A$2:$D$151,3,FALSE)</f>
        <v>액세서리</v>
      </c>
      <c r="R488" t="str">
        <f>VLOOKUP(D488,상품정보!$A$2:$D$151,4,FALSE)</f>
        <v>브랜드D</v>
      </c>
    </row>
    <row r="489" spans="1:18" x14ac:dyDescent="0.45">
      <c r="A489" t="s">
        <v>71</v>
      </c>
      <c r="B489" t="s">
        <v>888</v>
      </c>
      <c r="C489" t="s">
        <v>2402</v>
      </c>
      <c r="D489" t="s">
        <v>2551</v>
      </c>
      <c r="E489">
        <v>3</v>
      </c>
      <c r="F489">
        <v>66600</v>
      </c>
      <c r="G489">
        <v>0</v>
      </c>
      <c r="H489">
        <v>0</v>
      </c>
      <c r="I489" t="s">
        <v>2652</v>
      </c>
      <c r="J489" s="4">
        <f t="shared" si="21"/>
        <v>199800</v>
      </c>
      <c r="K489" s="4" t="str">
        <f t="shared" si="22"/>
        <v>2024-02</v>
      </c>
      <c r="L489" s="4" t="str">
        <f t="shared" si="23"/>
        <v>화</v>
      </c>
      <c r="M489" s="2" t="str">
        <f>VLOOKUP($C489, 고객정보!$A$2:$E$151, 2, FALSE)</f>
        <v>서울</v>
      </c>
      <c r="N489" t="str">
        <f>VLOOKUP(C489,고객정보!$A$2:$D$151,4,FALSE)</f>
        <v>L2</v>
      </c>
      <c r="O489" t="str">
        <f>VLOOKUP($C489, 고객정보!$A$2:$E$151, 5, FALSE)</f>
        <v>30대</v>
      </c>
      <c r="P489" t="str">
        <f>VLOOKUP(D489,상품정보!$A$2:$E$61,2,FALSE)</f>
        <v>반지</v>
      </c>
      <c r="Q489" t="str">
        <f>VLOOKUP(D489,상품정보!$A$2:$D$151,3,FALSE)</f>
        <v>액세서리</v>
      </c>
      <c r="R489" t="str">
        <f>VLOOKUP(D489,상품정보!$A$2:$D$151,4,FALSE)</f>
        <v>브랜드B</v>
      </c>
    </row>
    <row r="490" spans="1:18" x14ac:dyDescent="0.45">
      <c r="A490" t="s">
        <v>278</v>
      </c>
      <c r="B490" t="s">
        <v>889</v>
      </c>
      <c r="C490" t="s">
        <v>2526</v>
      </c>
      <c r="D490" t="s">
        <v>2577</v>
      </c>
      <c r="E490">
        <v>2</v>
      </c>
      <c r="F490">
        <v>10200</v>
      </c>
      <c r="G490">
        <v>500</v>
      </c>
      <c r="H490">
        <v>300</v>
      </c>
      <c r="I490" t="s">
        <v>2612</v>
      </c>
      <c r="J490" s="4">
        <f t="shared" si="21"/>
        <v>20600</v>
      </c>
      <c r="K490" s="4" t="str">
        <f t="shared" si="22"/>
        <v>2024-03</v>
      </c>
      <c r="L490" s="4" t="str">
        <f t="shared" si="23"/>
        <v>월</v>
      </c>
      <c r="M490" s="2" t="str">
        <f>VLOOKUP($C490, 고객정보!$A$2:$E$151, 2, FALSE)</f>
        <v>부산</v>
      </c>
      <c r="N490" t="str">
        <f>VLOOKUP(C490,고객정보!$A$2:$D$151,4,FALSE)</f>
        <v>L3</v>
      </c>
      <c r="O490" t="str">
        <f>VLOOKUP($C490, 고객정보!$A$2:$E$151, 5, FALSE)</f>
        <v>10대</v>
      </c>
      <c r="P490" t="str">
        <f>VLOOKUP(D490,상품정보!$A$2:$E$61,2,FALSE)</f>
        <v>셔츠</v>
      </c>
      <c r="Q490" t="str">
        <f>VLOOKUP(D490,상품정보!$A$2:$D$151,3,FALSE)</f>
        <v>의류</v>
      </c>
      <c r="R490" t="str">
        <f>VLOOKUP(D490,상품정보!$A$2:$D$151,4,FALSE)</f>
        <v>브랜드C</v>
      </c>
    </row>
    <row r="491" spans="1:18" x14ac:dyDescent="0.45">
      <c r="A491" t="s">
        <v>76</v>
      </c>
      <c r="B491" t="s">
        <v>890</v>
      </c>
      <c r="C491" t="s">
        <v>2483</v>
      </c>
      <c r="D491" t="s">
        <v>2595</v>
      </c>
      <c r="E491">
        <v>4</v>
      </c>
      <c r="F491">
        <v>12700</v>
      </c>
      <c r="G491">
        <v>500</v>
      </c>
      <c r="H491">
        <v>9300</v>
      </c>
      <c r="I491" t="s">
        <v>2614</v>
      </c>
      <c r="J491" s="4">
        <f t="shared" si="21"/>
        <v>42000</v>
      </c>
      <c r="K491" s="4" t="str">
        <f t="shared" si="22"/>
        <v>2024-12</v>
      </c>
      <c r="L491" s="4" t="str">
        <f t="shared" si="23"/>
        <v>일</v>
      </c>
      <c r="M491" s="2" t="str">
        <f>VLOOKUP($C491, 고객정보!$A$2:$E$151, 2, FALSE)</f>
        <v>인천</v>
      </c>
      <c r="N491" t="str">
        <f>VLOOKUP(C491,고객정보!$A$2:$D$151,4,FALSE)</f>
        <v>L1</v>
      </c>
      <c r="O491" t="str">
        <f>VLOOKUP($C491, 고객정보!$A$2:$E$151, 5, FALSE)</f>
        <v>30대</v>
      </c>
      <c r="P491" t="str">
        <f>VLOOKUP(D491,상품정보!$A$2:$E$61,2,FALSE)</f>
        <v>반지</v>
      </c>
      <c r="Q491" t="str">
        <f>VLOOKUP(D491,상품정보!$A$2:$D$151,3,FALSE)</f>
        <v>액세서리</v>
      </c>
      <c r="R491" t="str">
        <f>VLOOKUP(D491,상품정보!$A$2:$D$151,4,FALSE)</f>
        <v>브랜드C</v>
      </c>
    </row>
    <row r="492" spans="1:18" x14ac:dyDescent="0.45">
      <c r="A492" t="s">
        <v>284</v>
      </c>
      <c r="B492" t="s">
        <v>891</v>
      </c>
      <c r="C492" t="s">
        <v>2430</v>
      </c>
      <c r="D492" t="s">
        <v>2557</v>
      </c>
      <c r="E492">
        <v>4</v>
      </c>
      <c r="F492">
        <v>77700</v>
      </c>
      <c r="G492">
        <v>500</v>
      </c>
      <c r="H492">
        <v>0</v>
      </c>
      <c r="I492" t="s">
        <v>2652</v>
      </c>
      <c r="J492" s="4">
        <f t="shared" si="21"/>
        <v>311300</v>
      </c>
      <c r="K492" s="4" t="str">
        <f t="shared" si="22"/>
        <v>2024-08</v>
      </c>
      <c r="L492" s="4" t="str">
        <f t="shared" si="23"/>
        <v>토</v>
      </c>
      <c r="M492" s="2" t="str">
        <f>VLOOKUP($C492, 고객정보!$A$2:$E$151, 2, FALSE)</f>
        <v>광주</v>
      </c>
      <c r="N492" t="str">
        <f>VLOOKUP(C492,고객정보!$A$2:$D$151,4,FALSE)</f>
        <v>L4</v>
      </c>
      <c r="O492" t="str">
        <f>VLOOKUP($C492, 고객정보!$A$2:$E$151, 5, FALSE)</f>
        <v>30대</v>
      </c>
      <c r="P492" t="str">
        <f>VLOOKUP(D492,상품정보!$A$2:$E$61,2,FALSE)</f>
        <v>귀걸이</v>
      </c>
      <c r="Q492" t="str">
        <f>VLOOKUP(D492,상품정보!$A$2:$D$151,3,FALSE)</f>
        <v>액세서리</v>
      </c>
      <c r="R492" t="str">
        <f>VLOOKUP(D492,상품정보!$A$2:$D$151,4,FALSE)</f>
        <v>브랜드B</v>
      </c>
    </row>
    <row r="493" spans="1:18" x14ac:dyDescent="0.45">
      <c r="A493" t="s">
        <v>285</v>
      </c>
      <c r="B493" t="s">
        <v>892</v>
      </c>
      <c r="C493" t="s">
        <v>2408</v>
      </c>
      <c r="D493" t="s">
        <v>2590</v>
      </c>
      <c r="E493">
        <v>1</v>
      </c>
      <c r="F493">
        <v>68900</v>
      </c>
      <c r="G493">
        <v>1000</v>
      </c>
      <c r="H493">
        <v>0</v>
      </c>
      <c r="I493" t="s">
        <v>2652</v>
      </c>
      <c r="J493" s="4">
        <f t="shared" si="21"/>
        <v>69900</v>
      </c>
      <c r="K493" s="4" t="str">
        <f t="shared" si="22"/>
        <v>2024-01</v>
      </c>
      <c r="L493" s="4" t="str">
        <f t="shared" si="23"/>
        <v>수</v>
      </c>
      <c r="M493" s="2" t="str">
        <f>VLOOKUP($C493, 고객정보!$A$2:$E$151, 2, FALSE)</f>
        <v>수원</v>
      </c>
      <c r="N493" t="str">
        <f>VLOOKUP(C493,고객정보!$A$2:$D$151,4,FALSE)</f>
        <v>L5</v>
      </c>
      <c r="O493" t="str">
        <f>VLOOKUP($C493, 고객정보!$A$2:$E$151, 5, FALSE)</f>
        <v>20대</v>
      </c>
      <c r="P493" t="str">
        <f>VLOOKUP(D493,상품정보!$A$2:$E$61,2,FALSE)</f>
        <v>반팔 티셔츠</v>
      </c>
      <c r="Q493" t="str">
        <f>VLOOKUP(D493,상품정보!$A$2:$D$151,3,FALSE)</f>
        <v>의류</v>
      </c>
      <c r="R493" t="str">
        <f>VLOOKUP(D493,상품정보!$A$2:$D$151,4,FALSE)</f>
        <v>브랜드A</v>
      </c>
    </row>
    <row r="494" spans="1:18" x14ac:dyDescent="0.45">
      <c r="A494" t="s">
        <v>116</v>
      </c>
      <c r="B494" t="s">
        <v>893</v>
      </c>
      <c r="C494" t="s">
        <v>2505</v>
      </c>
      <c r="D494" t="s">
        <v>2572</v>
      </c>
      <c r="E494">
        <v>2</v>
      </c>
      <c r="F494">
        <v>61700</v>
      </c>
      <c r="G494">
        <v>0</v>
      </c>
      <c r="H494">
        <v>0</v>
      </c>
      <c r="I494" t="s">
        <v>2652</v>
      </c>
      <c r="J494" s="4">
        <f t="shared" si="21"/>
        <v>123400</v>
      </c>
      <c r="K494" s="4" t="str">
        <f t="shared" si="22"/>
        <v>2024-10</v>
      </c>
      <c r="L494" s="4" t="str">
        <f t="shared" si="23"/>
        <v>월</v>
      </c>
      <c r="M494" s="2" t="str">
        <f>VLOOKUP($C494, 고객정보!$A$2:$E$151, 2, FALSE)</f>
        <v>대구</v>
      </c>
      <c r="N494" t="str">
        <f>VLOOKUP(C494,고객정보!$A$2:$D$151,4,FALSE)</f>
        <v>L4</v>
      </c>
      <c r="O494" t="str">
        <f>VLOOKUP($C494, 고객정보!$A$2:$E$151, 5, FALSE)</f>
        <v>40대</v>
      </c>
      <c r="P494" t="str">
        <f>VLOOKUP(D494,상품정보!$A$2:$E$61,2,FALSE)</f>
        <v>반팔 티셔츠</v>
      </c>
      <c r="Q494" t="str">
        <f>VLOOKUP(D494,상품정보!$A$2:$D$151,3,FALSE)</f>
        <v>의류</v>
      </c>
      <c r="R494" t="str">
        <f>VLOOKUP(D494,상품정보!$A$2:$D$151,4,FALSE)</f>
        <v>브랜드F</v>
      </c>
    </row>
    <row r="495" spans="1:18" x14ac:dyDescent="0.45">
      <c r="A495" t="s">
        <v>193</v>
      </c>
      <c r="B495" t="s">
        <v>894</v>
      </c>
      <c r="C495" t="s">
        <v>2441</v>
      </c>
      <c r="D495" t="s">
        <v>2609</v>
      </c>
      <c r="E495">
        <v>1</v>
      </c>
      <c r="F495">
        <v>58600</v>
      </c>
      <c r="G495">
        <v>0</v>
      </c>
      <c r="H495">
        <v>0</v>
      </c>
      <c r="I495" t="s">
        <v>2652</v>
      </c>
      <c r="J495" s="4">
        <f t="shared" si="21"/>
        <v>58600</v>
      </c>
      <c r="K495" s="4" t="str">
        <f t="shared" si="22"/>
        <v>2024-05</v>
      </c>
      <c r="L495" s="4" t="str">
        <f t="shared" si="23"/>
        <v>월</v>
      </c>
      <c r="M495" s="2" t="str">
        <f>VLOOKUP($C495, 고객정보!$A$2:$E$151, 2, FALSE)</f>
        <v>부산</v>
      </c>
      <c r="N495" t="str">
        <f>VLOOKUP(C495,고객정보!$A$2:$D$151,4,FALSE)</f>
        <v>L2</v>
      </c>
      <c r="O495" t="str">
        <f>VLOOKUP($C495, 고객정보!$A$2:$E$151, 5, FALSE)</f>
        <v>20대</v>
      </c>
      <c r="P495" t="str">
        <f>VLOOKUP(D495,상품정보!$A$2:$E$61,2,FALSE)</f>
        <v>목걸이</v>
      </c>
      <c r="Q495" t="str">
        <f>VLOOKUP(D495,상품정보!$A$2:$D$151,3,FALSE)</f>
        <v>액세서리</v>
      </c>
      <c r="R495" t="str">
        <f>VLOOKUP(D495,상품정보!$A$2:$D$151,4,FALSE)</f>
        <v>브랜드F</v>
      </c>
    </row>
    <row r="496" spans="1:18" x14ac:dyDescent="0.45">
      <c r="A496" t="s">
        <v>286</v>
      </c>
      <c r="B496" t="s">
        <v>895</v>
      </c>
      <c r="C496" t="s">
        <v>2467</v>
      </c>
      <c r="D496" t="s">
        <v>2600</v>
      </c>
      <c r="E496">
        <v>1</v>
      </c>
      <c r="F496">
        <v>10900</v>
      </c>
      <c r="G496">
        <v>1500</v>
      </c>
      <c r="H496">
        <v>0</v>
      </c>
      <c r="I496" t="s">
        <v>2652</v>
      </c>
      <c r="J496" s="4">
        <f t="shared" si="21"/>
        <v>12400</v>
      </c>
      <c r="K496" s="4" t="str">
        <f t="shared" si="22"/>
        <v>2024-01</v>
      </c>
      <c r="L496" s="4" t="str">
        <f t="shared" si="23"/>
        <v>목</v>
      </c>
      <c r="M496" s="2" t="str">
        <f>VLOOKUP($C496, 고객정보!$A$2:$E$151, 2, FALSE)</f>
        <v>부산</v>
      </c>
      <c r="N496" t="str">
        <f>VLOOKUP(C496,고객정보!$A$2:$D$151,4,FALSE)</f>
        <v>L4</v>
      </c>
      <c r="O496" t="str">
        <f>VLOOKUP($C496, 고객정보!$A$2:$E$151, 5, FALSE)</f>
        <v>20대</v>
      </c>
      <c r="P496" t="str">
        <f>VLOOKUP(D496,상품정보!$A$2:$E$61,2,FALSE)</f>
        <v>셔츠</v>
      </c>
      <c r="Q496" t="str">
        <f>VLOOKUP(D496,상품정보!$A$2:$D$151,3,FALSE)</f>
        <v>의류</v>
      </c>
      <c r="R496" t="str">
        <f>VLOOKUP(D496,상품정보!$A$2:$D$151,4,FALSE)</f>
        <v>브랜드E</v>
      </c>
    </row>
    <row r="497" spans="1:18" x14ac:dyDescent="0.45">
      <c r="A497" t="s">
        <v>86</v>
      </c>
      <c r="B497" t="s">
        <v>896</v>
      </c>
      <c r="C497" t="s">
        <v>2509</v>
      </c>
      <c r="D497" t="s">
        <v>2592</v>
      </c>
      <c r="E497">
        <v>5</v>
      </c>
      <c r="F497">
        <v>72700</v>
      </c>
      <c r="G497">
        <v>1500</v>
      </c>
      <c r="H497">
        <v>0</v>
      </c>
      <c r="I497" t="s">
        <v>2652</v>
      </c>
      <c r="J497" s="4">
        <f t="shared" si="21"/>
        <v>365000</v>
      </c>
      <c r="K497" s="4" t="str">
        <f t="shared" si="22"/>
        <v>2024-08</v>
      </c>
      <c r="L497" s="4" t="str">
        <f t="shared" si="23"/>
        <v>목</v>
      </c>
      <c r="M497" s="2" t="str">
        <f>VLOOKUP($C497, 고객정보!$A$2:$E$151, 2, FALSE)</f>
        <v>서울</v>
      </c>
      <c r="N497" t="str">
        <f>VLOOKUP(C497,고객정보!$A$2:$D$151,4,FALSE)</f>
        <v>L4</v>
      </c>
      <c r="O497" t="str">
        <f>VLOOKUP($C497, 고객정보!$A$2:$E$151, 5, FALSE)</f>
        <v>40대</v>
      </c>
      <c r="P497" t="str">
        <f>VLOOKUP(D497,상품정보!$A$2:$E$61,2,FALSE)</f>
        <v>귀걸이</v>
      </c>
      <c r="Q497" t="str">
        <f>VLOOKUP(D497,상품정보!$A$2:$D$151,3,FALSE)</f>
        <v>액세서리</v>
      </c>
      <c r="R497" t="str">
        <f>VLOOKUP(D497,상품정보!$A$2:$D$151,4,FALSE)</f>
        <v>브랜드A</v>
      </c>
    </row>
    <row r="498" spans="1:18" x14ac:dyDescent="0.45">
      <c r="A498" t="s">
        <v>40</v>
      </c>
      <c r="B498" t="s">
        <v>897</v>
      </c>
      <c r="C498" t="s">
        <v>2433</v>
      </c>
      <c r="D498" t="s">
        <v>2580</v>
      </c>
      <c r="E498">
        <v>4</v>
      </c>
      <c r="F498">
        <v>77800</v>
      </c>
      <c r="G498">
        <v>500</v>
      </c>
      <c r="H498">
        <v>0</v>
      </c>
      <c r="I498" t="s">
        <v>2652</v>
      </c>
      <c r="J498" s="4">
        <f t="shared" si="21"/>
        <v>311700</v>
      </c>
      <c r="K498" s="4" t="str">
        <f t="shared" si="22"/>
        <v>2024-11</v>
      </c>
      <c r="L498" s="4" t="str">
        <f t="shared" si="23"/>
        <v>금</v>
      </c>
      <c r="M498" s="2" t="str">
        <f>VLOOKUP($C498, 고객정보!$A$2:$E$151, 2, FALSE)</f>
        <v>부산</v>
      </c>
      <c r="N498" t="str">
        <f>VLOOKUP(C498,고객정보!$A$2:$D$151,4,FALSE)</f>
        <v>L3</v>
      </c>
      <c r="O498" t="str">
        <f>VLOOKUP($C498, 고객정보!$A$2:$E$151, 5, FALSE)</f>
        <v>10대</v>
      </c>
      <c r="P498" t="str">
        <f>VLOOKUP(D498,상품정보!$A$2:$E$61,2,FALSE)</f>
        <v>청바지</v>
      </c>
      <c r="Q498" t="str">
        <f>VLOOKUP(D498,상품정보!$A$2:$D$151,3,FALSE)</f>
        <v>의류</v>
      </c>
      <c r="R498" t="str">
        <f>VLOOKUP(D498,상품정보!$A$2:$D$151,4,FALSE)</f>
        <v>브랜드A</v>
      </c>
    </row>
    <row r="499" spans="1:18" x14ac:dyDescent="0.45">
      <c r="A499" t="s">
        <v>287</v>
      </c>
      <c r="B499" t="s">
        <v>898</v>
      </c>
      <c r="C499" t="s">
        <v>2436</v>
      </c>
      <c r="D499" t="s">
        <v>2551</v>
      </c>
      <c r="E499">
        <v>5</v>
      </c>
      <c r="F499">
        <v>66600</v>
      </c>
      <c r="G499">
        <v>0</v>
      </c>
      <c r="H499">
        <v>0</v>
      </c>
      <c r="I499" t="s">
        <v>2652</v>
      </c>
      <c r="J499" s="4">
        <f t="shared" si="21"/>
        <v>333000</v>
      </c>
      <c r="K499" s="4" t="str">
        <f t="shared" si="22"/>
        <v>2024-10</v>
      </c>
      <c r="L499" s="4" t="str">
        <f t="shared" si="23"/>
        <v>월</v>
      </c>
      <c r="M499" s="2" t="str">
        <f>VLOOKUP($C499, 고객정보!$A$2:$E$151, 2, FALSE)</f>
        <v>인천</v>
      </c>
      <c r="N499" t="str">
        <f>VLOOKUP(C499,고객정보!$A$2:$D$151,4,FALSE)</f>
        <v>L4</v>
      </c>
      <c r="O499" t="str">
        <f>VLOOKUP($C499, 고객정보!$A$2:$E$151, 5, FALSE)</f>
        <v>10대</v>
      </c>
      <c r="P499" t="str">
        <f>VLOOKUP(D499,상품정보!$A$2:$E$61,2,FALSE)</f>
        <v>반지</v>
      </c>
      <c r="Q499" t="str">
        <f>VLOOKUP(D499,상품정보!$A$2:$D$151,3,FALSE)</f>
        <v>액세서리</v>
      </c>
      <c r="R499" t="str">
        <f>VLOOKUP(D499,상품정보!$A$2:$D$151,4,FALSE)</f>
        <v>브랜드B</v>
      </c>
    </row>
    <row r="500" spans="1:18" x14ac:dyDescent="0.45">
      <c r="A500" t="s">
        <v>288</v>
      </c>
      <c r="B500" t="s">
        <v>899</v>
      </c>
      <c r="C500" t="s">
        <v>2509</v>
      </c>
      <c r="D500" t="s">
        <v>2588</v>
      </c>
      <c r="E500">
        <v>2</v>
      </c>
      <c r="F500">
        <v>7700</v>
      </c>
      <c r="G500">
        <v>1000</v>
      </c>
      <c r="H500">
        <v>500</v>
      </c>
      <c r="I500" t="s">
        <v>2612</v>
      </c>
      <c r="J500" s="4">
        <f t="shared" si="21"/>
        <v>15900</v>
      </c>
      <c r="K500" s="4" t="str">
        <f t="shared" si="22"/>
        <v>2024-05</v>
      </c>
      <c r="L500" s="4" t="str">
        <f t="shared" si="23"/>
        <v>수</v>
      </c>
      <c r="M500" s="2" t="str">
        <f>VLOOKUP($C500, 고객정보!$A$2:$E$151, 2, FALSE)</f>
        <v>서울</v>
      </c>
      <c r="N500" t="str">
        <f>VLOOKUP(C500,고객정보!$A$2:$D$151,4,FALSE)</f>
        <v>L4</v>
      </c>
      <c r="O500" t="str">
        <f>VLOOKUP($C500, 고객정보!$A$2:$E$151, 5, FALSE)</f>
        <v>40대</v>
      </c>
      <c r="P500" t="str">
        <f>VLOOKUP(D500,상품정보!$A$2:$E$61,2,FALSE)</f>
        <v>귀걸이</v>
      </c>
      <c r="Q500" t="str">
        <f>VLOOKUP(D500,상품정보!$A$2:$D$151,3,FALSE)</f>
        <v>액세서리</v>
      </c>
      <c r="R500" t="str">
        <f>VLOOKUP(D500,상품정보!$A$2:$D$151,4,FALSE)</f>
        <v>브랜드D</v>
      </c>
    </row>
    <row r="501" spans="1:18" x14ac:dyDescent="0.45">
      <c r="A501" t="s">
        <v>289</v>
      </c>
      <c r="B501" t="s">
        <v>900</v>
      </c>
      <c r="C501" t="s">
        <v>2501</v>
      </c>
      <c r="D501" t="s">
        <v>2594</v>
      </c>
      <c r="E501">
        <v>5</v>
      </c>
      <c r="F501">
        <v>73000</v>
      </c>
      <c r="G501">
        <v>0</v>
      </c>
      <c r="H501">
        <v>24500</v>
      </c>
      <c r="I501" t="s">
        <v>2611</v>
      </c>
      <c r="J501" s="4">
        <f t="shared" si="21"/>
        <v>340500</v>
      </c>
      <c r="K501" s="4" t="str">
        <f t="shared" si="22"/>
        <v>2024-06</v>
      </c>
      <c r="L501" s="4" t="str">
        <f t="shared" si="23"/>
        <v>토</v>
      </c>
      <c r="M501" s="2" t="str">
        <f>VLOOKUP($C501, 고객정보!$A$2:$E$151, 2, FALSE)</f>
        <v>서울</v>
      </c>
      <c r="N501" t="str">
        <f>VLOOKUP(C501,고객정보!$A$2:$D$151,4,FALSE)</f>
        <v>L4</v>
      </c>
      <c r="O501" t="str">
        <f>VLOOKUP($C501, 고객정보!$A$2:$E$151, 5, FALSE)</f>
        <v>50대 이상</v>
      </c>
      <c r="P501" t="str">
        <f>VLOOKUP(D501,상품정보!$A$2:$E$61,2,FALSE)</f>
        <v>자켓</v>
      </c>
      <c r="Q501" t="str">
        <f>VLOOKUP(D501,상품정보!$A$2:$D$151,3,FALSE)</f>
        <v>의류</v>
      </c>
      <c r="R501" t="str">
        <f>VLOOKUP(D501,상품정보!$A$2:$D$151,4,FALSE)</f>
        <v>브랜드A</v>
      </c>
    </row>
    <row r="502" spans="1:18" x14ac:dyDescent="0.45">
      <c r="A502" t="s">
        <v>80</v>
      </c>
      <c r="B502" t="s">
        <v>901</v>
      </c>
      <c r="C502" t="s">
        <v>2509</v>
      </c>
      <c r="D502" t="s">
        <v>2563</v>
      </c>
      <c r="E502">
        <v>4</v>
      </c>
      <c r="F502">
        <v>6900</v>
      </c>
      <c r="G502">
        <v>500</v>
      </c>
      <c r="H502">
        <v>0</v>
      </c>
      <c r="I502" t="s">
        <v>2652</v>
      </c>
      <c r="J502" s="4">
        <f t="shared" si="21"/>
        <v>28100</v>
      </c>
      <c r="K502" s="4" t="str">
        <f t="shared" si="22"/>
        <v>2024-04</v>
      </c>
      <c r="L502" s="4" t="str">
        <f t="shared" si="23"/>
        <v>금</v>
      </c>
      <c r="M502" s="2" t="str">
        <f>VLOOKUP($C502, 고객정보!$A$2:$E$151, 2, FALSE)</f>
        <v>서울</v>
      </c>
      <c r="N502" t="str">
        <f>VLOOKUP(C502,고객정보!$A$2:$D$151,4,FALSE)</f>
        <v>L4</v>
      </c>
      <c r="O502" t="str">
        <f>VLOOKUP($C502, 고객정보!$A$2:$E$151, 5, FALSE)</f>
        <v>40대</v>
      </c>
      <c r="P502" t="str">
        <f>VLOOKUP(D502,상품정보!$A$2:$E$61,2,FALSE)</f>
        <v>귀걸이</v>
      </c>
      <c r="Q502" t="str">
        <f>VLOOKUP(D502,상품정보!$A$2:$D$151,3,FALSE)</f>
        <v>액세서리</v>
      </c>
      <c r="R502" t="str">
        <f>VLOOKUP(D502,상품정보!$A$2:$D$151,4,FALSE)</f>
        <v>브랜드D</v>
      </c>
    </row>
    <row r="503" spans="1:18" x14ac:dyDescent="0.45">
      <c r="A503" t="s">
        <v>252</v>
      </c>
      <c r="B503" t="s">
        <v>902</v>
      </c>
      <c r="C503" t="s">
        <v>2444</v>
      </c>
      <c r="D503" t="s">
        <v>2578</v>
      </c>
      <c r="E503">
        <v>3</v>
      </c>
      <c r="F503">
        <v>78000</v>
      </c>
      <c r="G503">
        <v>0</v>
      </c>
      <c r="H503">
        <v>0</v>
      </c>
      <c r="I503" t="s">
        <v>2652</v>
      </c>
      <c r="J503" s="4">
        <f t="shared" si="21"/>
        <v>234000</v>
      </c>
      <c r="K503" s="4" t="str">
        <f t="shared" si="22"/>
        <v>2024-02</v>
      </c>
      <c r="L503" s="4" t="str">
        <f t="shared" si="23"/>
        <v>일</v>
      </c>
      <c r="M503" s="2" t="str">
        <f>VLOOKUP($C503, 고객정보!$A$2:$E$151, 2, FALSE)</f>
        <v>서울</v>
      </c>
      <c r="N503" t="str">
        <f>VLOOKUP(C503,고객정보!$A$2:$D$151,4,FALSE)</f>
        <v>L4</v>
      </c>
      <c r="O503" t="str">
        <f>VLOOKUP($C503, 고객정보!$A$2:$E$151, 5, FALSE)</f>
        <v>40대</v>
      </c>
      <c r="P503" t="str">
        <f>VLOOKUP(D503,상품정보!$A$2:$E$61,2,FALSE)</f>
        <v>귀걸이</v>
      </c>
      <c r="Q503" t="str">
        <f>VLOOKUP(D503,상품정보!$A$2:$D$151,3,FALSE)</f>
        <v>액세서리</v>
      </c>
      <c r="R503" t="str">
        <f>VLOOKUP(D503,상품정보!$A$2:$D$151,4,FALSE)</f>
        <v>브랜드B</v>
      </c>
    </row>
    <row r="504" spans="1:18" x14ac:dyDescent="0.45">
      <c r="A504" t="s">
        <v>46</v>
      </c>
      <c r="B504" t="s">
        <v>903</v>
      </c>
      <c r="C504" t="s">
        <v>2513</v>
      </c>
      <c r="D504" t="s">
        <v>2561</v>
      </c>
      <c r="E504">
        <v>5</v>
      </c>
      <c r="F504">
        <v>63300</v>
      </c>
      <c r="G504">
        <v>500</v>
      </c>
      <c r="H504">
        <v>0</v>
      </c>
      <c r="I504" t="s">
        <v>2652</v>
      </c>
      <c r="J504" s="4">
        <f t="shared" si="21"/>
        <v>317000</v>
      </c>
      <c r="K504" s="4" t="str">
        <f t="shared" si="22"/>
        <v>2024-09</v>
      </c>
      <c r="L504" s="4" t="str">
        <f t="shared" si="23"/>
        <v>월</v>
      </c>
      <c r="M504" s="2" t="str">
        <f>VLOOKUP($C504, 고객정보!$A$2:$E$151, 2, FALSE)</f>
        <v>수원</v>
      </c>
      <c r="N504" t="str">
        <f>VLOOKUP(C504,고객정보!$A$2:$D$151,4,FALSE)</f>
        <v>L5</v>
      </c>
      <c r="O504" t="str">
        <f>VLOOKUP($C504, 고객정보!$A$2:$E$151, 5, FALSE)</f>
        <v>20대</v>
      </c>
      <c r="P504" t="str">
        <f>VLOOKUP(D504,상품정보!$A$2:$E$61,2,FALSE)</f>
        <v>귀걸이</v>
      </c>
      <c r="Q504" t="str">
        <f>VLOOKUP(D504,상품정보!$A$2:$D$151,3,FALSE)</f>
        <v>액세서리</v>
      </c>
      <c r="R504" t="str">
        <f>VLOOKUP(D504,상품정보!$A$2:$D$151,4,FALSE)</f>
        <v>브랜드B</v>
      </c>
    </row>
    <row r="505" spans="1:18" x14ac:dyDescent="0.45">
      <c r="A505" t="s">
        <v>105</v>
      </c>
      <c r="B505" t="s">
        <v>904</v>
      </c>
      <c r="C505" t="s">
        <v>2472</v>
      </c>
      <c r="D505" t="s">
        <v>2551</v>
      </c>
      <c r="E505">
        <v>4</v>
      </c>
      <c r="F505">
        <v>66600</v>
      </c>
      <c r="G505">
        <v>0</v>
      </c>
      <c r="H505">
        <v>1800</v>
      </c>
      <c r="I505" t="s">
        <v>2611</v>
      </c>
      <c r="J505" s="4">
        <f t="shared" si="21"/>
        <v>264600</v>
      </c>
      <c r="K505" s="4" t="str">
        <f t="shared" si="22"/>
        <v>2024-08</v>
      </c>
      <c r="L505" s="4" t="str">
        <f t="shared" si="23"/>
        <v>수</v>
      </c>
      <c r="M505" s="2" t="str">
        <f>VLOOKUP($C505, 고객정보!$A$2:$E$151, 2, FALSE)</f>
        <v>서울</v>
      </c>
      <c r="N505" t="str">
        <f>VLOOKUP(C505,고객정보!$A$2:$D$151,4,FALSE)</f>
        <v>L1</v>
      </c>
      <c r="O505" t="str">
        <f>VLOOKUP($C505, 고객정보!$A$2:$E$151, 5, FALSE)</f>
        <v>20대</v>
      </c>
      <c r="P505" t="str">
        <f>VLOOKUP(D505,상품정보!$A$2:$E$61,2,FALSE)</f>
        <v>반지</v>
      </c>
      <c r="Q505" t="str">
        <f>VLOOKUP(D505,상품정보!$A$2:$D$151,3,FALSE)</f>
        <v>액세서리</v>
      </c>
      <c r="R505" t="str">
        <f>VLOOKUP(D505,상품정보!$A$2:$D$151,4,FALSE)</f>
        <v>브랜드B</v>
      </c>
    </row>
    <row r="506" spans="1:18" x14ac:dyDescent="0.45">
      <c r="A506" t="s">
        <v>251</v>
      </c>
      <c r="B506" t="s">
        <v>905</v>
      </c>
      <c r="C506" t="s">
        <v>2473</v>
      </c>
      <c r="D506" t="s">
        <v>2601</v>
      </c>
      <c r="E506">
        <v>4</v>
      </c>
      <c r="F506">
        <v>17000</v>
      </c>
      <c r="G506">
        <v>0</v>
      </c>
      <c r="H506">
        <v>0</v>
      </c>
      <c r="I506" t="s">
        <v>2652</v>
      </c>
      <c r="J506" s="4">
        <f t="shared" si="21"/>
        <v>68000</v>
      </c>
      <c r="K506" s="4" t="str">
        <f t="shared" si="22"/>
        <v>2024-07</v>
      </c>
      <c r="L506" s="4" t="str">
        <f t="shared" si="23"/>
        <v>수</v>
      </c>
      <c r="M506" s="2" t="str">
        <f>VLOOKUP($C506, 고객정보!$A$2:$E$151, 2, FALSE)</f>
        <v>수원</v>
      </c>
      <c r="N506" t="str">
        <f>VLOOKUP(C506,고객정보!$A$2:$D$151,4,FALSE)</f>
        <v>L3</v>
      </c>
      <c r="O506" t="str">
        <f>VLOOKUP($C506, 고객정보!$A$2:$E$151, 5, FALSE)</f>
        <v>50대 이상</v>
      </c>
      <c r="P506" t="str">
        <f>VLOOKUP(D506,상품정보!$A$2:$E$61,2,FALSE)</f>
        <v>자켓</v>
      </c>
      <c r="Q506" t="str">
        <f>VLOOKUP(D506,상품정보!$A$2:$D$151,3,FALSE)</f>
        <v>의류</v>
      </c>
      <c r="R506" t="str">
        <f>VLOOKUP(D506,상품정보!$A$2:$D$151,4,FALSE)</f>
        <v>브랜드E</v>
      </c>
    </row>
    <row r="507" spans="1:18" x14ac:dyDescent="0.45">
      <c r="A507" t="s">
        <v>290</v>
      </c>
      <c r="B507" t="s">
        <v>906</v>
      </c>
      <c r="C507" t="s">
        <v>2531</v>
      </c>
      <c r="D507" t="s">
        <v>2574</v>
      </c>
      <c r="E507">
        <v>1</v>
      </c>
      <c r="F507">
        <v>8600</v>
      </c>
      <c r="G507">
        <v>0</v>
      </c>
      <c r="H507">
        <v>0</v>
      </c>
      <c r="I507" t="s">
        <v>2652</v>
      </c>
      <c r="J507" s="4">
        <f t="shared" si="21"/>
        <v>8600</v>
      </c>
      <c r="K507" s="4" t="str">
        <f t="shared" si="22"/>
        <v>2024-07</v>
      </c>
      <c r="L507" s="4" t="str">
        <f t="shared" si="23"/>
        <v>월</v>
      </c>
      <c r="M507" s="2" t="str">
        <f>VLOOKUP($C507, 고객정보!$A$2:$E$151, 2, FALSE)</f>
        <v>서울</v>
      </c>
      <c r="N507" t="str">
        <f>VLOOKUP(C507,고객정보!$A$2:$D$151,4,FALSE)</f>
        <v>L4</v>
      </c>
      <c r="O507" t="str">
        <f>VLOOKUP($C507, 고객정보!$A$2:$E$151, 5, FALSE)</f>
        <v>40대</v>
      </c>
      <c r="P507" t="str">
        <f>VLOOKUP(D507,상품정보!$A$2:$E$61,2,FALSE)</f>
        <v>셔츠</v>
      </c>
      <c r="Q507" t="str">
        <f>VLOOKUP(D507,상품정보!$A$2:$D$151,3,FALSE)</f>
        <v>의류</v>
      </c>
      <c r="R507" t="str">
        <f>VLOOKUP(D507,상품정보!$A$2:$D$151,4,FALSE)</f>
        <v>브랜드D</v>
      </c>
    </row>
    <row r="508" spans="1:18" x14ac:dyDescent="0.45">
      <c r="A508" t="s">
        <v>291</v>
      </c>
      <c r="B508" t="s">
        <v>907</v>
      </c>
      <c r="C508" t="s">
        <v>2416</v>
      </c>
      <c r="D508" t="s">
        <v>2603</v>
      </c>
      <c r="E508">
        <v>2</v>
      </c>
      <c r="F508">
        <v>8200</v>
      </c>
      <c r="G508">
        <v>0</v>
      </c>
      <c r="H508">
        <v>800</v>
      </c>
      <c r="I508" t="s">
        <v>2612</v>
      </c>
      <c r="J508" s="4">
        <f t="shared" si="21"/>
        <v>15600</v>
      </c>
      <c r="K508" s="4" t="str">
        <f t="shared" si="22"/>
        <v>2025-01</v>
      </c>
      <c r="L508" s="4" t="str">
        <f t="shared" si="23"/>
        <v>금</v>
      </c>
      <c r="M508" s="2" t="str">
        <f>VLOOKUP($C508, 고객정보!$A$2:$E$151, 2, FALSE)</f>
        <v>대구</v>
      </c>
      <c r="N508" t="str">
        <f>VLOOKUP(C508,고객정보!$A$2:$D$151,4,FALSE)</f>
        <v>L3</v>
      </c>
      <c r="O508" t="str">
        <f>VLOOKUP($C508, 고객정보!$A$2:$E$151, 5, FALSE)</f>
        <v>40대</v>
      </c>
      <c r="P508" t="str">
        <f>VLOOKUP(D508,상품정보!$A$2:$E$61,2,FALSE)</f>
        <v>목걸이</v>
      </c>
      <c r="Q508" t="str">
        <f>VLOOKUP(D508,상품정보!$A$2:$D$151,3,FALSE)</f>
        <v>액세서리</v>
      </c>
      <c r="R508" t="str">
        <f>VLOOKUP(D508,상품정보!$A$2:$D$151,4,FALSE)</f>
        <v>브랜드E</v>
      </c>
    </row>
    <row r="509" spans="1:18" x14ac:dyDescent="0.45">
      <c r="A509" t="s">
        <v>119</v>
      </c>
      <c r="B509" t="s">
        <v>908</v>
      </c>
      <c r="C509" t="s">
        <v>2523</v>
      </c>
      <c r="D509" t="s">
        <v>2587</v>
      </c>
      <c r="E509">
        <v>5</v>
      </c>
      <c r="F509">
        <v>50200</v>
      </c>
      <c r="G509">
        <v>500</v>
      </c>
      <c r="H509">
        <v>1100</v>
      </c>
      <c r="I509" t="s">
        <v>2612</v>
      </c>
      <c r="J509" s="4">
        <f t="shared" si="21"/>
        <v>250400</v>
      </c>
      <c r="K509" s="4" t="str">
        <f t="shared" si="22"/>
        <v>2025-01</v>
      </c>
      <c r="L509" s="4" t="str">
        <f t="shared" si="23"/>
        <v>토</v>
      </c>
      <c r="M509" s="2" t="str">
        <f>VLOOKUP($C509, 고객정보!$A$2:$E$151, 2, FALSE)</f>
        <v>서울</v>
      </c>
      <c r="N509" t="str">
        <f>VLOOKUP(C509,고객정보!$A$2:$D$151,4,FALSE)</f>
        <v>L3</v>
      </c>
      <c r="O509" t="str">
        <f>VLOOKUP($C509, 고객정보!$A$2:$E$151, 5, FALSE)</f>
        <v>20대</v>
      </c>
      <c r="P509" t="str">
        <f>VLOOKUP(D509,상품정보!$A$2:$E$61,2,FALSE)</f>
        <v>반지</v>
      </c>
      <c r="Q509" t="str">
        <f>VLOOKUP(D509,상품정보!$A$2:$D$151,3,FALSE)</f>
        <v>액세서리</v>
      </c>
      <c r="R509" t="str">
        <f>VLOOKUP(D509,상품정보!$A$2:$D$151,4,FALSE)</f>
        <v>브랜드B</v>
      </c>
    </row>
    <row r="510" spans="1:18" x14ac:dyDescent="0.45">
      <c r="A510" t="s">
        <v>289</v>
      </c>
      <c r="B510" t="s">
        <v>909</v>
      </c>
      <c r="C510" t="s">
        <v>2526</v>
      </c>
      <c r="D510" t="s">
        <v>2552</v>
      </c>
      <c r="E510">
        <v>1</v>
      </c>
      <c r="F510">
        <v>13300</v>
      </c>
      <c r="G510">
        <v>1000</v>
      </c>
      <c r="H510">
        <v>1000</v>
      </c>
      <c r="I510" t="s">
        <v>2612</v>
      </c>
      <c r="J510" s="4">
        <f t="shared" si="21"/>
        <v>13300</v>
      </c>
      <c r="K510" s="4" t="str">
        <f t="shared" si="22"/>
        <v>2024-06</v>
      </c>
      <c r="L510" s="4" t="str">
        <f t="shared" si="23"/>
        <v>토</v>
      </c>
      <c r="M510" s="2" t="str">
        <f>VLOOKUP($C510, 고객정보!$A$2:$E$151, 2, FALSE)</f>
        <v>부산</v>
      </c>
      <c r="N510" t="str">
        <f>VLOOKUP(C510,고객정보!$A$2:$D$151,4,FALSE)</f>
        <v>L3</v>
      </c>
      <c r="O510" t="str">
        <f>VLOOKUP($C510, 고객정보!$A$2:$E$151, 5, FALSE)</f>
        <v>10대</v>
      </c>
      <c r="P510" t="str">
        <f>VLOOKUP(D510,상품정보!$A$2:$E$61,2,FALSE)</f>
        <v>셔츠</v>
      </c>
      <c r="Q510" t="str">
        <f>VLOOKUP(D510,상품정보!$A$2:$D$151,3,FALSE)</f>
        <v>의류</v>
      </c>
      <c r="R510" t="str">
        <f>VLOOKUP(D510,상품정보!$A$2:$D$151,4,FALSE)</f>
        <v>브랜드E</v>
      </c>
    </row>
    <row r="511" spans="1:18" x14ac:dyDescent="0.45">
      <c r="A511" t="s">
        <v>157</v>
      </c>
      <c r="B511" t="s">
        <v>910</v>
      </c>
      <c r="C511" t="s">
        <v>2403</v>
      </c>
      <c r="D511" t="s">
        <v>2558</v>
      </c>
      <c r="E511">
        <v>2</v>
      </c>
      <c r="F511">
        <v>63700</v>
      </c>
      <c r="G511">
        <v>0</v>
      </c>
      <c r="H511">
        <v>4500</v>
      </c>
      <c r="I511" t="s">
        <v>2613</v>
      </c>
      <c r="J511" s="4">
        <f t="shared" si="21"/>
        <v>122900</v>
      </c>
      <c r="K511" s="4" t="str">
        <f t="shared" si="22"/>
        <v>2024-12</v>
      </c>
      <c r="L511" s="4" t="str">
        <f t="shared" si="23"/>
        <v>월</v>
      </c>
      <c r="M511" s="2" t="str">
        <f>VLOOKUP($C511, 고객정보!$A$2:$E$151, 2, FALSE)</f>
        <v>수원</v>
      </c>
      <c r="N511" t="str">
        <f>VLOOKUP(C511,고객정보!$A$2:$D$151,4,FALSE)</f>
        <v>L3</v>
      </c>
      <c r="O511" t="str">
        <f>VLOOKUP($C511, 고객정보!$A$2:$E$151, 5, FALSE)</f>
        <v>30대</v>
      </c>
      <c r="P511" t="str">
        <f>VLOOKUP(D511,상품정보!$A$2:$E$61,2,FALSE)</f>
        <v>셔츠</v>
      </c>
      <c r="Q511" t="str">
        <f>VLOOKUP(D511,상품정보!$A$2:$D$151,3,FALSE)</f>
        <v>의류</v>
      </c>
      <c r="R511" t="str">
        <f>VLOOKUP(D511,상품정보!$A$2:$D$151,4,FALSE)</f>
        <v>브랜드A</v>
      </c>
    </row>
    <row r="512" spans="1:18" x14ac:dyDescent="0.45">
      <c r="A512" t="s">
        <v>292</v>
      </c>
      <c r="B512" t="s">
        <v>911</v>
      </c>
      <c r="C512" t="s">
        <v>2507</v>
      </c>
      <c r="D512" t="s">
        <v>2606</v>
      </c>
      <c r="E512">
        <v>4</v>
      </c>
      <c r="F512">
        <v>15000</v>
      </c>
      <c r="G512">
        <v>0</v>
      </c>
      <c r="H512">
        <v>0</v>
      </c>
      <c r="I512" t="s">
        <v>2652</v>
      </c>
      <c r="J512" s="4">
        <f t="shared" si="21"/>
        <v>60000</v>
      </c>
      <c r="K512" s="4" t="str">
        <f t="shared" si="22"/>
        <v>2024-11</v>
      </c>
      <c r="L512" s="4" t="str">
        <f t="shared" si="23"/>
        <v>화</v>
      </c>
      <c r="M512" s="2" t="str">
        <f>VLOOKUP($C512, 고객정보!$A$2:$E$151, 2, FALSE)</f>
        <v>대전</v>
      </c>
      <c r="N512" t="str">
        <f>VLOOKUP(C512,고객정보!$A$2:$D$151,4,FALSE)</f>
        <v>L2</v>
      </c>
      <c r="O512" t="str">
        <f>VLOOKUP($C512, 고객정보!$A$2:$E$151, 5, FALSE)</f>
        <v>40대</v>
      </c>
      <c r="P512" t="str">
        <f>VLOOKUP(D512,상품정보!$A$2:$E$61,2,FALSE)</f>
        <v>귀걸이</v>
      </c>
      <c r="Q512" t="str">
        <f>VLOOKUP(D512,상품정보!$A$2:$D$151,3,FALSE)</f>
        <v>액세서리</v>
      </c>
      <c r="R512" t="str">
        <f>VLOOKUP(D512,상품정보!$A$2:$D$151,4,FALSE)</f>
        <v>브랜드E</v>
      </c>
    </row>
    <row r="513" spans="1:18" x14ac:dyDescent="0.45">
      <c r="A513" t="s">
        <v>59</v>
      </c>
      <c r="B513" t="s">
        <v>912</v>
      </c>
      <c r="C513" t="s">
        <v>2522</v>
      </c>
      <c r="D513" t="s">
        <v>2570</v>
      </c>
      <c r="E513">
        <v>2</v>
      </c>
      <c r="F513">
        <v>73900</v>
      </c>
      <c r="G513">
        <v>0</v>
      </c>
      <c r="H513">
        <v>0</v>
      </c>
      <c r="I513" t="s">
        <v>2652</v>
      </c>
      <c r="J513" s="4">
        <f t="shared" si="21"/>
        <v>147800</v>
      </c>
      <c r="K513" s="4" t="str">
        <f t="shared" si="22"/>
        <v>2024-02</v>
      </c>
      <c r="L513" s="4" t="str">
        <f t="shared" si="23"/>
        <v>금</v>
      </c>
      <c r="M513" s="2" t="str">
        <f>VLOOKUP($C513, 고객정보!$A$2:$E$151, 2, FALSE)</f>
        <v>부산</v>
      </c>
      <c r="N513" t="str">
        <f>VLOOKUP(C513,고객정보!$A$2:$D$151,4,FALSE)</f>
        <v>L4</v>
      </c>
      <c r="O513" t="str">
        <f>VLOOKUP($C513, 고객정보!$A$2:$E$151, 5, FALSE)</f>
        <v>40대</v>
      </c>
      <c r="P513" t="str">
        <f>VLOOKUP(D513,상품정보!$A$2:$E$61,2,FALSE)</f>
        <v>반지</v>
      </c>
      <c r="Q513" t="str">
        <f>VLOOKUP(D513,상품정보!$A$2:$D$151,3,FALSE)</f>
        <v>액세서리</v>
      </c>
      <c r="R513" t="str">
        <f>VLOOKUP(D513,상품정보!$A$2:$D$151,4,FALSE)</f>
        <v>브랜드B</v>
      </c>
    </row>
    <row r="514" spans="1:18" x14ac:dyDescent="0.45">
      <c r="A514" t="s">
        <v>293</v>
      </c>
      <c r="B514" t="s">
        <v>913</v>
      </c>
      <c r="C514" t="s">
        <v>2413</v>
      </c>
      <c r="D514" t="s">
        <v>2564</v>
      </c>
      <c r="E514">
        <v>3</v>
      </c>
      <c r="F514">
        <v>66600</v>
      </c>
      <c r="G514">
        <v>2000</v>
      </c>
      <c r="H514">
        <v>1500</v>
      </c>
      <c r="I514" t="s">
        <v>2612</v>
      </c>
      <c r="J514" s="4">
        <f t="shared" si="21"/>
        <v>200300</v>
      </c>
      <c r="K514" s="4" t="str">
        <f t="shared" si="22"/>
        <v>2024-04</v>
      </c>
      <c r="L514" s="4" t="str">
        <f t="shared" si="23"/>
        <v>토</v>
      </c>
      <c r="M514" s="2" t="str">
        <f>VLOOKUP($C514, 고객정보!$A$2:$E$151, 2, FALSE)</f>
        <v>서울</v>
      </c>
      <c r="N514" t="str">
        <f>VLOOKUP(C514,고객정보!$A$2:$D$151,4,FALSE)</f>
        <v>L5</v>
      </c>
      <c r="O514" t="str">
        <f>VLOOKUP($C514, 고객정보!$A$2:$E$151, 5, FALSE)</f>
        <v>30대</v>
      </c>
      <c r="P514" t="str">
        <f>VLOOKUP(D514,상품정보!$A$2:$E$61,2,FALSE)</f>
        <v>청바지</v>
      </c>
      <c r="Q514" t="str">
        <f>VLOOKUP(D514,상품정보!$A$2:$D$151,3,FALSE)</f>
        <v>의류</v>
      </c>
      <c r="R514" t="str">
        <f>VLOOKUP(D514,상품정보!$A$2:$D$151,4,FALSE)</f>
        <v>브랜드B</v>
      </c>
    </row>
    <row r="515" spans="1:18" x14ac:dyDescent="0.45">
      <c r="A515" t="s">
        <v>158</v>
      </c>
      <c r="B515" t="s">
        <v>914</v>
      </c>
      <c r="C515" t="s">
        <v>2473</v>
      </c>
      <c r="D515" t="s">
        <v>2577</v>
      </c>
      <c r="E515">
        <v>2</v>
      </c>
      <c r="F515">
        <v>10200</v>
      </c>
      <c r="G515">
        <v>0</v>
      </c>
      <c r="H515">
        <v>0</v>
      </c>
      <c r="I515" t="s">
        <v>2652</v>
      </c>
      <c r="J515" s="4">
        <f t="shared" ref="J515:J578" si="24">E515*F515+G515-H515</f>
        <v>20400</v>
      </c>
      <c r="K515" s="4" t="str">
        <f t="shared" ref="K515:K578" si="25">LEFT(A515,7)</f>
        <v>2024-01</v>
      </c>
      <c r="L515" s="4" t="str">
        <f t="shared" ref="L515:L578" si="26">TEXT(WEEKDAY(A515),"aaa")</f>
        <v>월</v>
      </c>
      <c r="M515" s="2" t="str">
        <f>VLOOKUP($C515, 고객정보!$A$2:$E$151, 2, FALSE)</f>
        <v>수원</v>
      </c>
      <c r="N515" t="str">
        <f>VLOOKUP(C515,고객정보!$A$2:$D$151,4,FALSE)</f>
        <v>L3</v>
      </c>
      <c r="O515" t="str">
        <f>VLOOKUP($C515, 고객정보!$A$2:$E$151, 5, FALSE)</f>
        <v>50대 이상</v>
      </c>
      <c r="P515" t="str">
        <f>VLOOKUP(D515,상품정보!$A$2:$E$61,2,FALSE)</f>
        <v>셔츠</v>
      </c>
      <c r="Q515" t="str">
        <f>VLOOKUP(D515,상품정보!$A$2:$D$151,3,FALSE)</f>
        <v>의류</v>
      </c>
      <c r="R515" t="str">
        <f>VLOOKUP(D515,상품정보!$A$2:$D$151,4,FALSE)</f>
        <v>브랜드C</v>
      </c>
    </row>
    <row r="516" spans="1:18" x14ac:dyDescent="0.45">
      <c r="A516" t="s">
        <v>206</v>
      </c>
      <c r="B516" t="s">
        <v>915</v>
      </c>
      <c r="C516" t="s">
        <v>2426</v>
      </c>
      <c r="D516" t="s">
        <v>2568</v>
      </c>
      <c r="E516">
        <v>3</v>
      </c>
      <c r="F516">
        <v>16800</v>
      </c>
      <c r="G516">
        <v>1000</v>
      </c>
      <c r="H516">
        <v>0</v>
      </c>
      <c r="I516" t="s">
        <v>2652</v>
      </c>
      <c r="J516" s="4">
        <f t="shared" si="24"/>
        <v>51400</v>
      </c>
      <c r="K516" s="4" t="str">
        <f t="shared" si="25"/>
        <v>2024-09</v>
      </c>
      <c r="L516" s="4" t="str">
        <f t="shared" si="26"/>
        <v>금</v>
      </c>
      <c r="M516" s="2" t="str">
        <f>VLOOKUP($C516, 고객정보!$A$2:$E$151, 2, FALSE)</f>
        <v>대전</v>
      </c>
      <c r="N516" t="str">
        <f>VLOOKUP(C516,고객정보!$A$2:$D$151,4,FALSE)</f>
        <v>L5</v>
      </c>
      <c r="O516" t="str">
        <f>VLOOKUP($C516, 고객정보!$A$2:$E$151, 5, FALSE)</f>
        <v>30대</v>
      </c>
      <c r="P516" t="str">
        <f>VLOOKUP(D516,상품정보!$A$2:$E$61,2,FALSE)</f>
        <v>청바지</v>
      </c>
      <c r="Q516" t="str">
        <f>VLOOKUP(D516,상품정보!$A$2:$D$151,3,FALSE)</f>
        <v>의류</v>
      </c>
      <c r="R516" t="str">
        <f>VLOOKUP(D516,상품정보!$A$2:$D$151,4,FALSE)</f>
        <v>브랜드C</v>
      </c>
    </row>
    <row r="517" spans="1:18" x14ac:dyDescent="0.45">
      <c r="A517" t="s">
        <v>153</v>
      </c>
      <c r="B517" t="s">
        <v>916</v>
      </c>
      <c r="C517" t="s">
        <v>2533</v>
      </c>
      <c r="D517" t="s">
        <v>2602</v>
      </c>
      <c r="E517">
        <v>5</v>
      </c>
      <c r="F517">
        <v>59900</v>
      </c>
      <c r="G517">
        <v>0</v>
      </c>
      <c r="H517">
        <v>0</v>
      </c>
      <c r="I517" t="s">
        <v>2652</v>
      </c>
      <c r="J517" s="4">
        <f t="shared" si="24"/>
        <v>299500</v>
      </c>
      <c r="K517" s="4" t="str">
        <f t="shared" si="25"/>
        <v>2024-08</v>
      </c>
      <c r="L517" s="4" t="str">
        <f t="shared" si="26"/>
        <v>금</v>
      </c>
      <c r="M517" s="2" t="str">
        <f>VLOOKUP($C517, 고객정보!$A$2:$E$151, 2, FALSE)</f>
        <v>인천</v>
      </c>
      <c r="N517" t="str">
        <f>VLOOKUP(C517,고객정보!$A$2:$D$151,4,FALSE)</f>
        <v>L5</v>
      </c>
      <c r="O517" t="str">
        <f>VLOOKUP($C517, 고객정보!$A$2:$E$151, 5, FALSE)</f>
        <v>30대</v>
      </c>
      <c r="P517" t="str">
        <f>VLOOKUP(D517,상품정보!$A$2:$E$61,2,FALSE)</f>
        <v>셔츠</v>
      </c>
      <c r="Q517" t="str">
        <f>VLOOKUP(D517,상품정보!$A$2:$D$151,3,FALSE)</f>
        <v>의류</v>
      </c>
      <c r="R517" t="str">
        <f>VLOOKUP(D517,상품정보!$A$2:$D$151,4,FALSE)</f>
        <v>브랜드A</v>
      </c>
    </row>
    <row r="518" spans="1:18" x14ac:dyDescent="0.45">
      <c r="A518" t="s">
        <v>294</v>
      </c>
      <c r="B518" t="s">
        <v>917</v>
      </c>
      <c r="C518" t="s">
        <v>2531</v>
      </c>
      <c r="D518" t="s">
        <v>2564</v>
      </c>
      <c r="E518">
        <v>2</v>
      </c>
      <c r="F518">
        <v>66600</v>
      </c>
      <c r="G518">
        <v>500</v>
      </c>
      <c r="H518">
        <v>0</v>
      </c>
      <c r="I518" t="s">
        <v>2652</v>
      </c>
      <c r="J518" s="4">
        <f t="shared" si="24"/>
        <v>133700</v>
      </c>
      <c r="K518" s="4" t="str">
        <f t="shared" si="25"/>
        <v>2024-05</v>
      </c>
      <c r="L518" s="4" t="str">
        <f t="shared" si="26"/>
        <v>일</v>
      </c>
      <c r="M518" s="2" t="str">
        <f>VLOOKUP($C518, 고객정보!$A$2:$E$151, 2, FALSE)</f>
        <v>서울</v>
      </c>
      <c r="N518" t="str">
        <f>VLOOKUP(C518,고객정보!$A$2:$D$151,4,FALSE)</f>
        <v>L4</v>
      </c>
      <c r="O518" t="str">
        <f>VLOOKUP($C518, 고객정보!$A$2:$E$151, 5, FALSE)</f>
        <v>40대</v>
      </c>
      <c r="P518" t="str">
        <f>VLOOKUP(D518,상품정보!$A$2:$E$61,2,FALSE)</f>
        <v>청바지</v>
      </c>
      <c r="Q518" t="str">
        <f>VLOOKUP(D518,상품정보!$A$2:$D$151,3,FALSE)</f>
        <v>의류</v>
      </c>
      <c r="R518" t="str">
        <f>VLOOKUP(D518,상품정보!$A$2:$D$151,4,FALSE)</f>
        <v>브랜드B</v>
      </c>
    </row>
    <row r="519" spans="1:18" x14ac:dyDescent="0.45">
      <c r="A519" t="s">
        <v>127</v>
      </c>
      <c r="B519" t="s">
        <v>918</v>
      </c>
      <c r="C519" t="s">
        <v>2529</v>
      </c>
      <c r="D519" t="s">
        <v>2576</v>
      </c>
      <c r="E519">
        <v>1</v>
      </c>
      <c r="F519">
        <v>8800</v>
      </c>
      <c r="G519">
        <v>1500</v>
      </c>
      <c r="H519">
        <v>1400</v>
      </c>
      <c r="I519" t="s">
        <v>2614</v>
      </c>
      <c r="J519" s="4">
        <f t="shared" si="24"/>
        <v>8900</v>
      </c>
      <c r="K519" s="4" t="str">
        <f t="shared" si="25"/>
        <v>2024-12</v>
      </c>
      <c r="L519" s="4" t="str">
        <f t="shared" si="26"/>
        <v>일</v>
      </c>
      <c r="M519" s="2" t="str">
        <f>VLOOKUP($C519, 고객정보!$A$2:$E$151, 2, FALSE)</f>
        <v>인천</v>
      </c>
      <c r="N519" t="str">
        <f>VLOOKUP(C519,고객정보!$A$2:$D$151,4,FALSE)</f>
        <v>L2</v>
      </c>
      <c r="O519" t="str">
        <f>VLOOKUP($C519, 고객정보!$A$2:$E$151, 5, FALSE)</f>
        <v>30대</v>
      </c>
      <c r="P519" t="str">
        <f>VLOOKUP(D519,상품정보!$A$2:$E$61,2,FALSE)</f>
        <v>핸드폰케이스</v>
      </c>
      <c r="Q519" t="str">
        <f>VLOOKUP(D519,상품정보!$A$2:$D$151,3,FALSE)</f>
        <v>액세서리</v>
      </c>
      <c r="R519" t="str">
        <f>VLOOKUP(D519,상품정보!$A$2:$D$151,4,FALSE)</f>
        <v>브랜드D</v>
      </c>
    </row>
    <row r="520" spans="1:18" x14ac:dyDescent="0.45">
      <c r="A520" t="s">
        <v>175</v>
      </c>
      <c r="B520" t="s">
        <v>919</v>
      </c>
      <c r="C520" t="s">
        <v>2481</v>
      </c>
      <c r="D520" t="s">
        <v>2565</v>
      </c>
      <c r="E520">
        <v>1</v>
      </c>
      <c r="F520">
        <v>50000</v>
      </c>
      <c r="G520">
        <v>0</v>
      </c>
      <c r="H520">
        <v>1200</v>
      </c>
      <c r="I520" t="s">
        <v>2613</v>
      </c>
      <c r="J520" s="4">
        <f t="shared" si="24"/>
        <v>48800</v>
      </c>
      <c r="K520" s="4" t="str">
        <f t="shared" si="25"/>
        <v>2024-07</v>
      </c>
      <c r="L520" s="4" t="str">
        <f t="shared" si="26"/>
        <v>일</v>
      </c>
      <c r="M520" s="2" t="str">
        <f>VLOOKUP($C520, 고객정보!$A$2:$E$151, 2, FALSE)</f>
        <v>부산</v>
      </c>
      <c r="N520" t="str">
        <f>VLOOKUP(C520,고객정보!$A$2:$D$151,4,FALSE)</f>
        <v>L5</v>
      </c>
      <c r="O520" t="str">
        <f>VLOOKUP($C520, 고객정보!$A$2:$E$151, 5, FALSE)</f>
        <v>20대</v>
      </c>
      <c r="P520" t="str">
        <f>VLOOKUP(D520,상품정보!$A$2:$E$61,2,FALSE)</f>
        <v>핸드폰케이스</v>
      </c>
      <c r="Q520" t="str">
        <f>VLOOKUP(D520,상품정보!$A$2:$D$151,3,FALSE)</f>
        <v>액세서리</v>
      </c>
      <c r="R520" t="str">
        <f>VLOOKUP(D520,상품정보!$A$2:$D$151,4,FALSE)</f>
        <v>브랜드B</v>
      </c>
    </row>
    <row r="521" spans="1:18" x14ac:dyDescent="0.45">
      <c r="A521" t="s">
        <v>89</v>
      </c>
      <c r="B521" t="s">
        <v>920</v>
      </c>
      <c r="C521" t="s">
        <v>2485</v>
      </c>
      <c r="D521" t="s">
        <v>2584</v>
      </c>
      <c r="E521">
        <v>4</v>
      </c>
      <c r="F521">
        <v>59700</v>
      </c>
      <c r="G521">
        <v>2000</v>
      </c>
      <c r="H521">
        <v>0</v>
      </c>
      <c r="I521" t="s">
        <v>2652</v>
      </c>
      <c r="J521" s="4">
        <f t="shared" si="24"/>
        <v>240800</v>
      </c>
      <c r="K521" s="4" t="str">
        <f t="shared" si="25"/>
        <v>2025-01</v>
      </c>
      <c r="L521" s="4" t="str">
        <f t="shared" si="26"/>
        <v>수</v>
      </c>
      <c r="M521" s="2" t="str">
        <f>VLOOKUP($C521, 고객정보!$A$2:$E$151, 2, FALSE)</f>
        <v>서울</v>
      </c>
      <c r="N521" t="str">
        <f>VLOOKUP(C521,고객정보!$A$2:$D$151,4,FALSE)</f>
        <v>L4</v>
      </c>
      <c r="O521" t="str">
        <f>VLOOKUP($C521, 고객정보!$A$2:$E$151, 5, FALSE)</f>
        <v>40대</v>
      </c>
      <c r="P521" t="str">
        <f>VLOOKUP(D521,상품정보!$A$2:$E$61,2,FALSE)</f>
        <v>목걸이</v>
      </c>
      <c r="Q521" t="str">
        <f>VLOOKUP(D521,상품정보!$A$2:$D$151,3,FALSE)</f>
        <v>액세서리</v>
      </c>
      <c r="R521" t="str">
        <f>VLOOKUP(D521,상품정보!$A$2:$D$151,4,FALSE)</f>
        <v>브랜드B</v>
      </c>
    </row>
    <row r="522" spans="1:18" x14ac:dyDescent="0.45">
      <c r="A522" t="s">
        <v>295</v>
      </c>
      <c r="B522" t="s">
        <v>921</v>
      </c>
      <c r="C522" t="s">
        <v>2470</v>
      </c>
      <c r="D522" t="s">
        <v>2590</v>
      </c>
      <c r="E522">
        <v>4</v>
      </c>
      <c r="F522">
        <v>68900</v>
      </c>
      <c r="G522">
        <v>500</v>
      </c>
      <c r="H522">
        <v>0</v>
      </c>
      <c r="I522" t="s">
        <v>2652</v>
      </c>
      <c r="J522" s="4">
        <f t="shared" si="24"/>
        <v>276100</v>
      </c>
      <c r="K522" s="4" t="str">
        <f t="shared" si="25"/>
        <v>2024-06</v>
      </c>
      <c r="L522" s="4" t="str">
        <f t="shared" si="26"/>
        <v>토</v>
      </c>
      <c r="M522" s="2" t="str">
        <f>VLOOKUP($C522, 고객정보!$A$2:$E$151, 2, FALSE)</f>
        <v>대전</v>
      </c>
      <c r="N522" t="str">
        <f>VLOOKUP(C522,고객정보!$A$2:$D$151,4,FALSE)</f>
        <v>L5</v>
      </c>
      <c r="O522" t="str">
        <f>VLOOKUP($C522, 고객정보!$A$2:$E$151, 5, FALSE)</f>
        <v>20대</v>
      </c>
      <c r="P522" t="str">
        <f>VLOOKUP(D522,상품정보!$A$2:$E$61,2,FALSE)</f>
        <v>반팔 티셔츠</v>
      </c>
      <c r="Q522" t="str">
        <f>VLOOKUP(D522,상품정보!$A$2:$D$151,3,FALSE)</f>
        <v>의류</v>
      </c>
      <c r="R522" t="str">
        <f>VLOOKUP(D522,상품정보!$A$2:$D$151,4,FALSE)</f>
        <v>브랜드A</v>
      </c>
    </row>
    <row r="523" spans="1:18" x14ac:dyDescent="0.45">
      <c r="A523" t="s">
        <v>175</v>
      </c>
      <c r="B523" t="s">
        <v>922</v>
      </c>
      <c r="C523" t="s">
        <v>2543</v>
      </c>
      <c r="D523" t="s">
        <v>2583</v>
      </c>
      <c r="E523">
        <v>4</v>
      </c>
      <c r="F523">
        <v>6600</v>
      </c>
      <c r="G523">
        <v>2000</v>
      </c>
      <c r="H523">
        <v>0</v>
      </c>
      <c r="I523" t="s">
        <v>2652</v>
      </c>
      <c r="J523" s="4">
        <f t="shared" si="24"/>
        <v>28400</v>
      </c>
      <c r="K523" s="4" t="str">
        <f t="shared" si="25"/>
        <v>2024-07</v>
      </c>
      <c r="L523" s="4" t="str">
        <f t="shared" si="26"/>
        <v>일</v>
      </c>
      <c r="M523" s="2" t="str">
        <f>VLOOKUP($C523, 고객정보!$A$2:$E$151, 2, FALSE)</f>
        <v>대구</v>
      </c>
      <c r="N523" t="str">
        <f>VLOOKUP(C523,고객정보!$A$2:$D$151,4,FALSE)</f>
        <v>L2</v>
      </c>
      <c r="O523" t="str">
        <f>VLOOKUP($C523, 고객정보!$A$2:$E$151, 5, FALSE)</f>
        <v>10대</v>
      </c>
      <c r="P523" t="str">
        <f>VLOOKUP(D523,상품정보!$A$2:$E$61,2,FALSE)</f>
        <v>셔츠</v>
      </c>
      <c r="Q523" t="str">
        <f>VLOOKUP(D523,상품정보!$A$2:$D$151,3,FALSE)</f>
        <v>의류</v>
      </c>
      <c r="R523" t="str">
        <f>VLOOKUP(D523,상품정보!$A$2:$D$151,4,FALSE)</f>
        <v>브랜드E</v>
      </c>
    </row>
    <row r="524" spans="1:18" x14ac:dyDescent="0.45">
      <c r="A524" t="s">
        <v>296</v>
      </c>
      <c r="B524" t="s">
        <v>923</v>
      </c>
      <c r="C524" t="s">
        <v>2521</v>
      </c>
      <c r="D524" t="s">
        <v>2565</v>
      </c>
      <c r="E524">
        <v>1</v>
      </c>
      <c r="F524">
        <v>50000</v>
      </c>
      <c r="G524">
        <v>1000</v>
      </c>
      <c r="H524">
        <v>1200</v>
      </c>
      <c r="I524" t="s">
        <v>2613</v>
      </c>
      <c r="J524" s="4">
        <f t="shared" si="24"/>
        <v>49800</v>
      </c>
      <c r="K524" s="4" t="str">
        <f t="shared" si="25"/>
        <v>2025-01</v>
      </c>
      <c r="L524" s="4" t="str">
        <f t="shared" si="26"/>
        <v>화</v>
      </c>
      <c r="M524" s="2" t="str">
        <f>VLOOKUP($C524, 고객정보!$A$2:$E$151, 2, FALSE)</f>
        <v>서울</v>
      </c>
      <c r="N524" t="str">
        <f>VLOOKUP(C524,고객정보!$A$2:$D$151,4,FALSE)</f>
        <v>L1</v>
      </c>
      <c r="O524" t="str">
        <f>VLOOKUP($C524, 고객정보!$A$2:$E$151, 5, FALSE)</f>
        <v>30대</v>
      </c>
      <c r="P524" t="str">
        <f>VLOOKUP(D524,상품정보!$A$2:$E$61,2,FALSE)</f>
        <v>핸드폰케이스</v>
      </c>
      <c r="Q524" t="str">
        <f>VLOOKUP(D524,상품정보!$A$2:$D$151,3,FALSE)</f>
        <v>액세서리</v>
      </c>
      <c r="R524" t="str">
        <f>VLOOKUP(D524,상품정보!$A$2:$D$151,4,FALSE)</f>
        <v>브랜드B</v>
      </c>
    </row>
    <row r="525" spans="1:18" x14ac:dyDescent="0.45">
      <c r="A525" t="s">
        <v>144</v>
      </c>
      <c r="B525" t="s">
        <v>924</v>
      </c>
      <c r="C525" t="s">
        <v>2409</v>
      </c>
      <c r="D525" t="s">
        <v>2553</v>
      </c>
      <c r="E525">
        <v>4</v>
      </c>
      <c r="F525">
        <v>63400</v>
      </c>
      <c r="G525">
        <v>0</v>
      </c>
      <c r="H525">
        <v>3300</v>
      </c>
      <c r="I525" t="s">
        <v>2612</v>
      </c>
      <c r="J525" s="4">
        <f t="shared" si="24"/>
        <v>250300</v>
      </c>
      <c r="K525" s="4" t="str">
        <f t="shared" si="25"/>
        <v>2024-11</v>
      </c>
      <c r="L525" s="4" t="str">
        <f t="shared" si="26"/>
        <v>월</v>
      </c>
      <c r="M525" s="2" t="str">
        <f>VLOOKUP($C525, 고객정보!$A$2:$E$151, 2, FALSE)</f>
        <v>서울</v>
      </c>
      <c r="N525" t="str">
        <f>VLOOKUP(C525,고객정보!$A$2:$D$151,4,FALSE)</f>
        <v>L3</v>
      </c>
      <c r="O525" t="str">
        <f>VLOOKUP($C525, 고객정보!$A$2:$E$151, 5, FALSE)</f>
        <v>50대 이상</v>
      </c>
      <c r="P525" t="str">
        <f>VLOOKUP(D525,상품정보!$A$2:$E$61,2,FALSE)</f>
        <v>귀걸이</v>
      </c>
      <c r="Q525" t="str">
        <f>VLOOKUP(D525,상품정보!$A$2:$D$151,3,FALSE)</f>
        <v>액세서리</v>
      </c>
      <c r="R525" t="str">
        <f>VLOOKUP(D525,상품정보!$A$2:$D$151,4,FALSE)</f>
        <v>브랜드F</v>
      </c>
    </row>
    <row r="526" spans="1:18" x14ac:dyDescent="0.45">
      <c r="A526" t="s">
        <v>246</v>
      </c>
      <c r="B526" t="s">
        <v>925</v>
      </c>
      <c r="C526" t="s">
        <v>2522</v>
      </c>
      <c r="D526" t="s">
        <v>2561</v>
      </c>
      <c r="E526">
        <v>3</v>
      </c>
      <c r="F526">
        <v>63300</v>
      </c>
      <c r="G526">
        <v>0</v>
      </c>
      <c r="H526">
        <v>300</v>
      </c>
      <c r="I526" t="s">
        <v>2614</v>
      </c>
      <c r="J526" s="4">
        <f t="shared" si="24"/>
        <v>189600</v>
      </c>
      <c r="K526" s="4" t="str">
        <f t="shared" si="25"/>
        <v>2024-06</v>
      </c>
      <c r="L526" s="4" t="str">
        <f t="shared" si="26"/>
        <v>목</v>
      </c>
      <c r="M526" s="2" t="str">
        <f>VLOOKUP($C526, 고객정보!$A$2:$E$151, 2, FALSE)</f>
        <v>부산</v>
      </c>
      <c r="N526" t="str">
        <f>VLOOKUP(C526,고객정보!$A$2:$D$151,4,FALSE)</f>
        <v>L4</v>
      </c>
      <c r="O526" t="str">
        <f>VLOOKUP($C526, 고객정보!$A$2:$E$151, 5, FALSE)</f>
        <v>40대</v>
      </c>
      <c r="P526" t="str">
        <f>VLOOKUP(D526,상품정보!$A$2:$E$61,2,FALSE)</f>
        <v>귀걸이</v>
      </c>
      <c r="Q526" t="str">
        <f>VLOOKUP(D526,상품정보!$A$2:$D$151,3,FALSE)</f>
        <v>액세서리</v>
      </c>
      <c r="R526" t="str">
        <f>VLOOKUP(D526,상품정보!$A$2:$D$151,4,FALSE)</f>
        <v>브랜드B</v>
      </c>
    </row>
    <row r="527" spans="1:18" x14ac:dyDescent="0.45">
      <c r="A527" t="s">
        <v>159</v>
      </c>
      <c r="B527" t="s">
        <v>926</v>
      </c>
      <c r="C527" t="s">
        <v>2523</v>
      </c>
      <c r="D527" t="s">
        <v>2553</v>
      </c>
      <c r="E527">
        <v>3</v>
      </c>
      <c r="F527">
        <v>63400</v>
      </c>
      <c r="G527">
        <v>0</v>
      </c>
      <c r="H527">
        <v>0</v>
      </c>
      <c r="I527" t="s">
        <v>2652</v>
      </c>
      <c r="J527" s="4">
        <f t="shared" si="24"/>
        <v>190200</v>
      </c>
      <c r="K527" s="4" t="str">
        <f t="shared" si="25"/>
        <v>2024-12</v>
      </c>
      <c r="L527" s="4" t="str">
        <f t="shared" si="26"/>
        <v>수</v>
      </c>
      <c r="M527" s="2" t="str">
        <f>VLOOKUP($C527, 고객정보!$A$2:$E$151, 2, FALSE)</f>
        <v>서울</v>
      </c>
      <c r="N527" t="str">
        <f>VLOOKUP(C527,고객정보!$A$2:$D$151,4,FALSE)</f>
        <v>L3</v>
      </c>
      <c r="O527" t="str">
        <f>VLOOKUP($C527, 고객정보!$A$2:$E$151, 5, FALSE)</f>
        <v>20대</v>
      </c>
      <c r="P527" t="str">
        <f>VLOOKUP(D527,상품정보!$A$2:$E$61,2,FALSE)</f>
        <v>귀걸이</v>
      </c>
      <c r="Q527" t="str">
        <f>VLOOKUP(D527,상품정보!$A$2:$D$151,3,FALSE)</f>
        <v>액세서리</v>
      </c>
      <c r="R527" t="str">
        <f>VLOOKUP(D527,상품정보!$A$2:$D$151,4,FALSE)</f>
        <v>브랜드F</v>
      </c>
    </row>
    <row r="528" spans="1:18" x14ac:dyDescent="0.45">
      <c r="A528" t="s">
        <v>144</v>
      </c>
      <c r="B528" t="s">
        <v>927</v>
      </c>
      <c r="C528" t="s">
        <v>2511</v>
      </c>
      <c r="D528" t="s">
        <v>2600</v>
      </c>
      <c r="E528">
        <v>4</v>
      </c>
      <c r="F528">
        <v>10900</v>
      </c>
      <c r="G528">
        <v>0</v>
      </c>
      <c r="H528">
        <v>0</v>
      </c>
      <c r="I528" t="s">
        <v>2652</v>
      </c>
      <c r="J528" s="4">
        <f t="shared" si="24"/>
        <v>43600</v>
      </c>
      <c r="K528" s="4" t="str">
        <f t="shared" si="25"/>
        <v>2024-11</v>
      </c>
      <c r="L528" s="4" t="str">
        <f t="shared" si="26"/>
        <v>월</v>
      </c>
      <c r="M528" s="2" t="str">
        <f>VLOOKUP($C528, 고객정보!$A$2:$E$151, 2, FALSE)</f>
        <v>인천</v>
      </c>
      <c r="N528" t="str">
        <f>VLOOKUP(C528,고객정보!$A$2:$D$151,4,FALSE)</f>
        <v>L1</v>
      </c>
      <c r="O528" t="str">
        <f>VLOOKUP($C528, 고객정보!$A$2:$E$151, 5, FALSE)</f>
        <v>50대 이상</v>
      </c>
      <c r="P528" t="str">
        <f>VLOOKUP(D528,상품정보!$A$2:$E$61,2,FALSE)</f>
        <v>셔츠</v>
      </c>
      <c r="Q528" t="str">
        <f>VLOOKUP(D528,상품정보!$A$2:$D$151,3,FALSE)</f>
        <v>의류</v>
      </c>
      <c r="R528" t="str">
        <f>VLOOKUP(D528,상품정보!$A$2:$D$151,4,FALSE)</f>
        <v>브랜드E</v>
      </c>
    </row>
    <row r="529" spans="1:18" x14ac:dyDescent="0.45">
      <c r="A529" t="s">
        <v>106</v>
      </c>
      <c r="B529" t="s">
        <v>928</v>
      </c>
      <c r="C529" t="s">
        <v>2501</v>
      </c>
      <c r="D529" t="s">
        <v>2566</v>
      </c>
      <c r="E529">
        <v>4</v>
      </c>
      <c r="F529">
        <v>60600</v>
      </c>
      <c r="G529">
        <v>2000</v>
      </c>
      <c r="H529">
        <v>0</v>
      </c>
      <c r="I529" t="s">
        <v>2652</v>
      </c>
      <c r="J529" s="4">
        <f t="shared" si="24"/>
        <v>244400</v>
      </c>
      <c r="K529" s="4" t="str">
        <f t="shared" si="25"/>
        <v>2024-06</v>
      </c>
      <c r="L529" s="4" t="str">
        <f t="shared" si="26"/>
        <v>금</v>
      </c>
      <c r="M529" s="2" t="str">
        <f>VLOOKUP($C529, 고객정보!$A$2:$E$151, 2, FALSE)</f>
        <v>서울</v>
      </c>
      <c r="N529" t="str">
        <f>VLOOKUP(C529,고객정보!$A$2:$D$151,4,FALSE)</f>
        <v>L4</v>
      </c>
      <c r="O529" t="str">
        <f>VLOOKUP($C529, 고객정보!$A$2:$E$151, 5, FALSE)</f>
        <v>50대 이상</v>
      </c>
      <c r="P529" t="str">
        <f>VLOOKUP(D529,상품정보!$A$2:$E$61,2,FALSE)</f>
        <v>반팔 티셔츠</v>
      </c>
      <c r="Q529" t="str">
        <f>VLOOKUP(D529,상품정보!$A$2:$D$151,3,FALSE)</f>
        <v>의류</v>
      </c>
      <c r="R529" t="str">
        <f>VLOOKUP(D529,상품정보!$A$2:$D$151,4,FALSE)</f>
        <v>브랜드A</v>
      </c>
    </row>
    <row r="530" spans="1:18" x14ac:dyDescent="0.45">
      <c r="A530" t="s">
        <v>297</v>
      </c>
      <c r="B530" t="s">
        <v>929</v>
      </c>
      <c r="C530" t="s">
        <v>2457</v>
      </c>
      <c r="D530" t="s">
        <v>2564</v>
      </c>
      <c r="E530">
        <v>3</v>
      </c>
      <c r="F530">
        <v>66600</v>
      </c>
      <c r="G530">
        <v>0</v>
      </c>
      <c r="H530">
        <v>0</v>
      </c>
      <c r="I530" t="s">
        <v>2652</v>
      </c>
      <c r="J530" s="4">
        <f t="shared" si="24"/>
        <v>199800</v>
      </c>
      <c r="K530" s="4" t="str">
        <f t="shared" si="25"/>
        <v>2024-11</v>
      </c>
      <c r="L530" s="4" t="str">
        <f t="shared" si="26"/>
        <v>일</v>
      </c>
      <c r="M530" s="2" t="str">
        <f>VLOOKUP($C530, 고객정보!$A$2:$E$151, 2, FALSE)</f>
        <v>인천</v>
      </c>
      <c r="N530" t="str">
        <f>VLOOKUP(C530,고객정보!$A$2:$D$151,4,FALSE)</f>
        <v>L4</v>
      </c>
      <c r="O530" t="str">
        <f>VLOOKUP($C530, 고객정보!$A$2:$E$151, 5, FALSE)</f>
        <v>50대 이상</v>
      </c>
      <c r="P530" t="str">
        <f>VLOOKUP(D530,상품정보!$A$2:$E$61,2,FALSE)</f>
        <v>청바지</v>
      </c>
      <c r="Q530" t="str">
        <f>VLOOKUP(D530,상품정보!$A$2:$D$151,3,FALSE)</f>
        <v>의류</v>
      </c>
      <c r="R530" t="str">
        <f>VLOOKUP(D530,상품정보!$A$2:$D$151,4,FALSE)</f>
        <v>브랜드B</v>
      </c>
    </row>
    <row r="531" spans="1:18" x14ac:dyDescent="0.45">
      <c r="A531" t="s">
        <v>70</v>
      </c>
      <c r="B531" t="s">
        <v>930</v>
      </c>
      <c r="C531" t="s">
        <v>2485</v>
      </c>
      <c r="D531" t="s">
        <v>2565</v>
      </c>
      <c r="E531">
        <v>1</v>
      </c>
      <c r="F531">
        <v>50000</v>
      </c>
      <c r="G531">
        <v>1000</v>
      </c>
      <c r="H531">
        <v>500</v>
      </c>
      <c r="I531" t="s">
        <v>2613</v>
      </c>
      <c r="J531" s="4">
        <f t="shared" si="24"/>
        <v>50500</v>
      </c>
      <c r="K531" s="4" t="str">
        <f t="shared" si="25"/>
        <v>2024-02</v>
      </c>
      <c r="L531" s="4" t="str">
        <f t="shared" si="26"/>
        <v>목</v>
      </c>
      <c r="M531" s="2" t="str">
        <f>VLOOKUP($C531, 고객정보!$A$2:$E$151, 2, FALSE)</f>
        <v>서울</v>
      </c>
      <c r="N531" t="str">
        <f>VLOOKUP(C531,고객정보!$A$2:$D$151,4,FALSE)</f>
        <v>L4</v>
      </c>
      <c r="O531" t="str">
        <f>VLOOKUP($C531, 고객정보!$A$2:$E$151, 5, FALSE)</f>
        <v>40대</v>
      </c>
      <c r="P531" t="str">
        <f>VLOOKUP(D531,상품정보!$A$2:$E$61,2,FALSE)</f>
        <v>핸드폰케이스</v>
      </c>
      <c r="Q531" t="str">
        <f>VLOOKUP(D531,상품정보!$A$2:$D$151,3,FALSE)</f>
        <v>액세서리</v>
      </c>
      <c r="R531" t="str">
        <f>VLOOKUP(D531,상품정보!$A$2:$D$151,4,FALSE)</f>
        <v>브랜드B</v>
      </c>
    </row>
    <row r="532" spans="1:18" x14ac:dyDescent="0.45">
      <c r="A532" t="s">
        <v>151</v>
      </c>
      <c r="B532" t="s">
        <v>931</v>
      </c>
      <c r="C532" t="s">
        <v>2456</v>
      </c>
      <c r="D532" t="s">
        <v>2599</v>
      </c>
      <c r="E532">
        <v>5</v>
      </c>
      <c r="F532">
        <v>73800</v>
      </c>
      <c r="G532">
        <v>500</v>
      </c>
      <c r="H532">
        <v>5800</v>
      </c>
      <c r="I532" t="s">
        <v>2611</v>
      </c>
      <c r="J532" s="4">
        <f t="shared" si="24"/>
        <v>363700</v>
      </c>
      <c r="K532" s="4" t="str">
        <f t="shared" si="25"/>
        <v>2025-01</v>
      </c>
      <c r="L532" s="4" t="str">
        <f t="shared" si="26"/>
        <v>토</v>
      </c>
      <c r="M532" s="2" t="str">
        <f>VLOOKUP($C532, 고객정보!$A$2:$E$151, 2, FALSE)</f>
        <v>대구</v>
      </c>
      <c r="N532" t="str">
        <f>VLOOKUP(C532,고객정보!$A$2:$D$151,4,FALSE)</f>
        <v>L3</v>
      </c>
      <c r="O532" t="str">
        <f>VLOOKUP($C532, 고객정보!$A$2:$E$151, 5, FALSE)</f>
        <v>30대</v>
      </c>
      <c r="P532" t="str">
        <f>VLOOKUP(D532,상품정보!$A$2:$E$61,2,FALSE)</f>
        <v>핸드폰케이스</v>
      </c>
      <c r="Q532" t="str">
        <f>VLOOKUP(D532,상품정보!$A$2:$D$151,3,FALSE)</f>
        <v>액세서리</v>
      </c>
      <c r="R532" t="str">
        <f>VLOOKUP(D532,상품정보!$A$2:$D$151,4,FALSE)</f>
        <v>브랜드F</v>
      </c>
    </row>
    <row r="533" spans="1:18" x14ac:dyDescent="0.45">
      <c r="A533" t="s">
        <v>298</v>
      </c>
      <c r="B533" t="s">
        <v>932</v>
      </c>
      <c r="C533" t="s">
        <v>2432</v>
      </c>
      <c r="D533" t="s">
        <v>2551</v>
      </c>
      <c r="E533">
        <v>2</v>
      </c>
      <c r="F533">
        <v>66600</v>
      </c>
      <c r="G533">
        <v>0</v>
      </c>
      <c r="H533">
        <v>2600</v>
      </c>
      <c r="I533" t="s">
        <v>2613</v>
      </c>
      <c r="J533" s="4">
        <f t="shared" si="24"/>
        <v>130600</v>
      </c>
      <c r="K533" s="4" t="str">
        <f t="shared" si="25"/>
        <v>2024-11</v>
      </c>
      <c r="L533" s="4" t="str">
        <f t="shared" si="26"/>
        <v>목</v>
      </c>
      <c r="M533" s="2" t="str">
        <f>VLOOKUP($C533, 고객정보!$A$2:$E$151, 2, FALSE)</f>
        <v>서울</v>
      </c>
      <c r="N533" t="str">
        <f>VLOOKUP(C533,고객정보!$A$2:$D$151,4,FALSE)</f>
        <v>L5</v>
      </c>
      <c r="O533" t="str">
        <f>VLOOKUP($C533, 고객정보!$A$2:$E$151, 5, FALSE)</f>
        <v>20대</v>
      </c>
      <c r="P533" t="str">
        <f>VLOOKUP(D533,상품정보!$A$2:$E$61,2,FALSE)</f>
        <v>반지</v>
      </c>
      <c r="Q533" t="str">
        <f>VLOOKUP(D533,상품정보!$A$2:$D$151,3,FALSE)</f>
        <v>액세서리</v>
      </c>
      <c r="R533" t="str">
        <f>VLOOKUP(D533,상품정보!$A$2:$D$151,4,FALSE)</f>
        <v>브랜드B</v>
      </c>
    </row>
    <row r="534" spans="1:18" x14ac:dyDescent="0.45">
      <c r="A534" t="s">
        <v>252</v>
      </c>
      <c r="B534" t="s">
        <v>933</v>
      </c>
      <c r="C534" t="s">
        <v>2470</v>
      </c>
      <c r="D534" t="s">
        <v>2564</v>
      </c>
      <c r="E534">
        <v>2</v>
      </c>
      <c r="F534">
        <v>66600</v>
      </c>
      <c r="G534">
        <v>1500</v>
      </c>
      <c r="H534">
        <v>400</v>
      </c>
      <c r="I534" t="s">
        <v>2612</v>
      </c>
      <c r="J534" s="4">
        <f t="shared" si="24"/>
        <v>134300</v>
      </c>
      <c r="K534" s="4" t="str">
        <f t="shared" si="25"/>
        <v>2024-02</v>
      </c>
      <c r="L534" s="4" t="str">
        <f t="shared" si="26"/>
        <v>일</v>
      </c>
      <c r="M534" s="2" t="str">
        <f>VLOOKUP($C534, 고객정보!$A$2:$E$151, 2, FALSE)</f>
        <v>대전</v>
      </c>
      <c r="N534" t="str">
        <f>VLOOKUP(C534,고객정보!$A$2:$D$151,4,FALSE)</f>
        <v>L5</v>
      </c>
      <c r="O534" t="str">
        <f>VLOOKUP($C534, 고객정보!$A$2:$E$151, 5, FALSE)</f>
        <v>20대</v>
      </c>
      <c r="P534" t="str">
        <f>VLOOKUP(D534,상품정보!$A$2:$E$61,2,FALSE)</f>
        <v>청바지</v>
      </c>
      <c r="Q534" t="str">
        <f>VLOOKUP(D534,상품정보!$A$2:$D$151,3,FALSE)</f>
        <v>의류</v>
      </c>
      <c r="R534" t="str">
        <f>VLOOKUP(D534,상품정보!$A$2:$D$151,4,FALSE)</f>
        <v>브랜드B</v>
      </c>
    </row>
    <row r="535" spans="1:18" x14ac:dyDescent="0.45">
      <c r="A535" t="s">
        <v>243</v>
      </c>
      <c r="B535" t="s">
        <v>934</v>
      </c>
      <c r="C535" t="s">
        <v>2467</v>
      </c>
      <c r="D535" t="s">
        <v>2587</v>
      </c>
      <c r="E535">
        <v>3</v>
      </c>
      <c r="F535">
        <v>50200</v>
      </c>
      <c r="G535">
        <v>1000</v>
      </c>
      <c r="H535">
        <v>0</v>
      </c>
      <c r="I535" t="s">
        <v>2652</v>
      </c>
      <c r="J535" s="4">
        <f t="shared" si="24"/>
        <v>151600</v>
      </c>
      <c r="K535" s="4" t="str">
        <f t="shared" si="25"/>
        <v>2024-07</v>
      </c>
      <c r="L535" s="4" t="str">
        <f t="shared" si="26"/>
        <v>목</v>
      </c>
      <c r="M535" s="2" t="str">
        <f>VLOOKUP($C535, 고객정보!$A$2:$E$151, 2, FALSE)</f>
        <v>부산</v>
      </c>
      <c r="N535" t="str">
        <f>VLOOKUP(C535,고객정보!$A$2:$D$151,4,FALSE)</f>
        <v>L4</v>
      </c>
      <c r="O535" t="str">
        <f>VLOOKUP($C535, 고객정보!$A$2:$E$151, 5, FALSE)</f>
        <v>20대</v>
      </c>
      <c r="P535" t="str">
        <f>VLOOKUP(D535,상품정보!$A$2:$E$61,2,FALSE)</f>
        <v>반지</v>
      </c>
      <c r="Q535" t="str">
        <f>VLOOKUP(D535,상품정보!$A$2:$D$151,3,FALSE)</f>
        <v>액세서리</v>
      </c>
      <c r="R535" t="str">
        <f>VLOOKUP(D535,상품정보!$A$2:$D$151,4,FALSE)</f>
        <v>브랜드B</v>
      </c>
    </row>
    <row r="536" spans="1:18" x14ac:dyDescent="0.45">
      <c r="A536" t="s">
        <v>299</v>
      </c>
      <c r="B536" t="s">
        <v>935</v>
      </c>
      <c r="C536" t="s">
        <v>2496</v>
      </c>
      <c r="D536" t="s">
        <v>2563</v>
      </c>
      <c r="E536">
        <v>1</v>
      </c>
      <c r="F536">
        <v>6900</v>
      </c>
      <c r="G536">
        <v>1500</v>
      </c>
      <c r="H536">
        <v>800</v>
      </c>
      <c r="I536" t="s">
        <v>2614</v>
      </c>
      <c r="J536" s="4">
        <f t="shared" si="24"/>
        <v>7600</v>
      </c>
      <c r="K536" s="4" t="str">
        <f t="shared" si="25"/>
        <v>2024-11</v>
      </c>
      <c r="L536" s="4" t="str">
        <f t="shared" si="26"/>
        <v>화</v>
      </c>
      <c r="M536" s="2" t="str">
        <f>VLOOKUP($C536, 고객정보!$A$2:$E$151, 2, FALSE)</f>
        <v>서울</v>
      </c>
      <c r="N536" t="str">
        <f>VLOOKUP(C536,고객정보!$A$2:$D$151,4,FALSE)</f>
        <v>L3</v>
      </c>
      <c r="O536" t="str">
        <f>VLOOKUP($C536, 고객정보!$A$2:$E$151, 5, FALSE)</f>
        <v>50대 이상</v>
      </c>
      <c r="P536" t="str">
        <f>VLOOKUP(D536,상품정보!$A$2:$E$61,2,FALSE)</f>
        <v>귀걸이</v>
      </c>
      <c r="Q536" t="str">
        <f>VLOOKUP(D536,상품정보!$A$2:$D$151,3,FALSE)</f>
        <v>액세서리</v>
      </c>
      <c r="R536" t="str">
        <f>VLOOKUP(D536,상품정보!$A$2:$D$151,4,FALSE)</f>
        <v>브랜드D</v>
      </c>
    </row>
    <row r="537" spans="1:18" x14ac:dyDescent="0.45">
      <c r="A537" t="s">
        <v>97</v>
      </c>
      <c r="B537" t="s">
        <v>936</v>
      </c>
      <c r="C537" t="s">
        <v>2477</v>
      </c>
      <c r="D537" t="s">
        <v>2579</v>
      </c>
      <c r="E537">
        <v>4</v>
      </c>
      <c r="F537">
        <v>51000</v>
      </c>
      <c r="G537">
        <v>0</v>
      </c>
      <c r="H537">
        <v>200</v>
      </c>
      <c r="I537" t="s">
        <v>2612</v>
      </c>
      <c r="J537" s="4">
        <f t="shared" si="24"/>
        <v>203800</v>
      </c>
      <c r="K537" s="4" t="str">
        <f t="shared" si="25"/>
        <v>2024-07</v>
      </c>
      <c r="L537" s="4" t="str">
        <f t="shared" si="26"/>
        <v>월</v>
      </c>
      <c r="M537" s="2" t="str">
        <f>VLOOKUP($C537, 고객정보!$A$2:$E$151, 2, FALSE)</f>
        <v>부산</v>
      </c>
      <c r="N537" t="str">
        <f>VLOOKUP(C537,고객정보!$A$2:$D$151,4,FALSE)</f>
        <v>L4</v>
      </c>
      <c r="O537" t="str">
        <f>VLOOKUP($C537, 고객정보!$A$2:$E$151, 5, FALSE)</f>
        <v>20대</v>
      </c>
      <c r="P537" t="str">
        <f>VLOOKUP(D537,상품정보!$A$2:$E$61,2,FALSE)</f>
        <v>핸드폰케이스</v>
      </c>
      <c r="Q537" t="str">
        <f>VLOOKUP(D537,상품정보!$A$2:$D$151,3,FALSE)</f>
        <v>액세서리</v>
      </c>
      <c r="R537" t="str">
        <f>VLOOKUP(D537,상품정보!$A$2:$D$151,4,FALSE)</f>
        <v>브랜드F</v>
      </c>
    </row>
    <row r="538" spans="1:18" x14ac:dyDescent="0.45">
      <c r="A538" t="s">
        <v>253</v>
      </c>
      <c r="B538" t="s">
        <v>937</v>
      </c>
      <c r="C538" t="s">
        <v>2440</v>
      </c>
      <c r="D538" t="s">
        <v>2556</v>
      </c>
      <c r="E538">
        <v>1</v>
      </c>
      <c r="F538">
        <v>70100</v>
      </c>
      <c r="G538">
        <v>500</v>
      </c>
      <c r="H538">
        <v>0</v>
      </c>
      <c r="I538" t="s">
        <v>2652</v>
      </c>
      <c r="J538" s="4">
        <f t="shared" si="24"/>
        <v>70600</v>
      </c>
      <c r="K538" s="4" t="str">
        <f t="shared" si="25"/>
        <v>2024-10</v>
      </c>
      <c r="L538" s="4" t="str">
        <f t="shared" si="26"/>
        <v>일</v>
      </c>
      <c r="M538" s="2" t="str">
        <f>VLOOKUP($C538, 고객정보!$A$2:$E$151, 2, FALSE)</f>
        <v>대구</v>
      </c>
      <c r="N538" t="str">
        <f>VLOOKUP(C538,고객정보!$A$2:$D$151,4,FALSE)</f>
        <v>L2</v>
      </c>
      <c r="O538" t="str">
        <f>VLOOKUP($C538, 고객정보!$A$2:$E$151, 5, FALSE)</f>
        <v>10대</v>
      </c>
      <c r="P538" t="str">
        <f>VLOOKUP(D538,상품정보!$A$2:$E$61,2,FALSE)</f>
        <v>핸드폰케이스</v>
      </c>
      <c r="Q538" t="str">
        <f>VLOOKUP(D538,상품정보!$A$2:$D$151,3,FALSE)</f>
        <v>액세서리</v>
      </c>
      <c r="R538" t="str">
        <f>VLOOKUP(D538,상품정보!$A$2:$D$151,4,FALSE)</f>
        <v>브랜드F</v>
      </c>
    </row>
    <row r="539" spans="1:18" x14ac:dyDescent="0.45">
      <c r="A539" t="s">
        <v>156</v>
      </c>
      <c r="B539" t="s">
        <v>938</v>
      </c>
      <c r="C539" t="s">
        <v>2430</v>
      </c>
      <c r="D539" t="s">
        <v>2578</v>
      </c>
      <c r="E539">
        <v>3</v>
      </c>
      <c r="F539">
        <v>78000</v>
      </c>
      <c r="G539">
        <v>500</v>
      </c>
      <c r="H539">
        <v>0</v>
      </c>
      <c r="I539" t="s">
        <v>2652</v>
      </c>
      <c r="J539" s="4">
        <f t="shared" si="24"/>
        <v>234500</v>
      </c>
      <c r="K539" s="4" t="str">
        <f t="shared" si="25"/>
        <v>2024-07</v>
      </c>
      <c r="L539" s="4" t="str">
        <f t="shared" si="26"/>
        <v>월</v>
      </c>
      <c r="M539" s="2" t="str">
        <f>VLOOKUP($C539, 고객정보!$A$2:$E$151, 2, FALSE)</f>
        <v>광주</v>
      </c>
      <c r="N539" t="str">
        <f>VLOOKUP(C539,고객정보!$A$2:$D$151,4,FALSE)</f>
        <v>L4</v>
      </c>
      <c r="O539" t="str">
        <f>VLOOKUP($C539, 고객정보!$A$2:$E$151, 5, FALSE)</f>
        <v>30대</v>
      </c>
      <c r="P539" t="str">
        <f>VLOOKUP(D539,상품정보!$A$2:$E$61,2,FALSE)</f>
        <v>귀걸이</v>
      </c>
      <c r="Q539" t="str">
        <f>VLOOKUP(D539,상품정보!$A$2:$D$151,3,FALSE)</f>
        <v>액세서리</v>
      </c>
      <c r="R539" t="str">
        <f>VLOOKUP(D539,상품정보!$A$2:$D$151,4,FALSE)</f>
        <v>브랜드B</v>
      </c>
    </row>
    <row r="540" spans="1:18" x14ac:dyDescent="0.45">
      <c r="A540" t="s">
        <v>300</v>
      </c>
      <c r="B540" t="s">
        <v>939</v>
      </c>
      <c r="C540" t="s">
        <v>2426</v>
      </c>
      <c r="D540" t="s">
        <v>2593</v>
      </c>
      <c r="E540">
        <v>3</v>
      </c>
      <c r="F540">
        <v>74600</v>
      </c>
      <c r="G540">
        <v>0</v>
      </c>
      <c r="H540">
        <v>0</v>
      </c>
      <c r="I540" t="s">
        <v>2652</v>
      </c>
      <c r="J540" s="4">
        <f t="shared" si="24"/>
        <v>223800</v>
      </c>
      <c r="K540" s="4" t="str">
        <f t="shared" si="25"/>
        <v>2024-05</v>
      </c>
      <c r="L540" s="4" t="str">
        <f t="shared" si="26"/>
        <v>화</v>
      </c>
      <c r="M540" s="2" t="str">
        <f>VLOOKUP($C540, 고객정보!$A$2:$E$151, 2, FALSE)</f>
        <v>대전</v>
      </c>
      <c r="N540" t="str">
        <f>VLOOKUP(C540,고객정보!$A$2:$D$151,4,FALSE)</f>
        <v>L5</v>
      </c>
      <c r="O540" t="str">
        <f>VLOOKUP($C540, 고객정보!$A$2:$E$151, 5, FALSE)</f>
        <v>30대</v>
      </c>
      <c r="P540" t="str">
        <f>VLOOKUP(D540,상품정보!$A$2:$E$61,2,FALSE)</f>
        <v>반팔 티셔츠</v>
      </c>
      <c r="Q540" t="str">
        <f>VLOOKUP(D540,상품정보!$A$2:$D$151,3,FALSE)</f>
        <v>의류</v>
      </c>
      <c r="R540" t="str">
        <f>VLOOKUP(D540,상품정보!$A$2:$D$151,4,FALSE)</f>
        <v>브랜드B</v>
      </c>
    </row>
    <row r="541" spans="1:18" x14ac:dyDescent="0.45">
      <c r="A541" t="s">
        <v>301</v>
      </c>
      <c r="B541" t="s">
        <v>940</v>
      </c>
      <c r="C541" t="s">
        <v>2504</v>
      </c>
      <c r="D541" t="s">
        <v>2551</v>
      </c>
      <c r="E541">
        <v>2</v>
      </c>
      <c r="F541">
        <v>66600</v>
      </c>
      <c r="G541">
        <v>0</v>
      </c>
      <c r="H541">
        <v>0</v>
      </c>
      <c r="I541" t="s">
        <v>2652</v>
      </c>
      <c r="J541" s="4">
        <f t="shared" si="24"/>
        <v>133200</v>
      </c>
      <c r="K541" s="4" t="str">
        <f t="shared" si="25"/>
        <v>2024-09</v>
      </c>
      <c r="L541" s="4" t="str">
        <f t="shared" si="26"/>
        <v>목</v>
      </c>
      <c r="M541" s="2" t="str">
        <f>VLOOKUP($C541, 고객정보!$A$2:$E$151, 2, FALSE)</f>
        <v>서울</v>
      </c>
      <c r="N541" t="str">
        <f>VLOOKUP(C541,고객정보!$A$2:$D$151,4,FALSE)</f>
        <v>L1</v>
      </c>
      <c r="O541" t="str">
        <f>VLOOKUP($C541, 고객정보!$A$2:$E$151, 5, FALSE)</f>
        <v>40대</v>
      </c>
      <c r="P541" t="str">
        <f>VLOOKUP(D541,상품정보!$A$2:$E$61,2,FALSE)</f>
        <v>반지</v>
      </c>
      <c r="Q541" t="str">
        <f>VLOOKUP(D541,상품정보!$A$2:$D$151,3,FALSE)</f>
        <v>액세서리</v>
      </c>
      <c r="R541" t="str">
        <f>VLOOKUP(D541,상품정보!$A$2:$D$151,4,FALSE)</f>
        <v>브랜드B</v>
      </c>
    </row>
    <row r="542" spans="1:18" x14ac:dyDescent="0.45">
      <c r="A542" t="s">
        <v>302</v>
      </c>
      <c r="B542" t="s">
        <v>941</v>
      </c>
      <c r="C542" t="s">
        <v>2521</v>
      </c>
      <c r="D542" t="s">
        <v>2559</v>
      </c>
      <c r="E542">
        <v>5</v>
      </c>
      <c r="F542">
        <v>5400</v>
      </c>
      <c r="G542">
        <v>500</v>
      </c>
      <c r="H542">
        <v>300</v>
      </c>
      <c r="I542" t="s">
        <v>2611</v>
      </c>
      <c r="J542" s="4">
        <f t="shared" si="24"/>
        <v>27200</v>
      </c>
      <c r="K542" s="4" t="str">
        <f t="shared" si="25"/>
        <v>2024-03</v>
      </c>
      <c r="L542" s="4" t="str">
        <f t="shared" si="26"/>
        <v>금</v>
      </c>
      <c r="M542" s="2" t="str">
        <f>VLOOKUP($C542, 고객정보!$A$2:$E$151, 2, FALSE)</f>
        <v>서울</v>
      </c>
      <c r="N542" t="str">
        <f>VLOOKUP(C542,고객정보!$A$2:$D$151,4,FALSE)</f>
        <v>L1</v>
      </c>
      <c r="O542" t="str">
        <f>VLOOKUP($C542, 고객정보!$A$2:$E$151, 5, FALSE)</f>
        <v>30대</v>
      </c>
      <c r="P542" t="str">
        <f>VLOOKUP(D542,상품정보!$A$2:$E$61,2,FALSE)</f>
        <v>반지</v>
      </c>
      <c r="Q542" t="str">
        <f>VLOOKUP(D542,상품정보!$A$2:$D$151,3,FALSE)</f>
        <v>액세서리</v>
      </c>
      <c r="R542" t="str">
        <f>VLOOKUP(D542,상품정보!$A$2:$D$151,4,FALSE)</f>
        <v>브랜드D</v>
      </c>
    </row>
    <row r="543" spans="1:18" x14ac:dyDescent="0.45">
      <c r="A543" t="s">
        <v>22</v>
      </c>
      <c r="B543" t="s">
        <v>942</v>
      </c>
      <c r="C543" t="s">
        <v>2428</v>
      </c>
      <c r="D543" t="s">
        <v>2587</v>
      </c>
      <c r="E543">
        <v>3</v>
      </c>
      <c r="F543">
        <v>50200</v>
      </c>
      <c r="G543">
        <v>500</v>
      </c>
      <c r="H543">
        <v>0</v>
      </c>
      <c r="I543" t="s">
        <v>2652</v>
      </c>
      <c r="J543" s="4">
        <f t="shared" si="24"/>
        <v>151100</v>
      </c>
      <c r="K543" s="4" t="str">
        <f t="shared" si="25"/>
        <v>2024-12</v>
      </c>
      <c r="L543" s="4" t="str">
        <f t="shared" si="26"/>
        <v>목</v>
      </c>
      <c r="M543" s="2" t="str">
        <f>VLOOKUP($C543, 고객정보!$A$2:$E$151, 2, FALSE)</f>
        <v>광주</v>
      </c>
      <c r="N543" t="str">
        <f>VLOOKUP(C543,고객정보!$A$2:$D$151,4,FALSE)</f>
        <v>L4</v>
      </c>
      <c r="O543" t="str">
        <f>VLOOKUP($C543, 고객정보!$A$2:$E$151, 5, FALSE)</f>
        <v>10대</v>
      </c>
      <c r="P543" t="str">
        <f>VLOOKUP(D543,상품정보!$A$2:$E$61,2,FALSE)</f>
        <v>반지</v>
      </c>
      <c r="Q543" t="str">
        <f>VLOOKUP(D543,상품정보!$A$2:$D$151,3,FALSE)</f>
        <v>액세서리</v>
      </c>
      <c r="R543" t="str">
        <f>VLOOKUP(D543,상품정보!$A$2:$D$151,4,FALSE)</f>
        <v>브랜드B</v>
      </c>
    </row>
    <row r="544" spans="1:18" x14ac:dyDescent="0.45">
      <c r="A544" t="s">
        <v>294</v>
      </c>
      <c r="B544" t="s">
        <v>943</v>
      </c>
      <c r="C544" t="s">
        <v>2457</v>
      </c>
      <c r="D544" t="s">
        <v>2572</v>
      </c>
      <c r="E544">
        <v>5</v>
      </c>
      <c r="F544">
        <v>61700</v>
      </c>
      <c r="G544">
        <v>1000</v>
      </c>
      <c r="H544">
        <v>0</v>
      </c>
      <c r="I544" t="s">
        <v>2652</v>
      </c>
      <c r="J544" s="4">
        <f t="shared" si="24"/>
        <v>309500</v>
      </c>
      <c r="K544" s="4" t="str">
        <f t="shared" si="25"/>
        <v>2024-05</v>
      </c>
      <c r="L544" s="4" t="str">
        <f t="shared" si="26"/>
        <v>일</v>
      </c>
      <c r="M544" s="2" t="str">
        <f>VLOOKUP($C544, 고객정보!$A$2:$E$151, 2, FALSE)</f>
        <v>인천</v>
      </c>
      <c r="N544" t="str">
        <f>VLOOKUP(C544,고객정보!$A$2:$D$151,4,FALSE)</f>
        <v>L4</v>
      </c>
      <c r="O544" t="str">
        <f>VLOOKUP($C544, 고객정보!$A$2:$E$151, 5, FALSE)</f>
        <v>50대 이상</v>
      </c>
      <c r="P544" t="str">
        <f>VLOOKUP(D544,상품정보!$A$2:$E$61,2,FALSE)</f>
        <v>반팔 티셔츠</v>
      </c>
      <c r="Q544" t="str">
        <f>VLOOKUP(D544,상품정보!$A$2:$D$151,3,FALSE)</f>
        <v>의류</v>
      </c>
      <c r="R544" t="str">
        <f>VLOOKUP(D544,상품정보!$A$2:$D$151,4,FALSE)</f>
        <v>브랜드F</v>
      </c>
    </row>
    <row r="545" spans="1:18" x14ac:dyDescent="0.45">
      <c r="A545" t="s">
        <v>303</v>
      </c>
      <c r="B545" t="s">
        <v>944</v>
      </c>
      <c r="C545" t="s">
        <v>2510</v>
      </c>
      <c r="D545" t="s">
        <v>2555</v>
      </c>
      <c r="E545">
        <v>1</v>
      </c>
      <c r="F545">
        <v>8300</v>
      </c>
      <c r="G545">
        <v>0</v>
      </c>
      <c r="H545">
        <v>0</v>
      </c>
      <c r="I545" t="s">
        <v>2652</v>
      </c>
      <c r="J545" s="4">
        <f t="shared" si="24"/>
        <v>8300</v>
      </c>
      <c r="K545" s="4" t="str">
        <f t="shared" si="25"/>
        <v>2024-03</v>
      </c>
      <c r="L545" s="4" t="str">
        <f t="shared" si="26"/>
        <v>일</v>
      </c>
      <c r="M545" s="2" t="str">
        <f>VLOOKUP($C545, 고객정보!$A$2:$E$151, 2, FALSE)</f>
        <v>부산</v>
      </c>
      <c r="N545" t="str">
        <f>VLOOKUP(C545,고객정보!$A$2:$D$151,4,FALSE)</f>
        <v>L3</v>
      </c>
      <c r="O545" t="str">
        <f>VLOOKUP($C545, 고객정보!$A$2:$E$151, 5, FALSE)</f>
        <v>20대</v>
      </c>
      <c r="P545" t="str">
        <f>VLOOKUP(D545,상품정보!$A$2:$E$61,2,FALSE)</f>
        <v>청바지</v>
      </c>
      <c r="Q545" t="str">
        <f>VLOOKUP(D545,상품정보!$A$2:$D$151,3,FALSE)</f>
        <v>의류</v>
      </c>
      <c r="R545" t="str">
        <f>VLOOKUP(D545,상품정보!$A$2:$D$151,4,FALSE)</f>
        <v>브랜드E</v>
      </c>
    </row>
    <row r="546" spans="1:18" x14ac:dyDescent="0.45">
      <c r="A546" t="s">
        <v>271</v>
      </c>
      <c r="B546" t="s">
        <v>945</v>
      </c>
      <c r="C546" t="s">
        <v>2421</v>
      </c>
      <c r="D546" t="s">
        <v>2556</v>
      </c>
      <c r="E546">
        <v>2</v>
      </c>
      <c r="F546">
        <v>70100</v>
      </c>
      <c r="G546">
        <v>500</v>
      </c>
      <c r="H546">
        <v>0</v>
      </c>
      <c r="I546" t="s">
        <v>2652</v>
      </c>
      <c r="J546" s="4">
        <f t="shared" si="24"/>
        <v>140700</v>
      </c>
      <c r="K546" s="4" t="str">
        <f t="shared" si="25"/>
        <v>2024-12</v>
      </c>
      <c r="L546" s="4" t="str">
        <f t="shared" si="26"/>
        <v>화</v>
      </c>
      <c r="M546" s="2" t="str">
        <f>VLOOKUP($C546, 고객정보!$A$2:$E$151, 2, FALSE)</f>
        <v>부산</v>
      </c>
      <c r="N546" t="str">
        <f>VLOOKUP(C546,고객정보!$A$2:$D$151,4,FALSE)</f>
        <v>L3</v>
      </c>
      <c r="O546" t="str">
        <f>VLOOKUP($C546, 고객정보!$A$2:$E$151, 5, FALSE)</f>
        <v>30대</v>
      </c>
      <c r="P546" t="str">
        <f>VLOOKUP(D546,상품정보!$A$2:$E$61,2,FALSE)</f>
        <v>핸드폰케이스</v>
      </c>
      <c r="Q546" t="str">
        <f>VLOOKUP(D546,상품정보!$A$2:$D$151,3,FALSE)</f>
        <v>액세서리</v>
      </c>
      <c r="R546" t="str">
        <f>VLOOKUP(D546,상품정보!$A$2:$D$151,4,FALSE)</f>
        <v>브랜드F</v>
      </c>
    </row>
    <row r="547" spans="1:18" x14ac:dyDescent="0.45">
      <c r="A547" t="s">
        <v>131</v>
      </c>
      <c r="B547" t="s">
        <v>946</v>
      </c>
      <c r="C547" t="s">
        <v>2459</v>
      </c>
      <c r="D547" t="s">
        <v>2553</v>
      </c>
      <c r="E547">
        <v>3</v>
      </c>
      <c r="F547">
        <v>63400</v>
      </c>
      <c r="G547">
        <v>1000</v>
      </c>
      <c r="H547">
        <v>0</v>
      </c>
      <c r="I547" t="s">
        <v>2652</v>
      </c>
      <c r="J547" s="4">
        <f t="shared" si="24"/>
        <v>191200</v>
      </c>
      <c r="K547" s="4" t="str">
        <f t="shared" si="25"/>
        <v>2024-12</v>
      </c>
      <c r="L547" s="4" t="str">
        <f t="shared" si="26"/>
        <v>토</v>
      </c>
      <c r="M547" s="2" t="str">
        <f>VLOOKUP($C547, 고객정보!$A$2:$E$151, 2, FALSE)</f>
        <v>광주</v>
      </c>
      <c r="N547" t="str">
        <f>VLOOKUP(C547,고객정보!$A$2:$D$151,4,FALSE)</f>
        <v>L4</v>
      </c>
      <c r="O547" t="str">
        <f>VLOOKUP($C547, 고객정보!$A$2:$E$151, 5, FALSE)</f>
        <v>50대 이상</v>
      </c>
      <c r="P547" t="str">
        <f>VLOOKUP(D547,상품정보!$A$2:$E$61,2,FALSE)</f>
        <v>귀걸이</v>
      </c>
      <c r="Q547" t="str">
        <f>VLOOKUP(D547,상품정보!$A$2:$D$151,3,FALSE)</f>
        <v>액세서리</v>
      </c>
      <c r="R547" t="str">
        <f>VLOOKUP(D547,상품정보!$A$2:$D$151,4,FALSE)</f>
        <v>브랜드F</v>
      </c>
    </row>
    <row r="548" spans="1:18" x14ac:dyDescent="0.45">
      <c r="A548" t="s">
        <v>304</v>
      </c>
      <c r="B548" t="s">
        <v>947</v>
      </c>
      <c r="C548" t="s">
        <v>2412</v>
      </c>
      <c r="D548" t="s">
        <v>2588</v>
      </c>
      <c r="E548">
        <v>1</v>
      </c>
      <c r="F548">
        <v>7700</v>
      </c>
      <c r="G548">
        <v>0</v>
      </c>
      <c r="H548">
        <v>0</v>
      </c>
      <c r="I548" t="s">
        <v>2652</v>
      </c>
      <c r="J548" s="4">
        <f t="shared" si="24"/>
        <v>7700</v>
      </c>
      <c r="K548" s="4" t="str">
        <f t="shared" si="25"/>
        <v>2024-10</v>
      </c>
      <c r="L548" s="4" t="str">
        <f t="shared" si="26"/>
        <v>화</v>
      </c>
      <c r="M548" s="2" t="str">
        <f>VLOOKUP($C548, 고객정보!$A$2:$E$151, 2, FALSE)</f>
        <v>대전</v>
      </c>
      <c r="N548" t="str">
        <f>VLOOKUP(C548,고객정보!$A$2:$D$151,4,FALSE)</f>
        <v>L4</v>
      </c>
      <c r="O548" t="str">
        <f>VLOOKUP($C548, 고객정보!$A$2:$E$151, 5, FALSE)</f>
        <v>30대</v>
      </c>
      <c r="P548" t="str">
        <f>VLOOKUP(D548,상품정보!$A$2:$E$61,2,FALSE)</f>
        <v>귀걸이</v>
      </c>
      <c r="Q548" t="str">
        <f>VLOOKUP(D548,상품정보!$A$2:$D$151,3,FALSE)</f>
        <v>액세서리</v>
      </c>
      <c r="R548" t="str">
        <f>VLOOKUP(D548,상품정보!$A$2:$D$151,4,FALSE)</f>
        <v>브랜드D</v>
      </c>
    </row>
    <row r="549" spans="1:18" x14ac:dyDescent="0.45">
      <c r="A549" t="s">
        <v>79</v>
      </c>
      <c r="B549" t="s">
        <v>948</v>
      </c>
      <c r="C549" t="s">
        <v>2502</v>
      </c>
      <c r="D549" t="s">
        <v>2595</v>
      </c>
      <c r="E549">
        <v>3</v>
      </c>
      <c r="F549">
        <v>12700</v>
      </c>
      <c r="G549">
        <v>0</v>
      </c>
      <c r="H549">
        <v>0</v>
      </c>
      <c r="I549" t="s">
        <v>2652</v>
      </c>
      <c r="J549" s="4">
        <f t="shared" si="24"/>
        <v>38100</v>
      </c>
      <c r="K549" s="4" t="str">
        <f t="shared" si="25"/>
        <v>2024-03</v>
      </c>
      <c r="L549" s="4" t="str">
        <f t="shared" si="26"/>
        <v>목</v>
      </c>
      <c r="M549" s="2" t="str">
        <f>VLOOKUP($C549, 고객정보!$A$2:$E$151, 2, FALSE)</f>
        <v>부산</v>
      </c>
      <c r="N549" t="str">
        <f>VLOOKUP(C549,고객정보!$A$2:$D$151,4,FALSE)</f>
        <v>L4</v>
      </c>
      <c r="O549" t="str">
        <f>VLOOKUP($C549, 고객정보!$A$2:$E$151, 5, FALSE)</f>
        <v>20대</v>
      </c>
      <c r="P549" t="str">
        <f>VLOOKUP(D549,상품정보!$A$2:$E$61,2,FALSE)</f>
        <v>반지</v>
      </c>
      <c r="Q549" t="str">
        <f>VLOOKUP(D549,상품정보!$A$2:$D$151,3,FALSE)</f>
        <v>액세서리</v>
      </c>
      <c r="R549" t="str">
        <f>VLOOKUP(D549,상품정보!$A$2:$D$151,4,FALSE)</f>
        <v>브랜드C</v>
      </c>
    </row>
    <row r="550" spans="1:18" x14ac:dyDescent="0.45">
      <c r="A550" t="s">
        <v>210</v>
      </c>
      <c r="B550" t="s">
        <v>949</v>
      </c>
      <c r="C550" t="s">
        <v>2536</v>
      </c>
      <c r="D550" t="s">
        <v>2577</v>
      </c>
      <c r="E550">
        <v>3</v>
      </c>
      <c r="F550">
        <v>10200</v>
      </c>
      <c r="G550">
        <v>0</v>
      </c>
      <c r="H550">
        <v>0</v>
      </c>
      <c r="I550" t="s">
        <v>2652</v>
      </c>
      <c r="J550" s="4">
        <f t="shared" si="24"/>
        <v>30600</v>
      </c>
      <c r="K550" s="4" t="str">
        <f t="shared" si="25"/>
        <v>2024-09</v>
      </c>
      <c r="L550" s="4" t="str">
        <f t="shared" si="26"/>
        <v>화</v>
      </c>
      <c r="M550" s="2" t="str">
        <f>VLOOKUP($C550, 고객정보!$A$2:$E$151, 2, FALSE)</f>
        <v>서울</v>
      </c>
      <c r="N550" t="str">
        <f>VLOOKUP(C550,고객정보!$A$2:$D$151,4,FALSE)</f>
        <v>L5</v>
      </c>
      <c r="O550" t="str">
        <f>VLOOKUP($C550, 고객정보!$A$2:$E$151, 5, FALSE)</f>
        <v>20대</v>
      </c>
      <c r="P550" t="str">
        <f>VLOOKUP(D550,상품정보!$A$2:$E$61,2,FALSE)</f>
        <v>셔츠</v>
      </c>
      <c r="Q550" t="str">
        <f>VLOOKUP(D550,상품정보!$A$2:$D$151,3,FALSE)</f>
        <v>의류</v>
      </c>
      <c r="R550" t="str">
        <f>VLOOKUP(D550,상품정보!$A$2:$D$151,4,FALSE)</f>
        <v>브랜드C</v>
      </c>
    </row>
    <row r="551" spans="1:18" x14ac:dyDescent="0.45">
      <c r="A551" t="s">
        <v>35</v>
      </c>
      <c r="B551" t="s">
        <v>950</v>
      </c>
      <c r="C551" t="s">
        <v>2402</v>
      </c>
      <c r="D551" t="s">
        <v>2580</v>
      </c>
      <c r="E551">
        <v>2</v>
      </c>
      <c r="F551">
        <v>77800</v>
      </c>
      <c r="G551">
        <v>0</v>
      </c>
      <c r="H551">
        <v>2400</v>
      </c>
      <c r="I551" t="s">
        <v>2611</v>
      </c>
      <c r="J551" s="4">
        <f t="shared" si="24"/>
        <v>153200</v>
      </c>
      <c r="K551" s="4" t="str">
        <f t="shared" si="25"/>
        <v>2024-03</v>
      </c>
      <c r="L551" s="4" t="str">
        <f t="shared" si="26"/>
        <v>화</v>
      </c>
      <c r="M551" s="2" t="str">
        <f>VLOOKUP($C551, 고객정보!$A$2:$E$151, 2, FALSE)</f>
        <v>서울</v>
      </c>
      <c r="N551" t="str">
        <f>VLOOKUP(C551,고객정보!$A$2:$D$151,4,FALSE)</f>
        <v>L2</v>
      </c>
      <c r="O551" t="str">
        <f>VLOOKUP($C551, 고객정보!$A$2:$E$151, 5, FALSE)</f>
        <v>30대</v>
      </c>
      <c r="P551" t="str">
        <f>VLOOKUP(D551,상품정보!$A$2:$E$61,2,FALSE)</f>
        <v>청바지</v>
      </c>
      <c r="Q551" t="str">
        <f>VLOOKUP(D551,상품정보!$A$2:$D$151,3,FALSE)</f>
        <v>의류</v>
      </c>
      <c r="R551" t="str">
        <f>VLOOKUP(D551,상품정보!$A$2:$D$151,4,FALSE)</f>
        <v>브랜드A</v>
      </c>
    </row>
    <row r="552" spans="1:18" x14ac:dyDescent="0.45">
      <c r="A552" t="s">
        <v>12</v>
      </c>
      <c r="B552" t="s">
        <v>951</v>
      </c>
      <c r="C552" t="s">
        <v>2467</v>
      </c>
      <c r="D552" t="s">
        <v>2577</v>
      </c>
      <c r="E552">
        <v>4</v>
      </c>
      <c r="F552">
        <v>10200</v>
      </c>
      <c r="G552">
        <v>2000</v>
      </c>
      <c r="H552">
        <v>0</v>
      </c>
      <c r="I552" t="s">
        <v>2652</v>
      </c>
      <c r="J552" s="4">
        <f t="shared" si="24"/>
        <v>42800</v>
      </c>
      <c r="K552" s="4" t="str">
        <f t="shared" si="25"/>
        <v>2024-01</v>
      </c>
      <c r="L552" s="4" t="str">
        <f t="shared" si="26"/>
        <v>일</v>
      </c>
      <c r="M552" s="2" t="str">
        <f>VLOOKUP($C552, 고객정보!$A$2:$E$151, 2, FALSE)</f>
        <v>부산</v>
      </c>
      <c r="N552" t="str">
        <f>VLOOKUP(C552,고객정보!$A$2:$D$151,4,FALSE)</f>
        <v>L4</v>
      </c>
      <c r="O552" t="str">
        <f>VLOOKUP($C552, 고객정보!$A$2:$E$151, 5, FALSE)</f>
        <v>20대</v>
      </c>
      <c r="P552" t="str">
        <f>VLOOKUP(D552,상품정보!$A$2:$E$61,2,FALSE)</f>
        <v>셔츠</v>
      </c>
      <c r="Q552" t="str">
        <f>VLOOKUP(D552,상품정보!$A$2:$D$151,3,FALSE)</f>
        <v>의류</v>
      </c>
      <c r="R552" t="str">
        <f>VLOOKUP(D552,상품정보!$A$2:$D$151,4,FALSE)</f>
        <v>브랜드C</v>
      </c>
    </row>
    <row r="553" spans="1:18" x14ac:dyDescent="0.45">
      <c r="A553" t="s">
        <v>175</v>
      </c>
      <c r="B553" t="s">
        <v>952</v>
      </c>
      <c r="C553" t="s">
        <v>2415</v>
      </c>
      <c r="D553" t="s">
        <v>2562</v>
      </c>
      <c r="E553">
        <v>5</v>
      </c>
      <c r="F553">
        <v>15600</v>
      </c>
      <c r="G553">
        <v>500</v>
      </c>
      <c r="H553">
        <v>1900</v>
      </c>
      <c r="I553" t="s">
        <v>2611</v>
      </c>
      <c r="J553" s="4">
        <f t="shared" si="24"/>
        <v>76600</v>
      </c>
      <c r="K553" s="4" t="str">
        <f t="shared" si="25"/>
        <v>2024-07</v>
      </c>
      <c r="L553" s="4" t="str">
        <f t="shared" si="26"/>
        <v>일</v>
      </c>
      <c r="M553" s="2" t="str">
        <f>VLOOKUP($C553, 고객정보!$A$2:$E$151, 2, FALSE)</f>
        <v>광주</v>
      </c>
      <c r="N553" t="str">
        <f>VLOOKUP(C553,고객정보!$A$2:$D$151,4,FALSE)</f>
        <v>L3</v>
      </c>
      <c r="O553" t="str">
        <f>VLOOKUP($C553, 고객정보!$A$2:$E$151, 5, FALSE)</f>
        <v>30대</v>
      </c>
      <c r="P553" t="str">
        <f>VLOOKUP(D553,상품정보!$A$2:$E$61,2,FALSE)</f>
        <v>반팔 티셔츠</v>
      </c>
      <c r="Q553" t="str">
        <f>VLOOKUP(D553,상품정보!$A$2:$D$151,3,FALSE)</f>
        <v>의류</v>
      </c>
      <c r="R553" t="str">
        <f>VLOOKUP(D553,상품정보!$A$2:$D$151,4,FALSE)</f>
        <v>브랜드E</v>
      </c>
    </row>
    <row r="554" spans="1:18" x14ac:dyDescent="0.45">
      <c r="A554" t="s">
        <v>240</v>
      </c>
      <c r="B554" t="s">
        <v>953</v>
      </c>
      <c r="C554" t="s">
        <v>2434</v>
      </c>
      <c r="D554" t="s">
        <v>2570</v>
      </c>
      <c r="E554">
        <v>5</v>
      </c>
      <c r="F554">
        <v>73900</v>
      </c>
      <c r="G554">
        <v>0</v>
      </c>
      <c r="H554">
        <v>0</v>
      </c>
      <c r="I554" t="s">
        <v>2652</v>
      </c>
      <c r="J554" s="4">
        <f t="shared" si="24"/>
        <v>369500</v>
      </c>
      <c r="K554" s="4" t="str">
        <f t="shared" si="25"/>
        <v>2024-03</v>
      </c>
      <c r="L554" s="4" t="str">
        <f t="shared" si="26"/>
        <v>목</v>
      </c>
      <c r="M554" s="2" t="str">
        <f>VLOOKUP($C554, 고객정보!$A$2:$E$151, 2, FALSE)</f>
        <v>대구</v>
      </c>
      <c r="N554" t="str">
        <f>VLOOKUP(C554,고객정보!$A$2:$D$151,4,FALSE)</f>
        <v>L1</v>
      </c>
      <c r="O554" t="str">
        <f>VLOOKUP($C554, 고객정보!$A$2:$E$151, 5, FALSE)</f>
        <v>10대</v>
      </c>
      <c r="P554" t="str">
        <f>VLOOKUP(D554,상품정보!$A$2:$E$61,2,FALSE)</f>
        <v>반지</v>
      </c>
      <c r="Q554" t="str">
        <f>VLOOKUP(D554,상품정보!$A$2:$D$151,3,FALSE)</f>
        <v>액세서리</v>
      </c>
      <c r="R554" t="str">
        <f>VLOOKUP(D554,상품정보!$A$2:$D$151,4,FALSE)</f>
        <v>브랜드B</v>
      </c>
    </row>
    <row r="555" spans="1:18" x14ac:dyDescent="0.45">
      <c r="A555" t="s">
        <v>156</v>
      </c>
      <c r="B555" t="s">
        <v>954</v>
      </c>
      <c r="C555" t="s">
        <v>2544</v>
      </c>
      <c r="D555" t="s">
        <v>2571</v>
      </c>
      <c r="E555">
        <v>3</v>
      </c>
      <c r="F555">
        <v>55600</v>
      </c>
      <c r="G555">
        <v>0</v>
      </c>
      <c r="H555">
        <v>0</v>
      </c>
      <c r="I555" t="s">
        <v>2652</v>
      </c>
      <c r="J555" s="4">
        <f t="shared" si="24"/>
        <v>166800</v>
      </c>
      <c r="K555" s="4" t="str">
        <f t="shared" si="25"/>
        <v>2024-07</v>
      </c>
      <c r="L555" s="4" t="str">
        <f t="shared" si="26"/>
        <v>월</v>
      </c>
      <c r="M555" s="2" t="str">
        <f>VLOOKUP($C555, 고객정보!$A$2:$E$151, 2, FALSE)</f>
        <v>서울</v>
      </c>
      <c r="N555" t="str">
        <f>VLOOKUP(C555,고객정보!$A$2:$D$151,4,FALSE)</f>
        <v>L5</v>
      </c>
      <c r="O555" t="str">
        <f>VLOOKUP($C555, 고객정보!$A$2:$E$151, 5, FALSE)</f>
        <v>40대</v>
      </c>
      <c r="P555" t="str">
        <f>VLOOKUP(D555,상품정보!$A$2:$E$61,2,FALSE)</f>
        <v>자켓</v>
      </c>
      <c r="Q555" t="str">
        <f>VLOOKUP(D555,상품정보!$A$2:$D$151,3,FALSE)</f>
        <v>의류</v>
      </c>
      <c r="R555" t="str">
        <f>VLOOKUP(D555,상품정보!$A$2:$D$151,4,FALSE)</f>
        <v>브랜드B</v>
      </c>
    </row>
    <row r="556" spans="1:18" x14ac:dyDescent="0.45">
      <c r="A556" t="s">
        <v>43</v>
      </c>
      <c r="B556" t="s">
        <v>955</v>
      </c>
      <c r="C556" t="s">
        <v>2466</v>
      </c>
      <c r="D556" t="s">
        <v>2578</v>
      </c>
      <c r="E556">
        <v>4</v>
      </c>
      <c r="F556">
        <v>78000</v>
      </c>
      <c r="G556">
        <v>1500</v>
      </c>
      <c r="H556">
        <v>100</v>
      </c>
      <c r="I556" t="s">
        <v>2612</v>
      </c>
      <c r="J556" s="4">
        <f t="shared" si="24"/>
        <v>313400</v>
      </c>
      <c r="K556" s="4" t="str">
        <f t="shared" si="25"/>
        <v>2025-01</v>
      </c>
      <c r="L556" s="4" t="str">
        <f t="shared" si="26"/>
        <v>화</v>
      </c>
      <c r="M556" s="2" t="str">
        <f>VLOOKUP($C556, 고객정보!$A$2:$E$151, 2, FALSE)</f>
        <v>부산</v>
      </c>
      <c r="N556" t="str">
        <f>VLOOKUP(C556,고객정보!$A$2:$D$151,4,FALSE)</f>
        <v>L2</v>
      </c>
      <c r="O556" t="str">
        <f>VLOOKUP($C556, 고객정보!$A$2:$E$151, 5, FALSE)</f>
        <v>50대 이상</v>
      </c>
      <c r="P556" t="str">
        <f>VLOOKUP(D556,상품정보!$A$2:$E$61,2,FALSE)</f>
        <v>귀걸이</v>
      </c>
      <c r="Q556" t="str">
        <f>VLOOKUP(D556,상품정보!$A$2:$D$151,3,FALSE)</f>
        <v>액세서리</v>
      </c>
      <c r="R556" t="str">
        <f>VLOOKUP(D556,상품정보!$A$2:$D$151,4,FALSE)</f>
        <v>브랜드B</v>
      </c>
    </row>
    <row r="557" spans="1:18" x14ac:dyDescent="0.45">
      <c r="A557" t="s">
        <v>184</v>
      </c>
      <c r="B557" t="s">
        <v>956</v>
      </c>
      <c r="C557" t="s">
        <v>2460</v>
      </c>
      <c r="D557" t="s">
        <v>2602</v>
      </c>
      <c r="E557">
        <v>5</v>
      </c>
      <c r="F557">
        <v>59900</v>
      </c>
      <c r="G557">
        <v>2000</v>
      </c>
      <c r="H557">
        <v>0</v>
      </c>
      <c r="I557" t="s">
        <v>2652</v>
      </c>
      <c r="J557" s="4">
        <f t="shared" si="24"/>
        <v>301500</v>
      </c>
      <c r="K557" s="4" t="str">
        <f t="shared" si="25"/>
        <v>2024-02</v>
      </c>
      <c r="L557" s="4" t="str">
        <f t="shared" si="26"/>
        <v>수</v>
      </c>
      <c r="M557" s="2" t="str">
        <f>VLOOKUP($C557, 고객정보!$A$2:$E$151, 2, FALSE)</f>
        <v>대전</v>
      </c>
      <c r="N557" t="str">
        <f>VLOOKUP(C557,고객정보!$A$2:$D$151,4,FALSE)</f>
        <v>L4</v>
      </c>
      <c r="O557" t="str">
        <f>VLOOKUP($C557, 고객정보!$A$2:$E$151, 5, FALSE)</f>
        <v>20대</v>
      </c>
      <c r="P557" t="str">
        <f>VLOOKUP(D557,상품정보!$A$2:$E$61,2,FALSE)</f>
        <v>셔츠</v>
      </c>
      <c r="Q557" t="str">
        <f>VLOOKUP(D557,상품정보!$A$2:$D$151,3,FALSE)</f>
        <v>의류</v>
      </c>
      <c r="R557" t="str">
        <f>VLOOKUP(D557,상품정보!$A$2:$D$151,4,FALSE)</f>
        <v>브랜드A</v>
      </c>
    </row>
    <row r="558" spans="1:18" x14ac:dyDescent="0.45">
      <c r="A558" t="s">
        <v>270</v>
      </c>
      <c r="B558" t="s">
        <v>957</v>
      </c>
      <c r="C558" t="s">
        <v>2475</v>
      </c>
      <c r="D558" t="s">
        <v>2597</v>
      </c>
      <c r="E558">
        <v>1</v>
      </c>
      <c r="F558">
        <v>65300</v>
      </c>
      <c r="G558">
        <v>2000</v>
      </c>
      <c r="H558">
        <v>0</v>
      </c>
      <c r="I558" t="s">
        <v>2652</v>
      </c>
      <c r="J558" s="4">
        <f t="shared" si="24"/>
        <v>67300</v>
      </c>
      <c r="K558" s="4" t="str">
        <f t="shared" si="25"/>
        <v>2024-08</v>
      </c>
      <c r="L558" s="4" t="str">
        <f t="shared" si="26"/>
        <v>일</v>
      </c>
      <c r="M558" s="2" t="str">
        <f>VLOOKUP($C558, 고객정보!$A$2:$E$151, 2, FALSE)</f>
        <v>서울</v>
      </c>
      <c r="N558" t="str">
        <f>VLOOKUP(C558,고객정보!$A$2:$D$151,4,FALSE)</f>
        <v>L2</v>
      </c>
      <c r="O558" t="str">
        <f>VLOOKUP($C558, 고객정보!$A$2:$E$151, 5, FALSE)</f>
        <v>10대</v>
      </c>
      <c r="P558" t="str">
        <f>VLOOKUP(D558,상품정보!$A$2:$E$61,2,FALSE)</f>
        <v>반지</v>
      </c>
      <c r="Q558" t="str">
        <f>VLOOKUP(D558,상품정보!$A$2:$D$151,3,FALSE)</f>
        <v>액세서리</v>
      </c>
      <c r="R558" t="str">
        <f>VLOOKUP(D558,상품정보!$A$2:$D$151,4,FALSE)</f>
        <v>브랜드F</v>
      </c>
    </row>
    <row r="559" spans="1:18" x14ac:dyDescent="0.45">
      <c r="A559" t="s">
        <v>176</v>
      </c>
      <c r="B559" t="s">
        <v>958</v>
      </c>
      <c r="C559" t="s">
        <v>2434</v>
      </c>
      <c r="D559" t="s">
        <v>2579</v>
      </c>
      <c r="E559">
        <v>5</v>
      </c>
      <c r="F559">
        <v>51000</v>
      </c>
      <c r="G559">
        <v>500</v>
      </c>
      <c r="H559">
        <v>0</v>
      </c>
      <c r="I559" t="s">
        <v>2652</v>
      </c>
      <c r="J559" s="4">
        <f t="shared" si="24"/>
        <v>255500</v>
      </c>
      <c r="K559" s="4" t="str">
        <f t="shared" si="25"/>
        <v>2024-06</v>
      </c>
      <c r="L559" s="4" t="str">
        <f t="shared" si="26"/>
        <v>화</v>
      </c>
      <c r="M559" s="2" t="str">
        <f>VLOOKUP($C559, 고객정보!$A$2:$E$151, 2, FALSE)</f>
        <v>대구</v>
      </c>
      <c r="N559" t="str">
        <f>VLOOKUP(C559,고객정보!$A$2:$D$151,4,FALSE)</f>
        <v>L1</v>
      </c>
      <c r="O559" t="str">
        <f>VLOOKUP($C559, 고객정보!$A$2:$E$151, 5, FALSE)</f>
        <v>10대</v>
      </c>
      <c r="P559" t="str">
        <f>VLOOKUP(D559,상품정보!$A$2:$E$61,2,FALSE)</f>
        <v>핸드폰케이스</v>
      </c>
      <c r="Q559" t="str">
        <f>VLOOKUP(D559,상품정보!$A$2:$D$151,3,FALSE)</f>
        <v>액세서리</v>
      </c>
      <c r="R559" t="str">
        <f>VLOOKUP(D559,상품정보!$A$2:$D$151,4,FALSE)</f>
        <v>브랜드F</v>
      </c>
    </row>
    <row r="560" spans="1:18" x14ac:dyDescent="0.45">
      <c r="A560" t="s">
        <v>47</v>
      </c>
      <c r="B560" t="s">
        <v>959</v>
      </c>
      <c r="C560" t="s">
        <v>2475</v>
      </c>
      <c r="D560" t="s">
        <v>2584</v>
      </c>
      <c r="E560">
        <v>5</v>
      </c>
      <c r="F560">
        <v>59700</v>
      </c>
      <c r="G560">
        <v>0</v>
      </c>
      <c r="H560">
        <v>2500</v>
      </c>
      <c r="I560" t="s">
        <v>2613</v>
      </c>
      <c r="J560" s="4">
        <f t="shared" si="24"/>
        <v>296000</v>
      </c>
      <c r="K560" s="4" t="str">
        <f t="shared" si="25"/>
        <v>2024-11</v>
      </c>
      <c r="L560" s="4" t="str">
        <f t="shared" si="26"/>
        <v>토</v>
      </c>
      <c r="M560" s="2" t="str">
        <f>VLOOKUP($C560, 고객정보!$A$2:$E$151, 2, FALSE)</f>
        <v>서울</v>
      </c>
      <c r="N560" t="str">
        <f>VLOOKUP(C560,고객정보!$A$2:$D$151,4,FALSE)</f>
        <v>L2</v>
      </c>
      <c r="O560" t="str">
        <f>VLOOKUP($C560, 고객정보!$A$2:$E$151, 5, FALSE)</f>
        <v>10대</v>
      </c>
      <c r="P560" t="str">
        <f>VLOOKUP(D560,상품정보!$A$2:$E$61,2,FALSE)</f>
        <v>목걸이</v>
      </c>
      <c r="Q560" t="str">
        <f>VLOOKUP(D560,상품정보!$A$2:$D$151,3,FALSE)</f>
        <v>액세서리</v>
      </c>
      <c r="R560" t="str">
        <f>VLOOKUP(D560,상품정보!$A$2:$D$151,4,FALSE)</f>
        <v>브랜드B</v>
      </c>
    </row>
    <row r="561" spans="1:18" x14ac:dyDescent="0.45">
      <c r="A561" t="s">
        <v>200</v>
      </c>
      <c r="B561" t="s">
        <v>960</v>
      </c>
      <c r="C561" t="s">
        <v>2522</v>
      </c>
      <c r="D561" t="s">
        <v>2587</v>
      </c>
      <c r="E561">
        <v>2</v>
      </c>
      <c r="F561">
        <v>50200</v>
      </c>
      <c r="G561">
        <v>1000</v>
      </c>
      <c r="H561">
        <v>0</v>
      </c>
      <c r="I561" t="s">
        <v>2652</v>
      </c>
      <c r="J561" s="4">
        <f t="shared" si="24"/>
        <v>101400</v>
      </c>
      <c r="K561" s="4" t="str">
        <f t="shared" si="25"/>
        <v>2024-08</v>
      </c>
      <c r="L561" s="4" t="str">
        <f t="shared" si="26"/>
        <v>금</v>
      </c>
      <c r="M561" s="2" t="str">
        <f>VLOOKUP($C561, 고객정보!$A$2:$E$151, 2, FALSE)</f>
        <v>부산</v>
      </c>
      <c r="N561" t="str">
        <f>VLOOKUP(C561,고객정보!$A$2:$D$151,4,FALSE)</f>
        <v>L4</v>
      </c>
      <c r="O561" t="str">
        <f>VLOOKUP($C561, 고객정보!$A$2:$E$151, 5, FALSE)</f>
        <v>40대</v>
      </c>
      <c r="P561" t="str">
        <f>VLOOKUP(D561,상품정보!$A$2:$E$61,2,FALSE)</f>
        <v>반지</v>
      </c>
      <c r="Q561" t="str">
        <f>VLOOKUP(D561,상품정보!$A$2:$D$151,3,FALSE)</f>
        <v>액세서리</v>
      </c>
      <c r="R561" t="str">
        <f>VLOOKUP(D561,상품정보!$A$2:$D$151,4,FALSE)</f>
        <v>브랜드B</v>
      </c>
    </row>
    <row r="562" spans="1:18" x14ac:dyDescent="0.45">
      <c r="A562" t="s">
        <v>305</v>
      </c>
      <c r="B562" t="s">
        <v>961</v>
      </c>
      <c r="C562" t="s">
        <v>2519</v>
      </c>
      <c r="D562" t="s">
        <v>2582</v>
      </c>
      <c r="E562">
        <v>1</v>
      </c>
      <c r="F562">
        <v>12500</v>
      </c>
      <c r="G562">
        <v>0</v>
      </c>
      <c r="H562">
        <v>400</v>
      </c>
      <c r="I562" t="s">
        <v>2612</v>
      </c>
      <c r="J562" s="4">
        <f t="shared" si="24"/>
        <v>12100</v>
      </c>
      <c r="K562" s="4" t="str">
        <f t="shared" si="25"/>
        <v>2024-03</v>
      </c>
      <c r="L562" s="4" t="str">
        <f t="shared" si="26"/>
        <v>월</v>
      </c>
      <c r="M562" s="2" t="str">
        <f>VLOOKUP($C562, 고객정보!$A$2:$E$151, 2, FALSE)</f>
        <v>서울</v>
      </c>
      <c r="N562" t="str">
        <f>VLOOKUP(C562,고객정보!$A$2:$D$151,4,FALSE)</f>
        <v>L4</v>
      </c>
      <c r="O562" t="str">
        <f>VLOOKUP($C562, 고객정보!$A$2:$E$151, 5, FALSE)</f>
        <v>20대</v>
      </c>
      <c r="P562" t="str">
        <f>VLOOKUP(D562,상품정보!$A$2:$E$61,2,FALSE)</f>
        <v>셔츠</v>
      </c>
      <c r="Q562" t="str">
        <f>VLOOKUP(D562,상품정보!$A$2:$D$151,3,FALSE)</f>
        <v>의류</v>
      </c>
      <c r="R562" t="str">
        <f>VLOOKUP(D562,상품정보!$A$2:$D$151,4,FALSE)</f>
        <v>브랜드D</v>
      </c>
    </row>
    <row r="563" spans="1:18" x14ac:dyDescent="0.45">
      <c r="A563" t="s">
        <v>75</v>
      </c>
      <c r="B563" t="s">
        <v>962</v>
      </c>
      <c r="C563" t="s">
        <v>2521</v>
      </c>
      <c r="D563" t="s">
        <v>2573</v>
      </c>
      <c r="E563">
        <v>3</v>
      </c>
      <c r="F563">
        <v>6400</v>
      </c>
      <c r="G563">
        <v>0</v>
      </c>
      <c r="H563">
        <v>0</v>
      </c>
      <c r="I563" t="s">
        <v>2652</v>
      </c>
      <c r="J563" s="4">
        <f t="shared" si="24"/>
        <v>19200</v>
      </c>
      <c r="K563" s="4" t="str">
        <f t="shared" si="25"/>
        <v>2024-03</v>
      </c>
      <c r="L563" s="4" t="str">
        <f t="shared" si="26"/>
        <v>월</v>
      </c>
      <c r="M563" s="2" t="str">
        <f>VLOOKUP($C563, 고객정보!$A$2:$E$151, 2, FALSE)</f>
        <v>서울</v>
      </c>
      <c r="N563" t="str">
        <f>VLOOKUP(C563,고객정보!$A$2:$D$151,4,FALSE)</f>
        <v>L1</v>
      </c>
      <c r="O563" t="str">
        <f>VLOOKUP($C563, 고객정보!$A$2:$E$151, 5, FALSE)</f>
        <v>30대</v>
      </c>
      <c r="P563" t="str">
        <f>VLOOKUP(D563,상품정보!$A$2:$E$61,2,FALSE)</f>
        <v>귀걸이</v>
      </c>
      <c r="Q563" t="str">
        <f>VLOOKUP(D563,상품정보!$A$2:$D$151,3,FALSE)</f>
        <v>액세서리</v>
      </c>
      <c r="R563" t="str">
        <f>VLOOKUP(D563,상품정보!$A$2:$D$151,4,FALSE)</f>
        <v>브랜드E</v>
      </c>
    </row>
    <row r="564" spans="1:18" x14ac:dyDescent="0.45">
      <c r="A564" t="s">
        <v>306</v>
      </c>
      <c r="B564" t="s">
        <v>963</v>
      </c>
      <c r="C564" t="s">
        <v>2541</v>
      </c>
      <c r="D564" t="s">
        <v>2597</v>
      </c>
      <c r="E564">
        <v>2</v>
      </c>
      <c r="F564">
        <v>65300</v>
      </c>
      <c r="G564">
        <v>0</v>
      </c>
      <c r="H564">
        <v>0</v>
      </c>
      <c r="I564" t="s">
        <v>2652</v>
      </c>
      <c r="J564" s="4">
        <f t="shared" si="24"/>
        <v>130600</v>
      </c>
      <c r="K564" s="4" t="str">
        <f t="shared" si="25"/>
        <v>2024-06</v>
      </c>
      <c r="L564" s="4" t="str">
        <f t="shared" si="26"/>
        <v>수</v>
      </c>
      <c r="M564" s="2" t="str">
        <f>VLOOKUP($C564, 고객정보!$A$2:$E$151, 2, FALSE)</f>
        <v>대구</v>
      </c>
      <c r="N564" t="str">
        <f>VLOOKUP(C564,고객정보!$A$2:$D$151,4,FALSE)</f>
        <v>L5</v>
      </c>
      <c r="O564" t="str">
        <f>VLOOKUP($C564, 고객정보!$A$2:$E$151, 5, FALSE)</f>
        <v>30대</v>
      </c>
      <c r="P564" t="str">
        <f>VLOOKUP(D564,상품정보!$A$2:$E$61,2,FALSE)</f>
        <v>반지</v>
      </c>
      <c r="Q564" t="str">
        <f>VLOOKUP(D564,상품정보!$A$2:$D$151,3,FALSE)</f>
        <v>액세서리</v>
      </c>
      <c r="R564" t="str">
        <f>VLOOKUP(D564,상품정보!$A$2:$D$151,4,FALSE)</f>
        <v>브랜드F</v>
      </c>
    </row>
    <row r="565" spans="1:18" x14ac:dyDescent="0.45">
      <c r="A565" t="s">
        <v>52</v>
      </c>
      <c r="B565" t="s">
        <v>964</v>
      </c>
      <c r="C565" t="s">
        <v>2521</v>
      </c>
      <c r="D565" t="s">
        <v>2590</v>
      </c>
      <c r="E565">
        <v>3</v>
      </c>
      <c r="F565">
        <v>68900</v>
      </c>
      <c r="G565">
        <v>1500</v>
      </c>
      <c r="H565">
        <v>0</v>
      </c>
      <c r="I565" t="s">
        <v>2652</v>
      </c>
      <c r="J565" s="4">
        <f t="shared" si="24"/>
        <v>208200</v>
      </c>
      <c r="K565" s="4" t="str">
        <f t="shared" si="25"/>
        <v>2024-02</v>
      </c>
      <c r="L565" s="4" t="str">
        <f t="shared" si="26"/>
        <v>토</v>
      </c>
      <c r="M565" s="2" t="str">
        <f>VLOOKUP($C565, 고객정보!$A$2:$E$151, 2, FALSE)</f>
        <v>서울</v>
      </c>
      <c r="N565" t="str">
        <f>VLOOKUP(C565,고객정보!$A$2:$D$151,4,FALSE)</f>
        <v>L1</v>
      </c>
      <c r="O565" t="str">
        <f>VLOOKUP($C565, 고객정보!$A$2:$E$151, 5, FALSE)</f>
        <v>30대</v>
      </c>
      <c r="P565" t="str">
        <f>VLOOKUP(D565,상품정보!$A$2:$E$61,2,FALSE)</f>
        <v>반팔 티셔츠</v>
      </c>
      <c r="Q565" t="str">
        <f>VLOOKUP(D565,상품정보!$A$2:$D$151,3,FALSE)</f>
        <v>의류</v>
      </c>
      <c r="R565" t="str">
        <f>VLOOKUP(D565,상품정보!$A$2:$D$151,4,FALSE)</f>
        <v>브랜드A</v>
      </c>
    </row>
    <row r="566" spans="1:18" x14ac:dyDescent="0.45">
      <c r="A566" t="s">
        <v>136</v>
      </c>
      <c r="B566" t="s">
        <v>965</v>
      </c>
      <c r="C566" t="s">
        <v>2531</v>
      </c>
      <c r="D566" t="s">
        <v>2555</v>
      </c>
      <c r="E566">
        <v>5</v>
      </c>
      <c r="F566">
        <v>8300</v>
      </c>
      <c r="G566">
        <v>0</v>
      </c>
      <c r="H566">
        <v>0</v>
      </c>
      <c r="I566" t="s">
        <v>2652</v>
      </c>
      <c r="J566" s="4">
        <f t="shared" si="24"/>
        <v>41500</v>
      </c>
      <c r="K566" s="4" t="str">
        <f t="shared" si="25"/>
        <v>2024-05</v>
      </c>
      <c r="L566" s="4" t="str">
        <f t="shared" si="26"/>
        <v>월</v>
      </c>
      <c r="M566" s="2" t="str">
        <f>VLOOKUP($C566, 고객정보!$A$2:$E$151, 2, FALSE)</f>
        <v>서울</v>
      </c>
      <c r="N566" t="str">
        <f>VLOOKUP(C566,고객정보!$A$2:$D$151,4,FALSE)</f>
        <v>L4</v>
      </c>
      <c r="O566" t="str">
        <f>VLOOKUP($C566, 고객정보!$A$2:$E$151, 5, FALSE)</f>
        <v>40대</v>
      </c>
      <c r="P566" t="str">
        <f>VLOOKUP(D566,상품정보!$A$2:$E$61,2,FALSE)</f>
        <v>청바지</v>
      </c>
      <c r="Q566" t="str">
        <f>VLOOKUP(D566,상품정보!$A$2:$D$151,3,FALSE)</f>
        <v>의류</v>
      </c>
      <c r="R566" t="str">
        <f>VLOOKUP(D566,상품정보!$A$2:$D$151,4,FALSE)</f>
        <v>브랜드E</v>
      </c>
    </row>
    <row r="567" spans="1:18" x14ac:dyDescent="0.45">
      <c r="A567" t="s">
        <v>297</v>
      </c>
      <c r="B567" t="s">
        <v>966</v>
      </c>
      <c r="C567" t="s">
        <v>2475</v>
      </c>
      <c r="D567" t="s">
        <v>2601</v>
      </c>
      <c r="E567">
        <v>3</v>
      </c>
      <c r="F567">
        <v>17000</v>
      </c>
      <c r="G567">
        <v>0</v>
      </c>
      <c r="H567">
        <v>0</v>
      </c>
      <c r="I567" t="s">
        <v>2652</v>
      </c>
      <c r="J567" s="4">
        <f t="shared" si="24"/>
        <v>51000</v>
      </c>
      <c r="K567" s="4" t="str">
        <f t="shared" si="25"/>
        <v>2024-11</v>
      </c>
      <c r="L567" s="4" t="str">
        <f t="shared" si="26"/>
        <v>일</v>
      </c>
      <c r="M567" s="2" t="str">
        <f>VLOOKUP($C567, 고객정보!$A$2:$E$151, 2, FALSE)</f>
        <v>서울</v>
      </c>
      <c r="N567" t="str">
        <f>VLOOKUP(C567,고객정보!$A$2:$D$151,4,FALSE)</f>
        <v>L2</v>
      </c>
      <c r="O567" t="str">
        <f>VLOOKUP($C567, 고객정보!$A$2:$E$151, 5, FALSE)</f>
        <v>10대</v>
      </c>
      <c r="P567" t="str">
        <f>VLOOKUP(D567,상품정보!$A$2:$E$61,2,FALSE)</f>
        <v>자켓</v>
      </c>
      <c r="Q567" t="str">
        <f>VLOOKUP(D567,상품정보!$A$2:$D$151,3,FALSE)</f>
        <v>의류</v>
      </c>
      <c r="R567" t="str">
        <f>VLOOKUP(D567,상품정보!$A$2:$D$151,4,FALSE)</f>
        <v>브랜드E</v>
      </c>
    </row>
    <row r="568" spans="1:18" x14ac:dyDescent="0.45">
      <c r="A568" t="s">
        <v>237</v>
      </c>
      <c r="B568" t="s">
        <v>967</v>
      </c>
      <c r="C568" t="s">
        <v>2445</v>
      </c>
      <c r="D568" t="s">
        <v>2553</v>
      </c>
      <c r="E568">
        <v>5</v>
      </c>
      <c r="F568">
        <v>63400</v>
      </c>
      <c r="G568">
        <v>500</v>
      </c>
      <c r="H568">
        <v>0</v>
      </c>
      <c r="I568" t="s">
        <v>2652</v>
      </c>
      <c r="J568" s="4">
        <f t="shared" si="24"/>
        <v>317500</v>
      </c>
      <c r="K568" s="4" t="str">
        <f t="shared" si="25"/>
        <v>2024-11</v>
      </c>
      <c r="L568" s="4" t="str">
        <f t="shared" si="26"/>
        <v>일</v>
      </c>
      <c r="M568" s="2" t="str">
        <f>VLOOKUP($C568, 고객정보!$A$2:$E$151, 2, FALSE)</f>
        <v>대구</v>
      </c>
      <c r="N568" t="str">
        <f>VLOOKUP(C568,고객정보!$A$2:$D$151,4,FALSE)</f>
        <v>L3</v>
      </c>
      <c r="O568" t="str">
        <f>VLOOKUP($C568, 고객정보!$A$2:$E$151, 5, FALSE)</f>
        <v>10대</v>
      </c>
      <c r="P568" t="str">
        <f>VLOOKUP(D568,상품정보!$A$2:$E$61,2,FALSE)</f>
        <v>귀걸이</v>
      </c>
      <c r="Q568" t="str">
        <f>VLOOKUP(D568,상품정보!$A$2:$D$151,3,FALSE)</f>
        <v>액세서리</v>
      </c>
      <c r="R568" t="str">
        <f>VLOOKUP(D568,상품정보!$A$2:$D$151,4,FALSE)</f>
        <v>브랜드F</v>
      </c>
    </row>
    <row r="569" spans="1:18" x14ac:dyDescent="0.45">
      <c r="A569" t="s">
        <v>39</v>
      </c>
      <c r="B569" t="s">
        <v>968</v>
      </c>
      <c r="C569" t="s">
        <v>2492</v>
      </c>
      <c r="D569" t="s">
        <v>2589</v>
      </c>
      <c r="E569">
        <v>5</v>
      </c>
      <c r="F569">
        <v>71400</v>
      </c>
      <c r="G569">
        <v>2000</v>
      </c>
      <c r="H569">
        <v>0</v>
      </c>
      <c r="I569" t="s">
        <v>2652</v>
      </c>
      <c r="J569" s="4">
        <f t="shared" si="24"/>
        <v>359000</v>
      </c>
      <c r="K569" s="4" t="str">
        <f t="shared" si="25"/>
        <v>2024-03</v>
      </c>
      <c r="L569" s="4" t="str">
        <f t="shared" si="26"/>
        <v>화</v>
      </c>
      <c r="M569" s="2" t="str">
        <f>VLOOKUP($C569, 고객정보!$A$2:$E$151, 2, FALSE)</f>
        <v>N/A</v>
      </c>
      <c r="N569" t="str">
        <f>VLOOKUP(C569,고객정보!$A$2:$D$151,4,FALSE)</f>
        <v>L1</v>
      </c>
      <c r="O569" t="str">
        <f>VLOOKUP($C569, 고객정보!$A$2:$E$151, 5, FALSE)</f>
        <v>20대</v>
      </c>
      <c r="P569" t="str">
        <f>VLOOKUP(D569,상품정보!$A$2:$E$61,2,FALSE)</f>
        <v>셔츠</v>
      </c>
      <c r="Q569" t="str">
        <f>VLOOKUP(D569,상품정보!$A$2:$D$151,3,FALSE)</f>
        <v>의류</v>
      </c>
      <c r="R569" t="str">
        <f>VLOOKUP(D569,상품정보!$A$2:$D$151,4,FALSE)</f>
        <v>브랜드A</v>
      </c>
    </row>
    <row r="570" spans="1:18" x14ac:dyDescent="0.45">
      <c r="A570" t="s">
        <v>170</v>
      </c>
      <c r="B570" t="s">
        <v>969</v>
      </c>
      <c r="C570" t="s">
        <v>2492</v>
      </c>
      <c r="D570" t="s">
        <v>2567</v>
      </c>
      <c r="E570">
        <v>5</v>
      </c>
      <c r="F570">
        <v>58600</v>
      </c>
      <c r="G570">
        <v>0</v>
      </c>
      <c r="H570">
        <v>9800</v>
      </c>
      <c r="I570" t="s">
        <v>2614</v>
      </c>
      <c r="J570" s="4">
        <f t="shared" si="24"/>
        <v>283200</v>
      </c>
      <c r="K570" s="4" t="str">
        <f t="shared" si="25"/>
        <v>2025-01</v>
      </c>
      <c r="L570" s="4" t="str">
        <f t="shared" si="26"/>
        <v>금</v>
      </c>
      <c r="M570" s="2" t="str">
        <f>VLOOKUP($C570, 고객정보!$A$2:$E$151, 2, FALSE)</f>
        <v>N/A</v>
      </c>
      <c r="N570" t="str">
        <f>VLOOKUP(C570,고객정보!$A$2:$D$151,4,FALSE)</f>
        <v>L1</v>
      </c>
      <c r="O570" t="str">
        <f>VLOOKUP($C570, 고객정보!$A$2:$E$151, 5, FALSE)</f>
        <v>20대</v>
      </c>
      <c r="P570" t="str">
        <f>VLOOKUP(D570,상품정보!$A$2:$E$61,2,FALSE)</f>
        <v>귀걸이</v>
      </c>
      <c r="Q570" t="str">
        <f>VLOOKUP(D570,상품정보!$A$2:$D$151,3,FALSE)</f>
        <v>액세서리</v>
      </c>
      <c r="R570" t="str">
        <f>VLOOKUP(D570,상품정보!$A$2:$D$151,4,FALSE)</f>
        <v>브랜드B</v>
      </c>
    </row>
    <row r="571" spans="1:18" x14ac:dyDescent="0.45">
      <c r="A571" t="s">
        <v>158</v>
      </c>
      <c r="B571" t="s">
        <v>970</v>
      </c>
      <c r="C571" t="s">
        <v>2450</v>
      </c>
      <c r="D571" t="s">
        <v>2569</v>
      </c>
      <c r="E571">
        <v>5</v>
      </c>
      <c r="F571">
        <v>11400</v>
      </c>
      <c r="G571">
        <v>1500</v>
      </c>
      <c r="H571">
        <v>0</v>
      </c>
      <c r="I571" t="s">
        <v>2652</v>
      </c>
      <c r="J571" s="4">
        <f t="shared" si="24"/>
        <v>58500</v>
      </c>
      <c r="K571" s="4" t="str">
        <f t="shared" si="25"/>
        <v>2024-01</v>
      </c>
      <c r="L571" s="4" t="str">
        <f t="shared" si="26"/>
        <v>월</v>
      </c>
      <c r="M571" s="2" t="str">
        <f>VLOOKUP($C571, 고객정보!$A$2:$E$151, 2, FALSE)</f>
        <v>인천</v>
      </c>
      <c r="N571" t="str">
        <f>VLOOKUP(C571,고객정보!$A$2:$D$151,4,FALSE)</f>
        <v>L5</v>
      </c>
      <c r="O571" t="str">
        <f>VLOOKUP($C571, 고객정보!$A$2:$E$151, 5, FALSE)</f>
        <v>40대</v>
      </c>
      <c r="P571" t="str">
        <f>VLOOKUP(D571,상품정보!$A$2:$E$61,2,FALSE)</f>
        <v>귀걸이</v>
      </c>
      <c r="Q571" t="str">
        <f>VLOOKUP(D571,상품정보!$A$2:$D$151,3,FALSE)</f>
        <v>액세서리</v>
      </c>
      <c r="R571" t="str">
        <f>VLOOKUP(D571,상품정보!$A$2:$D$151,4,FALSE)</f>
        <v>브랜드E</v>
      </c>
    </row>
    <row r="572" spans="1:18" x14ac:dyDescent="0.45">
      <c r="A572" t="s">
        <v>237</v>
      </c>
      <c r="B572" t="s">
        <v>971</v>
      </c>
      <c r="C572" t="s">
        <v>2503</v>
      </c>
      <c r="D572" t="s">
        <v>2553</v>
      </c>
      <c r="E572">
        <v>1</v>
      </c>
      <c r="F572">
        <v>63400</v>
      </c>
      <c r="G572">
        <v>500</v>
      </c>
      <c r="H572">
        <v>0</v>
      </c>
      <c r="I572" t="s">
        <v>2652</v>
      </c>
      <c r="J572" s="4">
        <f t="shared" si="24"/>
        <v>63900</v>
      </c>
      <c r="K572" s="4" t="str">
        <f t="shared" si="25"/>
        <v>2024-11</v>
      </c>
      <c r="L572" s="4" t="str">
        <f t="shared" si="26"/>
        <v>일</v>
      </c>
      <c r="M572" s="2" t="str">
        <f>VLOOKUP($C572, 고객정보!$A$2:$E$151, 2, FALSE)</f>
        <v>대전</v>
      </c>
      <c r="N572" t="str">
        <f>VLOOKUP(C572,고객정보!$A$2:$D$151,4,FALSE)</f>
        <v>L3</v>
      </c>
      <c r="O572" t="str">
        <f>VLOOKUP($C572, 고객정보!$A$2:$E$151, 5, FALSE)</f>
        <v>40대</v>
      </c>
      <c r="P572" t="str">
        <f>VLOOKUP(D572,상품정보!$A$2:$E$61,2,FALSE)</f>
        <v>귀걸이</v>
      </c>
      <c r="Q572" t="str">
        <f>VLOOKUP(D572,상품정보!$A$2:$D$151,3,FALSE)</f>
        <v>액세서리</v>
      </c>
      <c r="R572" t="str">
        <f>VLOOKUP(D572,상품정보!$A$2:$D$151,4,FALSE)</f>
        <v>브랜드F</v>
      </c>
    </row>
    <row r="573" spans="1:18" x14ac:dyDescent="0.45">
      <c r="A573" t="s">
        <v>135</v>
      </c>
      <c r="B573" t="s">
        <v>972</v>
      </c>
      <c r="C573" t="s">
        <v>2494</v>
      </c>
      <c r="D573" t="s">
        <v>2605</v>
      </c>
      <c r="E573">
        <v>2</v>
      </c>
      <c r="F573">
        <v>6800</v>
      </c>
      <c r="G573">
        <v>0</v>
      </c>
      <c r="H573">
        <v>800</v>
      </c>
      <c r="I573" t="s">
        <v>2613</v>
      </c>
      <c r="J573" s="4">
        <f t="shared" si="24"/>
        <v>12800</v>
      </c>
      <c r="K573" s="4" t="str">
        <f t="shared" si="25"/>
        <v>2025-01</v>
      </c>
      <c r="L573" s="4" t="str">
        <f t="shared" si="26"/>
        <v>월</v>
      </c>
      <c r="M573" s="2" t="str">
        <f>VLOOKUP($C573, 고객정보!$A$2:$E$151, 2, FALSE)</f>
        <v>대구</v>
      </c>
      <c r="N573" t="str">
        <f>VLOOKUP(C573,고객정보!$A$2:$D$151,4,FALSE)</f>
        <v>L4</v>
      </c>
      <c r="O573" t="str">
        <f>VLOOKUP($C573, 고객정보!$A$2:$E$151, 5, FALSE)</f>
        <v>40대</v>
      </c>
      <c r="P573" t="str">
        <f>VLOOKUP(D573,상품정보!$A$2:$E$61,2,FALSE)</f>
        <v>핸드폰케이스</v>
      </c>
      <c r="Q573" t="str">
        <f>VLOOKUP(D573,상품정보!$A$2:$D$151,3,FALSE)</f>
        <v>액세서리</v>
      </c>
      <c r="R573" t="str">
        <f>VLOOKUP(D573,상품정보!$A$2:$D$151,4,FALSE)</f>
        <v>브랜드D</v>
      </c>
    </row>
    <row r="574" spans="1:18" x14ac:dyDescent="0.45">
      <c r="A574" t="s">
        <v>47</v>
      </c>
      <c r="B574" t="s">
        <v>973</v>
      </c>
      <c r="C574" t="s">
        <v>2453</v>
      </c>
      <c r="D574" t="s">
        <v>2592</v>
      </c>
      <c r="E574">
        <v>5</v>
      </c>
      <c r="F574">
        <v>72700</v>
      </c>
      <c r="G574">
        <v>0</v>
      </c>
      <c r="H574">
        <v>0</v>
      </c>
      <c r="I574" t="s">
        <v>2652</v>
      </c>
      <c r="J574" s="4">
        <f t="shared" si="24"/>
        <v>363500</v>
      </c>
      <c r="K574" s="4" t="str">
        <f t="shared" si="25"/>
        <v>2024-11</v>
      </c>
      <c r="L574" s="4" t="str">
        <f t="shared" si="26"/>
        <v>토</v>
      </c>
      <c r="M574" s="2" t="str">
        <f>VLOOKUP($C574, 고객정보!$A$2:$E$151, 2, FALSE)</f>
        <v>대구</v>
      </c>
      <c r="N574" t="str">
        <f>VLOOKUP(C574,고객정보!$A$2:$D$151,4,FALSE)</f>
        <v>L5</v>
      </c>
      <c r="O574" t="str">
        <f>VLOOKUP($C574, 고객정보!$A$2:$E$151, 5, FALSE)</f>
        <v>50대 이상</v>
      </c>
      <c r="P574" t="str">
        <f>VLOOKUP(D574,상품정보!$A$2:$E$61,2,FALSE)</f>
        <v>귀걸이</v>
      </c>
      <c r="Q574" t="str">
        <f>VLOOKUP(D574,상품정보!$A$2:$D$151,3,FALSE)</f>
        <v>액세서리</v>
      </c>
      <c r="R574" t="str">
        <f>VLOOKUP(D574,상품정보!$A$2:$D$151,4,FALSE)</f>
        <v>브랜드A</v>
      </c>
    </row>
    <row r="575" spans="1:18" x14ac:dyDescent="0.45">
      <c r="A575" t="s">
        <v>260</v>
      </c>
      <c r="B575" t="s">
        <v>974</v>
      </c>
      <c r="C575" t="s">
        <v>2503</v>
      </c>
      <c r="D575" t="s">
        <v>2583</v>
      </c>
      <c r="E575">
        <v>5</v>
      </c>
      <c r="F575">
        <v>6600</v>
      </c>
      <c r="G575">
        <v>500</v>
      </c>
      <c r="H575">
        <v>0</v>
      </c>
      <c r="I575" t="s">
        <v>2652</v>
      </c>
      <c r="J575" s="4">
        <f t="shared" si="24"/>
        <v>33500</v>
      </c>
      <c r="K575" s="4" t="str">
        <f t="shared" si="25"/>
        <v>2024-05</v>
      </c>
      <c r="L575" s="4" t="str">
        <f t="shared" si="26"/>
        <v>화</v>
      </c>
      <c r="M575" s="2" t="str">
        <f>VLOOKUP($C575, 고객정보!$A$2:$E$151, 2, FALSE)</f>
        <v>대전</v>
      </c>
      <c r="N575" t="str">
        <f>VLOOKUP(C575,고객정보!$A$2:$D$151,4,FALSE)</f>
        <v>L3</v>
      </c>
      <c r="O575" t="str">
        <f>VLOOKUP($C575, 고객정보!$A$2:$E$151, 5, FALSE)</f>
        <v>40대</v>
      </c>
      <c r="P575" t="str">
        <f>VLOOKUP(D575,상품정보!$A$2:$E$61,2,FALSE)</f>
        <v>셔츠</v>
      </c>
      <c r="Q575" t="str">
        <f>VLOOKUP(D575,상품정보!$A$2:$D$151,3,FALSE)</f>
        <v>의류</v>
      </c>
      <c r="R575" t="str">
        <f>VLOOKUP(D575,상품정보!$A$2:$D$151,4,FALSE)</f>
        <v>브랜드E</v>
      </c>
    </row>
    <row r="576" spans="1:18" x14ac:dyDescent="0.45">
      <c r="A576" t="s">
        <v>157</v>
      </c>
      <c r="B576" t="s">
        <v>975</v>
      </c>
      <c r="C576" t="s">
        <v>2471</v>
      </c>
      <c r="D576" t="s">
        <v>2608</v>
      </c>
      <c r="E576">
        <v>2</v>
      </c>
      <c r="F576">
        <v>10600</v>
      </c>
      <c r="G576">
        <v>0</v>
      </c>
      <c r="H576">
        <v>4900</v>
      </c>
      <c r="I576" t="s">
        <v>2611</v>
      </c>
      <c r="J576" s="4">
        <f t="shared" si="24"/>
        <v>16300</v>
      </c>
      <c r="K576" s="4" t="str">
        <f t="shared" si="25"/>
        <v>2024-12</v>
      </c>
      <c r="L576" s="4" t="str">
        <f t="shared" si="26"/>
        <v>월</v>
      </c>
      <c r="M576" s="2" t="str">
        <f>VLOOKUP($C576, 고객정보!$A$2:$E$151, 2, FALSE)</f>
        <v>서울</v>
      </c>
      <c r="N576" t="str">
        <f>VLOOKUP(C576,고객정보!$A$2:$D$151,4,FALSE)</f>
        <v>L5</v>
      </c>
      <c r="O576" t="str">
        <f>VLOOKUP($C576, 고객정보!$A$2:$E$151, 5, FALSE)</f>
        <v>40대</v>
      </c>
      <c r="P576" t="str">
        <f>VLOOKUP(D576,상품정보!$A$2:$E$61,2,FALSE)</f>
        <v>셔츠</v>
      </c>
      <c r="Q576" t="str">
        <f>VLOOKUP(D576,상품정보!$A$2:$D$151,3,FALSE)</f>
        <v>의류</v>
      </c>
      <c r="R576" t="str">
        <f>VLOOKUP(D576,상품정보!$A$2:$D$151,4,FALSE)</f>
        <v>브랜드D</v>
      </c>
    </row>
    <row r="577" spans="1:18" x14ac:dyDescent="0.45">
      <c r="A577" t="s">
        <v>184</v>
      </c>
      <c r="B577" t="s">
        <v>976</v>
      </c>
      <c r="C577" t="s">
        <v>2456</v>
      </c>
      <c r="D577" t="s">
        <v>2600</v>
      </c>
      <c r="E577">
        <v>4</v>
      </c>
      <c r="F577">
        <v>10900</v>
      </c>
      <c r="G577">
        <v>1500</v>
      </c>
      <c r="H577">
        <v>13300</v>
      </c>
      <c r="I577" t="s">
        <v>2612</v>
      </c>
      <c r="J577" s="4">
        <f t="shared" si="24"/>
        <v>31800</v>
      </c>
      <c r="K577" s="4" t="str">
        <f t="shared" si="25"/>
        <v>2024-02</v>
      </c>
      <c r="L577" s="4" t="str">
        <f t="shared" si="26"/>
        <v>수</v>
      </c>
      <c r="M577" s="2" t="str">
        <f>VLOOKUP($C577, 고객정보!$A$2:$E$151, 2, FALSE)</f>
        <v>대구</v>
      </c>
      <c r="N577" t="str">
        <f>VLOOKUP(C577,고객정보!$A$2:$D$151,4,FALSE)</f>
        <v>L3</v>
      </c>
      <c r="O577" t="str">
        <f>VLOOKUP($C577, 고객정보!$A$2:$E$151, 5, FALSE)</f>
        <v>30대</v>
      </c>
      <c r="P577" t="str">
        <f>VLOOKUP(D577,상품정보!$A$2:$E$61,2,FALSE)</f>
        <v>셔츠</v>
      </c>
      <c r="Q577" t="str">
        <f>VLOOKUP(D577,상품정보!$A$2:$D$151,3,FALSE)</f>
        <v>의류</v>
      </c>
      <c r="R577" t="str">
        <f>VLOOKUP(D577,상품정보!$A$2:$D$151,4,FALSE)</f>
        <v>브랜드E</v>
      </c>
    </row>
    <row r="578" spans="1:18" x14ac:dyDescent="0.45">
      <c r="A578" t="s">
        <v>141</v>
      </c>
      <c r="B578" t="s">
        <v>977</v>
      </c>
      <c r="C578" t="s">
        <v>2497</v>
      </c>
      <c r="D578" t="s">
        <v>2566</v>
      </c>
      <c r="E578">
        <v>4</v>
      </c>
      <c r="F578">
        <v>60600</v>
      </c>
      <c r="G578">
        <v>0</v>
      </c>
      <c r="H578">
        <v>0</v>
      </c>
      <c r="I578" t="s">
        <v>2652</v>
      </c>
      <c r="J578" s="4">
        <f t="shared" si="24"/>
        <v>242400</v>
      </c>
      <c r="K578" s="4" t="str">
        <f t="shared" si="25"/>
        <v>2024-07</v>
      </c>
      <c r="L578" s="4" t="str">
        <f t="shared" si="26"/>
        <v>수</v>
      </c>
      <c r="M578" s="2" t="str">
        <f>VLOOKUP($C578, 고객정보!$A$2:$E$151, 2, FALSE)</f>
        <v>서울</v>
      </c>
      <c r="N578" t="str">
        <f>VLOOKUP(C578,고객정보!$A$2:$D$151,4,FALSE)</f>
        <v>L3</v>
      </c>
      <c r="O578" t="str">
        <f>VLOOKUP($C578, 고객정보!$A$2:$E$151, 5, FALSE)</f>
        <v>10대</v>
      </c>
      <c r="P578" t="str">
        <f>VLOOKUP(D578,상품정보!$A$2:$E$61,2,FALSE)</f>
        <v>반팔 티셔츠</v>
      </c>
      <c r="Q578" t="str">
        <f>VLOOKUP(D578,상품정보!$A$2:$D$151,3,FALSE)</f>
        <v>의류</v>
      </c>
      <c r="R578" t="str">
        <f>VLOOKUP(D578,상품정보!$A$2:$D$151,4,FALSE)</f>
        <v>브랜드A</v>
      </c>
    </row>
    <row r="579" spans="1:18" x14ac:dyDescent="0.45">
      <c r="A579" t="s">
        <v>168</v>
      </c>
      <c r="B579" t="s">
        <v>978</v>
      </c>
      <c r="C579" t="s">
        <v>2545</v>
      </c>
      <c r="D579" t="s">
        <v>2581</v>
      </c>
      <c r="E579">
        <v>2</v>
      </c>
      <c r="F579">
        <v>72900</v>
      </c>
      <c r="G579">
        <v>0</v>
      </c>
      <c r="H579">
        <v>200</v>
      </c>
      <c r="I579" t="s">
        <v>2611</v>
      </c>
      <c r="J579" s="4">
        <f t="shared" ref="J579:J642" si="27">E579*F579+G579-H579</f>
        <v>145600</v>
      </c>
      <c r="K579" s="4" t="str">
        <f t="shared" ref="K579:K642" si="28">LEFT(A579,7)</f>
        <v>2024-06</v>
      </c>
      <c r="L579" s="4" t="str">
        <f t="shared" ref="L579:L642" si="29">TEXT(WEEKDAY(A579),"aaa")</f>
        <v>일</v>
      </c>
      <c r="M579" s="2" t="str">
        <f>VLOOKUP($C579, 고객정보!$A$2:$E$151, 2, FALSE)</f>
        <v>서울</v>
      </c>
      <c r="N579" t="str">
        <f>VLOOKUP(C579,고객정보!$A$2:$D$151,4,FALSE)</f>
        <v>L4</v>
      </c>
      <c r="O579" t="str">
        <f>VLOOKUP($C579, 고객정보!$A$2:$E$151, 5, FALSE)</f>
        <v>30대</v>
      </c>
      <c r="P579" t="str">
        <f>VLOOKUP(D579,상품정보!$A$2:$E$61,2,FALSE)</f>
        <v>귀걸이</v>
      </c>
      <c r="Q579" t="str">
        <f>VLOOKUP(D579,상품정보!$A$2:$D$151,3,FALSE)</f>
        <v>액세서리</v>
      </c>
      <c r="R579" t="str">
        <f>VLOOKUP(D579,상품정보!$A$2:$D$151,4,FALSE)</f>
        <v>브랜드F</v>
      </c>
    </row>
    <row r="580" spans="1:18" x14ac:dyDescent="0.45">
      <c r="A580" t="s">
        <v>291</v>
      </c>
      <c r="B580" t="s">
        <v>979</v>
      </c>
      <c r="C580" t="s">
        <v>2518</v>
      </c>
      <c r="D580" t="s">
        <v>2597</v>
      </c>
      <c r="E580">
        <v>3</v>
      </c>
      <c r="F580">
        <v>65300</v>
      </c>
      <c r="G580">
        <v>0</v>
      </c>
      <c r="H580">
        <v>0</v>
      </c>
      <c r="I580" t="s">
        <v>2652</v>
      </c>
      <c r="J580" s="4">
        <f t="shared" si="27"/>
        <v>195900</v>
      </c>
      <c r="K580" s="4" t="str">
        <f t="shared" si="28"/>
        <v>2025-01</v>
      </c>
      <c r="L580" s="4" t="str">
        <f t="shared" si="29"/>
        <v>금</v>
      </c>
      <c r="M580" s="2" t="str">
        <f>VLOOKUP($C580, 고객정보!$A$2:$E$151, 2, FALSE)</f>
        <v>부산</v>
      </c>
      <c r="N580" t="str">
        <f>VLOOKUP(C580,고객정보!$A$2:$D$151,4,FALSE)</f>
        <v>L2</v>
      </c>
      <c r="O580" t="str">
        <f>VLOOKUP($C580, 고객정보!$A$2:$E$151, 5, FALSE)</f>
        <v>40대</v>
      </c>
      <c r="P580" t="str">
        <f>VLOOKUP(D580,상품정보!$A$2:$E$61,2,FALSE)</f>
        <v>반지</v>
      </c>
      <c r="Q580" t="str">
        <f>VLOOKUP(D580,상품정보!$A$2:$D$151,3,FALSE)</f>
        <v>액세서리</v>
      </c>
      <c r="R580" t="str">
        <f>VLOOKUP(D580,상품정보!$A$2:$D$151,4,FALSE)</f>
        <v>브랜드F</v>
      </c>
    </row>
    <row r="581" spans="1:18" x14ac:dyDescent="0.45">
      <c r="A581" t="s">
        <v>223</v>
      </c>
      <c r="B581" t="s">
        <v>980</v>
      </c>
      <c r="C581" t="s">
        <v>2412</v>
      </c>
      <c r="D581" t="s">
        <v>2575</v>
      </c>
      <c r="E581">
        <v>2</v>
      </c>
      <c r="F581">
        <v>7200</v>
      </c>
      <c r="G581">
        <v>500</v>
      </c>
      <c r="H581">
        <v>0</v>
      </c>
      <c r="I581" t="s">
        <v>2652</v>
      </c>
      <c r="J581" s="4">
        <f t="shared" si="27"/>
        <v>14900</v>
      </c>
      <c r="K581" s="4" t="str">
        <f t="shared" si="28"/>
        <v>2025-01</v>
      </c>
      <c r="L581" s="4" t="str">
        <f t="shared" si="29"/>
        <v>금</v>
      </c>
      <c r="M581" s="2" t="str">
        <f>VLOOKUP($C581, 고객정보!$A$2:$E$151, 2, FALSE)</f>
        <v>대전</v>
      </c>
      <c r="N581" t="str">
        <f>VLOOKUP(C581,고객정보!$A$2:$D$151,4,FALSE)</f>
        <v>L4</v>
      </c>
      <c r="O581" t="str">
        <f>VLOOKUP($C581, 고객정보!$A$2:$E$151, 5, FALSE)</f>
        <v>30대</v>
      </c>
      <c r="P581" t="str">
        <f>VLOOKUP(D581,상품정보!$A$2:$E$61,2,FALSE)</f>
        <v>반지</v>
      </c>
      <c r="Q581" t="str">
        <f>VLOOKUP(D581,상품정보!$A$2:$D$151,3,FALSE)</f>
        <v>액세서리</v>
      </c>
      <c r="R581" t="str">
        <f>VLOOKUP(D581,상품정보!$A$2:$D$151,4,FALSE)</f>
        <v>브랜드E</v>
      </c>
    </row>
    <row r="582" spans="1:18" x14ac:dyDescent="0.45">
      <c r="A582" t="s">
        <v>307</v>
      </c>
      <c r="B582" t="s">
        <v>981</v>
      </c>
      <c r="C582" t="s">
        <v>2506</v>
      </c>
      <c r="D582" t="s">
        <v>2554</v>
      </c>
      <c r="E582">
        <v>5</v>
      </c>
      <c r="F582">
        <v>12100</v>
      </c>
      <c r="G582">
        <v>0</v>
      </c>
      <c r="H582">
        <v>0</v>
      </c>
      <c r="I582" t="s">
        <v>2652</v>
      </c>
      <c r="J582" s="4">
        <f t="shared" si="27"/>
        <v>60500</v>
      </c>
      <c r="K582" s="4" t="str">
        <f t="shared" si="28"/>
        <v>2024-02</v>
      </c>
      <c r="L582" s="4" t="str">
        <f t="shared" si="29"/>
        <v>토</v>
      </c>
      <c r="M582" s="2" t="str">
        <f>VLOOKUP($C582, 고객정보!$A$2:$E$151, 2, FALSE)</f>
        <v>광주</v>
      </c>
      <c r="N582" t="str">
        <f>VLOOKUP(C582,고객정보!$A$2:$D$151,4,FALSE)</f>
        <v>L2</v>
      </c>
      <c r="O582" t="str">
        <f>VLOOKUP($C582, 고객정보!$A$2:$E$151, 5, FALSE)</f>
        <v>50대 이상</v>
      </c>
      <c r="P582" t="str">
        <f>VLOOKUP(D582,상품정보!$A$2:$E$61,2,FALSE)</f>
        <v>귀걸이</v>
      </c>
      <c r="Q582" t="str">
        <f>VLOOKUP(D582,상품정보!$A$2:$D$151,3,FALSE)</f>
        <v>액세서리</v>
      </c>
      <c r="R582" t="str">
        <f>VLOOKUP(D582,상품정보!$A$2:$D$151,4,FALSE)</f>
        <v>브랜드D</v>
      </c>
    </row>
    <row r="583" spans="1:18" x14ac:dyDescent="0.45">
      <c r="A583" t="s">
        <v>130</v>
      </c>
      <c r="B583" t="s">
        <v>982</v>
      </c>
      <c r="C583" t="s">
        <v>2546</v>
      </c>
      <c r="D583" t="s">
        <v>2585</v>
      </c>
      <c r="E583">
        <v>4</v>
      </c>
      <c r="F583">
        <v>14900</v>
      </c>
      <c r="G583">
        <v>0</v>
      </c>
      <c r="H583">
        <v>5900</v>
      </c>
      <c r="I583" t="s">
        <v>2611</v>
      </c>
      <c r="J583" s="4">
        <f t="shared" si="27"/>
        <v>53700</v>
      </c>
      <c r="K583" s="4" t="str">
        <f t="shared" si="28"/>
        <v>2024-03</v>
      </c>
      <c r="L583" s="4" t="str">
        <f t="shared" si="29"/>
        <v>일</v>
      </c>
      <c r="M583" s="2" t="str">
        <f>VLOOKUP($C583, 고객정보!$A$2:$E$151, 2, FALSE)</f>
        <v>인천</v>
      </c>
      <c r="N583" t="str">
        <f>VLOOKUP(C583,고객정보!$A$2:$D$151,4,FALSE)</f>
        <v>L4</v>
      </c>
      <c r="O583" t="str">
        <f>VLOOKUP($C583, 고객정보!$A$2:$E$151, 5, FALSE)</f>
        <v>50대 이상</v>
      </c>
      <c r="P583" t="str">
        <f>VLOOKUP(D583,상품정보!$A$2:$E$61,2,FALSE)</f>
        <v>반팔 티셔츠</v>
      </c>
      <c r="Q583" t="str">
        <f>VLOOKUP(D583,상품정보!$A$2:$D$151,3,FALSE)</f>
        <v>의류</v>
      </c>
      <c r="R583" t="str">
        <f>VLOOKUP(D583,상품정보!$A$2:$D$151,4,FALSE)</f>
        <v>브랜드C</v>
      </c>
    </row>
    <row r="584" spans="1:18" x14ac:dyDescent="0.45">
      <c r="A584" t="s">
        <v>308</v>
      </c>
      <c r="B584" t="s">
        <v>983</v>
      </c>
      <c r="C584" t="s">
        <v>2425</v>
      </c>
      <c r="D584" t="s">
        <v>2556</v>
      </c>
      <c r="E584">
        <v>2</v>
      </c>
      <c r="F584">
        <v>70100</v>
      </c>
      <c r="G584">
        <v>1000</v>
      </c>
      <c r="H584">
        <v>0</v>
      </c>
      <c r="I584" t="s">
        <v>2652</v>
      </c>
      <c r="J584" s="4">
        <f t="shared" si="27"/>
        <v>141200</v>
      </c>
      <c r="K584" s="4" t="str">
        <f t="shared" si="28"/>
        <v>2024-03</v>
      </c>
      <c r="L584" s="4" t="str">
        <f t="shared" si="29"/>
        <v>수</v>
      </c>
      <c r="M584" s="2" t="str">
        <f>VLOOKUP($C584, 고객정보!$A$2:$E$151, 2, FALSE)</f>
        <v>서울</v>
      </c>
      <c r="N584" t="str">
        <f>VLOOKUP(C584,고객정보!$A$2:$D$151,4,FALSE)</f>
        <v>L4</v>
      </c>
      <c r="O584" t="str">
        <f>VLOOKUP($C584, 고객정보!$A$2:$E$151, 5, FALSE)</f>
        <v>30대</v>
      </c>
      <c r="P584" t="str">
        <f>VLOOKUP(D584,상품정보!$A$2:$E$61,2,FALSE)</f>
        <v>핸드폰케이스</v>
      </c>
      <c r="Q584" t="str">
        <f>VLOOKUP(D584,상품정보!$A$2:$D$151,3,FALSE)</f>
        <v>액세서리</v>
      </c>
      <c r="R584" t="str">
        <f>VLOOKUP(D584,상품정보!$A$2:$D$151,4,FALSE)</f>
        <v>브랜드F</v>
      </c>
    </row>
    <row r="585" spans="1:18" x14ac:dyDescent="0.45">
      <c r="A585" t="s">
        <v>309</v>
      </c>
      <c r="B585" t="s">
        <v>984</v>
      </c>
      <c r="C585" t="s">
        <v>2454</v>
      </c>
      <c r="D585" t="s">
        <v>2596</v>
      </c>
      <c r="E585">
        <v>3</v>
      </c>
      <c r="F585">
        <v>59700</v>
      </c>
      <c r="G585">
        <v>0</v>
      </c>
      <c r="H585">
        <v>0</v>
      </c>
      <c r="I585" t="s">
        <v>2652</v>
      </c>
      <c r="J585" s="4">
        <f t="shared" si="27"/>
        <v>179100</v>
      </c>
      <c r="K585" s="4" t="str">
        <f t="shared" si="28"/>
        <v>2024-07</v>
      </c>
      <c r="L585" s="4" t="str">
        <f t="shared" si="29"/>
        <v>월</v>
      </c>
      <c r="M585" s="2" t="str">
        <f>VLOOKUP($C585, 고객정보!$A$2:$E$151, 2, FALSE)</f>
        <v>부산</v>
      </c>
      <c r="N585" t="str">
        <f>VLOOKUP(C585,고객정보!$A$2:$D$151,4,FALSE)</f>
        <v>L3</v>
      </c>
      <c r="O585" t="str">
        <f>VLOOKUP($C585, 고객정보!$A$2:$E$151, 5, FALSE)</f>
        <v>40대</v>
      </c>
      <c r="P585" t="str">
        <f>VLOOKUP(D585,상품정보!$A$2:$E$61,2,FALSE)</f>
        <v>청바지</v>
      </c>
      <c r="Q585" t="str">
        <f>VLOOKUP(D585,상품정보!$A$2:$D$151,3,FALSE)</f>
        <v>의류</v>
      </c>
      <c r="R585" t="str">
        <f>VLOOKUP(D585,상품정보!$A$2:$D$151,4,FALSE)</f>
        <v>브랜드A</v>
      </c>
    </row>
    <row r="586" spans="1:18" x14ac:dyDescent="0.45">
      <c r="A586" t="s">
        <v>113</v>
      </c>
      <c r="B586" t="s">
        <v>985</v>
      </c>
      <c r="C586" t="s">
        <v>2537</v>
      </c>
      <c r="D586" t="s">
        <v>2585</v>
      </c>
      <c r="E586">
        <v>2</v>
      </c>
      <c r="F586">
        <v>14900</v>
      </c>
      <c r="G586">
        <v>1000</v>
      </c>
      <c r="H586">
        <v>0</v>
      </c>
      <c r="I586" t="s">
        <v>2652</v>
      </c>
      <c r="J586" s="4">
        <f t="shared" si="27"/>
        <v>30800</v>
      </c>
      <c r="K586" s="4" t="str">
        <f t="shared" si="28"/>
        <v>2024-06</v>
      </c>
      <c r="L586" s="4" t="str">
        <f t="shared" si="29"/>
        <v>일</v>
      </c>
      <c r="M586" s="2" t="str">
        <f>VLOOKUP($C586, 고객정보!$A$2:$E$151, 2, FALSE)</f>
        <v>광주</v>
      </c>
      <c r="N586" t="str">
        <f>VLOOKUP(C586,고객정보!$A$2:$D$151,4,FALSE)</f>
        <v>L2</v>
      </c>
      <c r="O586" t="str">
        <f>VLOOKUP($C586, 고객정보!$A$2:$E$151, 5, FALSE)</f>
        <v>40대</v>
      </c>
      <c r="P586" t="str">
        <f>VLOOKUP(D586,상품정보!$A$2:$E$61,2,FALSE)</f>
        <v>반팔 티셔츠</v>
      </c>
      <c r="Q586" t="str">
        <f>VLOOKUP(D586,상품정보!$A$2:$D$151,3,FALSE)</f>
        <v>의류</v>
      </c>
      <c r="R586" t="str">
        <f>VLOOKUP(D586,상품정보!$A$2:$D$151,4,FALSE)</f>
        <v>브랜드C</v>
      </c>
    </row>
    <row r="587" spans="1:18" x14ac:dyDescent="0.45">
      <c r="A587" t="s">
        <v>64</v>
      </c>
      <c r="B587" t="s">
        <v>986</v>
      </c>
      <c r="C587" t="s">
        <v>2494</v>
      </c>
      <c r="D587" t="s">
        <v>2586</v>
      </c>
      <c r="E587">
        <v>3</v>
      </c>
      <c r="F587">
        <v>73000</v>
      </c>
      <c r="G587">
        <v>0</v>
      </c>
      <c r="H587">
        <v>0</v>
      </c>
      <c r="I587" t="s">
        <v>2652</v>
      </c>
      <c r="J587" s="4">
        <f t="shared" si="27"/>
        <v>219000</v>
      </c>
      <c r="K587" s="4" t="str">
        <f t="shared" si="28"/>
        <v>2024-04</v>
      </c>
      <c r="L587" s="4" t="str">
        <f t="shared" si="29"/>
        <v>일</v>
      </c>
      <c r="M587" s="2" t="str">
        <f>VLOOKUP($C587, 고객정보!$A$2:$E$151, 2, FALSE)</f>
        <v>대구</v>
      </c>
      <c r="N587" t="str">
        <f>VLOOKUP(C587,고객정보!$A$2:$D$151,4,FALSE)</f>
        <v>L4</v>
      </c>
      <c r="O587" t="str">
        <f>VLOOKUP($C587, 고객정보!$A$2:$E$151, 5, FALSE)</f>
        <v>40대</v>
      </c>
      <c r="P587" t="str">
        <f>VLOOKUP(D587,상품정보!$A$2:$E$61,2,FALSE)</f>
        <v>귀걸이</v>
      </c>
      <c r="Q587" t="str">
        <f>VLOOKUP(D587,상품정보!$A$2:$D$151,3,FALSE)</f>
        <v>액세서리</v>
      </c>
      <c r="R587" t="str">
        <f>VLOOKUP(D587,상품정보!$A$2:$D$151,4,FALSE)</f>
        <v>브랜드B</v>
      </c>
    </row>
    <row r="588" spans="1:18" x14ac:dyDescent="0.45">
      <c r="A588" t="s">
        <v>232</v>
      </c>
      <c r="B588" t="s">
        <v>987</v>
      </c>
      <c r="C588" t="s">
        <v>2432</v>
      </c>
      <c r="D588" t="s">
        <v>2583</v>
      </c>
      <c r="E588">
        <v>5</v>
      </c>
      <c r="F588">
        <v>6600</v>
      </c>
      <c r="G588">
        <v>0</v>
      </c>
      <c r="H588">
        <v>0</v>
      </c>
      <c r="I588" t="s">
        <v>2652</v>
      </c>
      <c r="J588" s="4">
        <f t="shared" si="27"/>
        <v>33000</v>
      </c>
      <c r="K588" s="4" t="str">
        <f t="shared" si="28"/>
        <v>2024-08</v>
      </c>
      <c r="L588" s="4" t="str">
        <f t="shared" si="29"/>
        <v>화</v>
      </c>
      <c r="M588" s="2" t="str">
        <f>VLOOKUP($C588, 고객정보!$A$2:$E$151, 2, FALSE)</f>
        <v>서울</v>
      </c>
      <c r="N588" t="str">
        <f>VLOOKUP(C588,고객정보!$A$2:$D$151,4,FALSE)</f>
        <v>L5</v>
      </c>
      <c r="O588" t="str">
        <f>VLOOKUP($C588, 고객정보!$A$2:$E$151, 5, FALSE)</f>
        <v>20대</v>
      </c>
      <c r="P588" t="str">
        <f>VLOOKUP(D588,상품정보!$A$2:$E$61,2,FALSE)</f>
        <v>셔츠</v>
      </c>
      <c r="Q588" t="str">
        <f>VLOOKUP(D588,상품정보!$A$2:$D$151,3,FALSE)</f>
        <v>의류</v>
      </c>
      <c r="R588" t="str">
        <f>VLOOKUP(D588,상품정보!$A$2:$D$151,4,FALSE)</f>
        <v>브랜드E</v>
      </c>
    </row>
    <row r="589" spans="1:18" x14ac:dyDescent="0.45">
      <c r="A589" t="s">
        <v>226</v>
      </c>
      <c r="B589" t="s">
        <v>988</v>
      </c>
      <c r="C589" t="s">
        <v>2530</v>
      </c>
      <c r="D589" t="s">
        <v>2584</v>
      </c>
      <c r="E589">
        <v>3</v>
      </c>
      <c r="F589">
        <v>59700</v>
      </c>
      <c r="G589">
        <v>1000</v>
      </c>
      <c r="H589">
        <v>0</v>
      </c>
      <c r="I589" t="s">
        <v>2652</v>
      </c>
      <c r="J589" s="4">
        <f t="shared" si="27"/>
        <v>180100</v>
      </c>
      <c r="K589" s="4" t="str">
        <f t="shared" si="28"/>
        <v>2024-09</v>
      </c>
      <c r="L589" s="4" t="str">
        <f t="shared" si="29"/>
        <v>수</v>
      </c>
      <c r="M589" s="2" t="str">
        <f>VLOOKUP($C589, 고객정보!$A$2:$E$151, 2, FALSE)</f>
        <v>대전</v>
      </c>
      <c r="N589" t="str">
        <f>VLOOKUP(C589,고객정보!$A$2:$D$151,4,FALSE)</f>
        <v>L2</v>
      </c>
      <c r="O589" t="str">
        <f>VLOOKUP($C589, 고객정보!$A$2:$E$151, 5, FALSE)</f>
        <v>20대</v>
      </c>
      <c r="P589" t="str">
        <f>VLOOKUP(D589,상품정보!$A$2:$E$61,2,FALSE)</f>
        <v>목걸이</v>
      </c>
      <c r="Q589" t="str">
        <f>VLOOKUP(D589,상품정보!$A$2:$D$151,3,FALSE)</f>
        <v>액세서리</v>
      </c>
      <c r="R589" t="str">
        <f>VLOOKUP(D589,상품정보!$A$2:$D$151,4,FALSE)</f>
        <v>브랜드B</v>
      </c>
    </row>
    <row r="590" spans="1:18" x14ac:dyDescent="0.45">
      <c r="A590" t="s">
        <v>248</v>
      </c>
      <c r="B590" t="s">
        <v>989</v>
      </c>
      <c r="C590" t="s">
        <v>2520</v>
      </c>
      <c r="D590" t="s">
        <v>2553</v>
      </c>
      <c r="E590">
        <v>4</v>
      </c>
      <c r="F590">
        <v>63400</v>
      </c>
      <c r="G590">
        <v>0</v>
      </c>
      <c r="H590">
        <v>0</v>
      </c>
      <c r="I590" t="s">
        <v>2652</v>
      </c>
      <c r="J590" s="4">
        <f t="shared" si="27"/>
        <v>253600</v>
      </c>
      <c r="K590" s="4" t="str">
        <f t="shared" si="28"/>
        <v>2024-09</v>
      </c>
      <c r="L590" s="4" t="str">
        <f t="shared" si="29"/>
        <v>일</v>
      </c>
      <c r="M590" s="2" t="str">
        <f>VLOOKUP($C590, 고객정보!$A$2:$E$151, 2, FALSE)</f>
        <v>서울</v>
      </c>
      <c r="N590" t="str">
        <f>VLOOKUP(C590,고객정보!$A$2:$D$151,4,FALSE)</f>
        <v>L2</v>
      </c>
      <c r="O590" t="str">
        <f>VLOOKUP($C590, 고객정보!$A$2:$E$151, 5, FALSE)</f>
        <v>40대</v>
      </c>
      <c r="P590" t="str">
        <f>VLOOKUP(D590,상품정보!$A$2:$E$61,2,FALSE)</f>
        <v>귀걸이</v>
      </c>
      <c r="Q590" t="str">
        <f>VLOOKUP(D590,상품정보!$A$2:$D$151,3,FALSE)</f>
        <v>액세서리</v>
      </c>
      <c r="R590" t="str">
        <f>VLOOKUP(D590,상품정보!$A$2:$D$151,4,FALSE)</f>
        <v>브랜드F</v>
      </c>
    </row>
    <row r="591" spans="1:18" x14ac:dyDescent="0.45">
      <c r="A591" t="s">
        <v>276</v>
      </c>
      <c r="B591" t="s">
        <v>990</v>
      </c>
      <c r="C591" t="s">
        <v>2413</v>
      </c>
      <c r="D591" t="s">
        <v>2585</v>
      </c>
      <c r="E591">
        <v>2</v>
      </c>
      <c r="F591">
        <v>14900</v>
      </c>
      <c r="G591">
        <v>1500</v>
      </c>
      <c r="H591">
        <v>0</v>
      </c>
      <c r="I591" t="s">
        <v>2652</v>
      </c>
      <c r="J591" s="4">
        <f t="shared" si="27"/>
        <v>31300</v>
      </c>
      <c r="K591" s="4" t="str">
        <f t="shared" si="28"/>
        <v>2024-10</v>
      </c>
      <c r="L591" s="4" t="str">
        <f t="shared" si="29"/>
        <v>금</v>
      </c>
      <c r="M591" s="2" t="str">
        <f>VLOOKUP($C591, 고객정보!$A$2:$E$151, 2, FALSE)</f>
        <v>서울</v>
      </c>
      <c r="N591" t="str">
        <f>VLOOKUP(C591,고객정보!$A$2:$D$151,4,FALSE)</f>
        <v>L5</v>
      </c>
      <c r="O591" t="str">
        <f>VLOOKUP($C591, 고객정보!$A$2:$E$151, 5, FALSE)</f>
        <v>30대</v>
      </c>
      <c r="P591" t="str">
        <f>VLOOKUP(D591,상품정보!$A$2:$E$61,2,FALSE)</f>
        <v>반팔 티셔츠</v>
      </c>
      <c r="Q591" t="str">
        <f>VLOOKUP(D591,상품정보!$A$2:$D$151,3,FALSE)</f>
        <v>의류</v>
      </c>
      <c r="R591" t="str">
        <f>VLOOKUP(D591,상품정보!$A$2:$D$151,4,FALSE)</f>
        <v>브랜드C</v>
      </c>
    </row>
    <row r="592" spans="1:18" x14ac:dyDescent="0.45">
      <c r="A592" t="s">
        <v>90</v>
      </c>
      <c r="B592" t="s">
        <v>991</v>
      </c>
      <c r="C592" t="s">
        <v>2498</v>
      </c>
      <c r="D592" t="s">
        <v>2596</v>
      </c>
      <c r="E592">
        <v>1</v>
      </c>
      <c r="F592">
        <v>59700</v>
      </c>
      <c r="G592">
        <v>1000</v>
      </c>
      <c r="H592">
        <v>0</v>
      </c>
      <c r="I592" t="s">
        <v>2652</v>
      </c>
      <c r="J592" s="4">
        <f t="shared" si="27"/>
        <v>60700</v>
      </c>
      <c r="K592" s="4" t="str">
        <f t="shared" si="28"/>
        <v>2024-05</v>
      </c>
      <c r="L592" s="4" t="str">
        <f t="shared" si="29"/>
        <v>금</v>
      </c>
      <c r="M592" s="2" t="str">
        <f>VLOOKUP($C592, 고객정보!$A$2:$E$151, 2, FALSE)</f>
        <v>서울</v>
      </c>
      <c r="N592" t="str">
        <f>VLOOKUP(C592,고객정보!$A$2:$D$151,4,FALSE)</f>
        <v>L3</v>
      </c>
      <c r="O592" t="str">
        <f>VLOOKUP($C592, 고객정보!$A$2:$E$151, 5, FALSE)</f>
        <v>30대</v>
      </c>
      <c r="P592" t="str">
        <f>VLOOKUP(D592,상품정보!$A$2:$E$61,2,FALSE)</f>
        <v>청바지</v>
      </c>
      <c r="Q592" t="str">
        <f>VLOOKUP(D592,상품정보!$A$2:$D$151,3,FALSE)</f>
        <v>의류</v>
      </c>
      <c r="R592" t="str">
        <f>VLOOKUP(D592,상품정보!$A$2:$D$151,4,FALSE)</f>
        <v>브랜드A</v>
      </c>
    </row>
    <row r="593" spans="1:18" x14ac:dyDescent="0.45">
      <c r="A593" t="s">
        <v>294</v>
      </c>
      <c r="B593" t="s">
        <v>992</v>
      </c>
      <c r="C593" t="s">
        <v>2534</v>
      </c>
      <c r="D593" t="s">
        <v>2560</v>
      </c>
      <c r="E593">
        <v>4</v>
      </c>
      <c r="F593">
        <v>60600</v>
      </c>
      <c r="G593">
        <v>0</v>
      </c>
      <c r="H593">
        <v>0</v>
      </c>
      <c r="I593" t="s">
        <v>2652</v>
      </c>
      <c r="J593" s="4">
        <f t="shared" si="27"/>
        <v>242400</v>
      </c>
      <c r="K593" s="4" t="str">
        <f t="shared" si="28"/>
        <v>2024-05</v>
      </c>
      <c r="L593" s="4" t="str">
        <f t="shared" si="29"/>
        <v>일</v>
      </c>
      <c r="M593" s="2" t="str">
        <f>VLOOKUP($C593, 고객정보!$A$2:$E$151, 2, FALSE)</f>
        <v>광주</v>
      </c>
      <c r="N593" t="str">
        <f>VLOOKUP(C593,고객정보!$A$2:$D$151,4,FALSE)</f>
        <v>L2</v>
      </c>
      <c r="O593" t="str">
        <f>VLOOKUP($C593, 고객정보!$A$2:$E$151, 5, FALSE)</f>
        <v>10대</v>
      </c>
      <c r="P593" t="str">
        <f>VLOOKUP(D593,상품정보!$A$2:$E$61,2,FALSE)</f>
        <v>반팔 티셔츠</v>
      </c>
      <c r="Q593" t="str">
        <f>VLOOKUP(D593,상품정보!$A$2:$D$151,3,FALSE)</f>
        <v>의류</v>
      </c>
      <c r="R593" t="str">
        <f>VLOOKUP(D593,상품정보!$A$2:$D$151,4,FALSE)</f>
        <v>브랜드F</v>
      </c>
    </row>
    <row r="594" spans="1:18" x14ac:dyDescent="0.45">
      <c r="A594" t="s">
        <v>98</v>
      </c>
      <c r="B594" t="s">
        <v>993</v>
      </c>
      <c r="C594" t="s">
        <v>2436</v>
      </c>
      <c r="D594" t="s">
        <v>2594</v>
      </c>
      <c r="E594">
        <v>1</v>
      </c>
      <c r="F594">
        <v>73000</v>
      </c>
      <c r="G594">
        <v>2000</v>
      </c>
      <c r="H594">
        <v>0</v>
      </c>
      <c r="I594" t="s">
        <v>2652</v>
      </c>
      <c r="J594" s="4">
        <f t="shared" si="27"/>
        <v>75000</v>
      </c>
      <c r="K594" s="4" t="str">
        <f t="shared" si="28"/>
        <v>2024-08</v>
      </c>
      <c r="L594" s="4" t="str">
        <f t="shared" si="29"/>
        <v>목</v>
      </c>
      <c r="M594" s="2" t="str">
        <f>VLOOKUP($C594, 고객정보!$A$2:$E$151, 2, FALSE)</f>
        <v>인천</v>
      </c>
      <c r="N594" t="str">
        <f>VLOOKUP(C594,고객정보!$A$2:$D$151,4,FALSE)</f>
        <v>L4</v>
      </c>
      <c r="O594" t="str">
        <f>VLOOKUP($C594, 고객정보!$A$2:$E$151, 5, FALSE)</f>
        <v>10대</v>
      </c>
      <c r="P594" t="str">
        <f>VLOOKUP(D594,상품정보!$A$2:$E$61,2,FALSE)</f>
        <v>자켓</v>
      </c>
      <c r="Q594" t="str">
        <f>VLOOKUP(D594,상품정보!$A$2:$D$151,3,FALSE)</f>
        <v>의류</v>
      </c>
      <c r="R594" t="str">
        <f>VLOOKUP(D594,상품정보!$A$2:$D$151,4,FALSE)</f>
        <v>브랜드A</v>
      </c>
    </row>
    <row r="595" spans="1:18" x14ac:dyDescent="0.45">
      <c r="A595" t="s">
        <v>296</v>
      </c>
      <c r="B595" t="s">
        <v>994</v>
      </c>
      <c r="C595" t="s">
        <v>2525</v>
      </c>
      <c r="D595" t="s">
        <v>2584</v>
      </c>
      <c r="E595">
        <v>3</v>
      </c>
      <c r="F595">
        <v>59700</v>
      </c>
      <c r="G595">
        <v>0</v>
      </c>
      <c r="H595">
        <v>0</v>
      </c>
      <c r="I595" t="s">
        <v>2652</v>
      </c>
      <c r="J595" s="4">
        <f t="shared" si="27"/>
        <v>179100</v>
      </c>
      <c r="K595" s="4" t="str">
        <f t="shared" si="28"/>
        <v>2025-01</v>
      </c>
      <c r="L595" s="4" t="str">
        <f t="shared" si="29"/>
        <v>화</v>
      </c>
      <c r="M595" s="2" t="str">
        <f>VLOOKUP($C595, 고객정보!$A$2:$E$151, 2, FALSE)</f>
        <v>수원</v>
      </c>
      <c r="N595" t="str">
        <f>VLOOKUP(C595,고객정보!$A$2:$D$151,4,FALSE)</f>
        <v>L4</v>
      </c>
      <c r="O595" t="str">
        <f>VLOOKUP($C595, 고객정보!$A$2:$E$151, 5, FALSE)</f>
        <v>20대</v>
      </c>
      <c r="P595" t="str">
        <f>VLOOKUP(D595,상품정보!$A$2:$E$61,2,FALSE)</f>
        <v>목걸이</v>
      </c>
      <c r="Q595" t="str">
        <f>VLOOKUP(D595,상품정보!$A$2:$D$151,3,FALSE)</f>
        <v>액세서리</v>
      </c>
      <c r="R595" t="str">
        <f>VLOOKUP(D595,상품정보!$A$2:$D$151,4,FALSE)</f>
        <v>브랜드B</v>
      </c>
    </row>
    <row r="596" spans="1:18" x14ac:dyDescent="0.45">
      <c r="A596" t="s">
        <v>233</v>
      </c>
      <c r="B596" t="s">
        <v>995</v>
      </c>
      <c r="C596" t="s">
        <v>2419</v>
      </c>
      <c r="D596" t="s">
        <v>2557</v>
      </c>
      <c r="E596">
        <v>4</v>
      </c>
      <c r="F596">
        <v>77700</v>
      </c>
      <c r="G596">
        <v>0</v>
      </c>
      <c r="H596">
        <v>4300</v>
      </c>
      <c r="I596" t="s">
        <v>2614</v>
      </c>
      <c r="J596" s="4">
        <f t="shared" si="27"/>
        <v>306500</v>
      </c>
      <c r="K596" s="4" t="str">
        <f t="shared" si="28"/>
        <v>2024-07</v>
      </c>
      <c r="L596" s="4" t="str">
        <f t="shared" si="29"/>
        <v>토</v>
      </c>
      <c r="M596" s="2" t="str">
        <f>VLOOKUP($C596, 고객정보!$A$2:$E$151, 2, FALSE)</f>
        <v>대구</v>
      </c>
      <c r="N596" t="str">
        <f>VLOOKUP(C596,고객정보!$A$2:$D$151,4,FALSE)</f>
        <v>L2</v>
      </c>
      <c r="O596" t="str">
        <f>VLOOKUP($C596, 고객정보!$A$2:$E$151, 5, FALSE)</f>
        <v>20대</v>
      </c>
      <c r="P596" t="str">
        <f>VLOOKUP(D596,상품정보!$A$2:$E$61,2,FALSE)</f>
        <v>귀걸이</v>
      </c>
      <c r="Q596" t="str">
        <f>VLOOKUP(D596,상품정보!$A$2:$D$151,3,FALSE)</f>
        <v>액세서리</v>
      </c>
      <c r="R596" t="str">
        <f>VLOOKUP(D596,상품정보!$A$2:$D$151,4,FALSE)</f>
        <v>브랜드B</v>
      </c>
    </row>
    <row r="597" spans="1:18" x14ac:dyDescent="0.45">
      <c r="A597" t="s">
        <v>82</v>
      </c>
      <c r="B597" t="s">
        <v>996</v>
      </c>
      <c r="C597" t="s">
        <v>2473</v>
      </c>
      <c r="D597" t="s">
        <v>2575</v>
      </c>
      <c r="E597">
        <v>1</v>
      </c>
      <c r="F597">
        <v>7200</v>
      </c>
      <c r="G597">
        <v>0</v>
      </c>
      <c r="H597">
        <v>0</v>
      </c>
      <c r="I597" t="s">
        <v>2652</v>
      </c>
      <c r="J597" s="4">
        <f t="shared" si="27"/>
        <v>7200</v>
      </c>
      <c r="K597" s="4" t="str">
        <f t="shared" si="28"/>
        <v>2024-10</v>
      </c>
      <c r="L597" s="4" t="str">
        <f t="shared" si="29"/>
        <v>금</v>
      </c>
      <c r="M597" s="2" t="str">
        <f>VLOOKUP($C597, 고객정보!$A$2:$E$151, 2, FALSE)</f>
        <v>수원</v>
      </c>
      <c r="N597" t="str">
        <f>VLOOKUP(C597,고객정보!$A$2:$D$151,4,FALSE)</f>
        <v>L3</v>
      </c>
      <c r="O597" t="str">
        <f>VLOOKUP($C597, 고객정보!$A$2:$E$151, 5, FALSE)</f>
        <v>50대 이상</v>
      </c>
      <c r="P597" t="str">
        <f>VLOOKUP(D597,상품정보!$A$2:$E$61,2,FALSE)</f>
        <v>반지</v>
      </c>
      <c r="Q597" t="str">
        <f>VLOOKUP(D597,상품정보!$A$2:$D$151,3,FALSE)</f>
        <v>액세서리</v>
      </c>
      <c r="R597" t="str">
        <f>VLOOKUP(D597,상품정보!$A$2:$D$151,4,FALSE)</f>
        <v>브랜드E</v>
      </c>
    </row>
    <row r="598" spans="1:18" x14ac:dyDescent="0.45">
      <c r="A598" t="s">
        <v>41</v>
      </c>
      <c r="B598" t="s">
        <v>997</v>
      </c>
      <c r="C598" t="s">
        <v>2406</v>
      </c>
      <c r="D598" t="s">
        <v>2555</v>
      </c>
      <c r="E598">
        <v>3</v>
      </c>
      <c r="F598">
        <v>8300</v>
      </c>
      <c r="G598">
        <v>500</v>
      </c>
      <c r="H598">
        <v>0</v>
      </c>
      <c r="I598" t="s">
        <v>2652</v>
      </c>
      <c r="J598" s="4">
        <f t="shared" si="27"/>
        <v>25400</v>
      </c>
      <c r="K598" s="4" t="str">
        <f t="shared" si="28"/>
        <v>2024-10</v>
      </c>
      <c r="L598" s="4" t="str">
        <f t="shared" si="29"/>
        <v>목</v>
      </c>
      <c r="M598" s="2" t="str">
        <f>VLOOKUP($C598, 고객정보!$A$2:$E$151, 2, FALSE)</f>
        <v>부산</v>
      </c>
      <c r="N598" t="str">
        <f>VLOOKUP(C598,고객정보!$A$2:$D$151,4,FALSE)</f>
        <v>L5</v>
      </c>
      <c r="O598" t="str">
        <f>VLOOKUP($C598, 고객정보!$A$2:$E$151, 5, FALSE)</f>
        <v>30대</v>
      </c>
      <c r="P598" t="str">
        <f>VLOOKUP(D598,상품정보!$A$2:$E$61,2,FALSE)</f>
        <v>청바지</v>
      </c>
      <c r="Q598" t="str">
        <f>VLOOKUP(D598,상품정보!$A$2:$D$151,3,FALSE)</f>
        <v>의류</v>
      </c>
      <c r="R598" t="str">
        <f>VLOOKUP(D598,상품정보!$A$2:$D$151,4,FALSE)</f>
        <v>브랜드E</v>
      </c>
    </row>
    <row r="599" spans="1:18" x14ac:dyDescent="0.45">
      <c r="A599" t="s">
        <v>248</v>
      </c>
      <c r="B599" t="s">
        <v>998</v>
      </c>
      <c r="C599" t="s">
        <v>2547</v>
      </c>
      <c r="D599" t="s">
        <v>2571</v>
      </c>
      <c r="E599">
        <v>4</v>
      </c>
      <c r="F599">
        <v>55600</v>
      </c>
      <c r="G599">
        <v>0</v>
      </c>
      <c r="H599">
        <v>0</v>
      </c>
      <c r="I599" t="s">
        <v>2652</v>
      </c>
      <c r="J599" s="4">
        <f t="shared" si="27"/>
        <v>222400</v>
      </c>
      <c r="K599" s="4" t="str">
        <f t="shared" si="28"/>
        <v>2024-09</v>
      </c>
      <c r="L599" s="4" t="str">
        <f t="shared" si="29"/>
        <v>일</v>
      </c>
      <c r="M599" s="2" t="str">
        <f>VLOOKUP($C599, 고객정보!$A$2:$E$151, 2, FALSE)</f>
        <v>광주</v>
      </c>
      <c r="N599" t="str">
        <f>VLOOKUP(C599,고객정보!$A$2:$D$151,4,FALSE)</f>
        <v>L2</v>
      </c>
      <c r="O599" t="str">
        <f>VLOOKUP($C599, 고객정보!$A$2:$E$151, 5, FALSE)</f>
        <v>20대</v>
      </c>
      <c r="P599" t="str">
        <f>VLOOKUP(D599,상품정보!$A$2:$E$61,2,FALSE)</f>
        <v>자켓</v>
      </c>
      <c r="Q599" t="str">
        <f>VLOOKUP(D599,상품정보!$A$2:$D$151,3,FALSE)</f>
        <v>의류</v>
      </c>
      <c r="R599" t="str">
        <f>VLOOKUP(D599,상품정보!$A$2:$D$151,4,FALSE)</f>
        <v>브랜드B</v>
      </c>
    </row>
    <row r="600" spans="1:18" x14ac:dyDescent="0.45">
      <c r="A600" t="s">
        <v>310</v>
      </c>
      <c r="B600" t="s">
        <v>999</v>
      </c>
      <c r="C600" t="s">
        <v>2516</v>
      </c>
      <c r="D600" t="s">
        <v>2557</v>
      </c>
      <c r="E600">
        <v>5</v>
      </c>
      <c r="F600">
        <v>77700</v>
      </c>
      <c r="G600">
        <v>0</v>
      </c>
      <c r="H600">
        <v>0</v>
      </c>
      <c r="I600" t="s">
        <v>2652</v>
      </c>
      <c r="J600" s="4">
        <f t="shared" si="27"/>
        <v>388500</v>
      </c>
      <c r="K600" s="4" t="str">
        <f t="shared" si="28"/>
        <v>2024-05</v>
      </c>
      <c r="L600" s="4" t="str">
        <f t="shared" si="29"/>
        <v>목</v>
      </c>
      <c r="M600" s="2" t="str">
        <f>VLOOKUP($C600, 고객정보!$A$2:$E$151, 2, FALSE)</f>
        <v>대전</v>
      </c>
      <c r="N600" t="str">
        <f>VLOOKUP(C600,고객정보!$A$2:$D$151,4,FALSE)</f>
        <v>L3</v>
      </c>
      <c r="O600" t="str">
        <f>VLOOKUP($C600, 고객정보!$A$2:$E$151, 5, FALSE)</f>
        <v>10대</v>
      </c>
      <c r="P600" t="str">
        <f>VLOOKUP(D600,상품정보!$A$2:$E$61,2,FALSE)</f>
        <v>귀걸이</v>
      </c>
      <c r="Q600" t="str">
        <f>VLOOKUP(D600,상품정보!$A$2:$D$151,3,FALSE)</f>
        <v>액세서리</v>
      </c>
      <c r="R600" t="str">
        <f>VLOOKUP(D600,상품정보!$A$2:$D$151,4,FALSE)</f>
        <v>브랜드B</v>
      </c>
    </row>
    <row r="601" spans="1:18" x14ac:dyDescent="0.45">
      <c r="A601" t="s">
        <v>311</v>
      </c>
      <c r="B601" t="s">
        <v>1000</v>
      </c>
      <c r="C601" t="s">
        <v>2449</v>
      </c>
      <c r="D601" t="s">
        <v>2552</v>
      </c>
      <c r="E601">
        <v>1</v>
      </c>
      <c r="F601">
        <v>13300</v>
      </c>
      <c r="G601">
        <v>500</v>
      </c>
      <c r="H601">
        <v>0</v>
      </c>
      <c r="I601" t="s">
        <v>2652</v>
      </c>
      <c r="J601" s="4">
        <f t="shared" si="27"/>
        <v>13800</v>
      </c>
      <c r="K601" s="4" t="str">
        <f t="shared" si="28"/>
        <v>2024-07</v>
      </c>
      <c r="L601" s="4" t="str">
        <f t="shared" si="29"/>
        <v>토</v>
      </c>
      <c r="M601" s="2" t="str">
        <f>VLOOKUP($C601, 고객정보!$A$2:$E$151, 2, FALSE)</f>
        <v>대구</v>
      </c>
      <c r="N601" t="str">
        <f>VLOOKUP(C601,고객정보!$A$2:$D$151,4,FALSE)</f>
        <v>L5</v>
      </c>
      <c r="O601" t="str">
        <f>VLOOKUP($C601, 고객정보!$A$2:$E$151, 5, FALSE)</f>
        <v>40대</v>
      </c>
      <c r="P601" t="str">
        <f>VLOOKUP(D601,상품정보!$A$2:$E$61,2,FALSE)</f>
        <v>셔츠</v>
      </c>
      <c r="Q601" t="str">
        <f>VLOOKUP(D601,상품정보!$A$2:$D$151,3,FALSE)</f>
        <v>의류</v>
      </c>
      <c r="R601" t="str">
        <f>VLOOKUP(D601,상품정보!$A$2:$D$151,4,FALSE)</f>
        <v>브랜드E</v>
      </c>
    </row>
    <row r="602" spans="1:18" x14ac:dyDescent="0.45">
      <c r="A602" t="s">
        <v>187</v>
      </c>
      <c r="B602" t="s">
        <v>1001</v>
      </c>
      <c r="C602" t="s">
        <v>2440</v>
      </c>
      <c r="D602" t="s">
        <v>2577</v>
      </c>
      <c r="E602">
        <v>3</v>
      </c>
      <c r="F602">
        <v>10200</v>
      </c>
      <c r="G602">
        <v>0</v>
      </c>
      <c r="H602">
        <v>0</v>
      </c>
      <c r="I602" t="s">
        <v>2652</v>
      </c>
      <c r="J602" s="4">
        <f t="shared" si="27"/>
        <v>30600</v>
      </c>
      <c r="K602" s="4" t="str">
        <f t="shared" si="28"/>
        <v>2024-10</v>
      </c>
      <c r="L602" s="4" t="str">
        <f t="shared" si="29"/>
        <v>토</v>
      </c>
      <c r="M602" s="2" t="str">
        <f>VLOOKUP($C602, 고객정보!$A$2:$E$151, 2, FALSE)</f>
        <v>대구</v>
      </c>
      <c r="N602" t="str">
        <f>VLOOKUP(C602,고객정보!$A$2:$D$151,4,FALSE)</f>
        <v>L2</v>
      </c>
      <c r="O602" t="str">
        <f>VLOOKUP($C602, 고객정보!$A$2:$E$151, 5, FALSE)</f>
        <v>10대</v>
      </c>
      <c r="P602" t="str">
        <f>VLOOKUP(D602,상품정보!$A$2:$E$61,2,FALSE)</f>
        <v>셔츠</v>
      </c>
      <c r="Q602" t="str">
        <f>VLOOKUP(D602,상품정보!$A$2:$D$151,3,FALSE)</f>
        <v>의류</v>
      </c>
      <c r="R602" t="str">
        <f>VLOOKUP(D602,상품정보!$A$2:$D$151,4,FALSE)</f>
        <v>브랜드C</v>
      </c>
    </row>
    <row r="603" spans="1:18" x14ac:dyDescent="0.45">
      <c r="A603" t="s">
        <v>312</v>
      </c>
      <c r="B603" t="s">
        <v>1002</v>
      </c>
      <c r="C603" t="s">
        <v>2419</v>
      </c>
      <c r="D603" t="s">
        <v>2557</v>
      </c>
      <c r="E603">
        <v>2</v>
      </c>
      <c r="F603">
        <v>77700</v>
      </c>
      <c r="G603">
        <v>0</v>
      </c>
      <c r="H603">
        <v>0</v>
      </c>
      <c r="I603" t="s">
        <v>2652</v>
      </c>
      <c r="J603" s="4">
        <f t="shared" si="27"/>
        <v>155400</v>
      </c>
      <c r="K603" s="4" t="str">
        <f t="shared" si="28"/>
        <v>2024-04</v>
      </c>
      <c r="L603" s="4" t="str">
        <f t="shared" si="29"/>
        <v>목</v>
      </c>
      <c r="M603" s="2" t="str">
        <f>VLOOKUP($C603, 고객정보!$A$2:$E$151, 2, FALSE)</f>
        <v>대구</v>
      </c>
      <c r="N603" t="str">
        <f>VLOOKUP(C603,고객정보!$A$2:$D$151,4,FALSE)</f>
        <v>L2</v>
      </c>
      <c r="O603" t="str">
        <f>VLOOKUP($C603, 고객정보!$A$2:$E$151, 5, FALSE)</f>
        <v>20대</v>
      </c>
      <c r="P603" t="str">
        <f>VLOOKUP(D603,상품정보!$A$2:$E$61,2,FALSE)</f>
        <v>귀걸이</v>
      </c>
      <c r="Q603" t="str">
        <f>VLOOKUP(D603,상품정보!$A$2:$D$151,3,FALSE)</f>
        <v>액세서리</v>
      </c>
      <c r="R603" t="str">
        <f>VLOOKUP(D603,상품정보!$A$2:$D$151,4,FALSE)</f>
        <v>브랜드B</v>
      </c>
    </row>
    <row r="604" spans="1:18" x14ac:dyDescent="0.45">
      <c r="A604" t="s">
        <v>83</v>
      </c>
      <c r="B604" t="s">
        <v>1003</v>
      </c>
      <c r="C604" t="s">
        <v>2484</v>
      </c>
      <c r="D604" t="s">
        <v>2575</v>
      </c>
      <c r="E604">
        <v>5</v>
      </c>
      <c r="F604">
        <v>7200</v>
      </c>
      <c r="G604">
        <v>0</v>
      </c>
      <c r="H604">
        <v>0</v>
      </c>
      <c r="I604" t="s">
        <v>2652</v>
      </c>
      <c r="J604" s="4">
        <f t="shared" si="27"/>
        <v>36000</v>
      </c>
      <c r="K604" s="4" t="str">
        <f t="shared" si="28"/>
        <v>2024-01</v>
      </c>
      <c r="L604" s="4" t="str">
        <f t="shared" si="29"/>
        <v>일</v>
      </c>
      <c r="M604" s="2" t="str">
        <f>VLOOKUP($C604, 고객정보!$A$2:$E$151, 2, FALSE)</f>
        <v>부산</v>
      </c>
      <c r="N604" t="str">
        <f>VLOOKUP(C604,고객정보!$A$2:$D$151,4,FALSE)</f>
        <v>L5</v>
      </c>
      <c r="O604" t="str">
        <f>VLOOKUP($C604, 고객정보!$A$2:$E$151, 5, FALSE)</f>
        <v>20대</v>
      </c>
      <c r="P604" t="str">
        <f>VLOOKUP(D604,상품정보!$A$2:$E$61,2,FALSE)</f>
        <v>반지</v>
      </c>
      <c r="Q604" t="str">
        <f>VLOOKUP(D604,상품정보!$A$2:$D$151,3,FALSE)</f>
        <v>액세서리</v>
      </c>
      <c r="R604" t="str">
        <f>VLOOKUP(D604,상품정보!$A$2:$D$151,4,FALSE)</f>
        <v>브랜드E</v>
      </c>
    </row>
    <row r="605" spans="1:18" x14ac:dyDescent="0.45">
      <c r="A605" t="s">
        <v>271</v>
      </c>
      <c r="B605" t="s">
        <v>1004</v>
      </c>
      <c r="C605" t="s">
        <v>2473</v>
      </c>
      <c r="D605" t="s">
        <v>2564</v>
      </c>
      <c r="E605">
        <v>2</v>
      </c>
      <c r="F605">
        <v>66600</v>
      </c>
      <c r="G605">
        <v>0</v>
      </c>
      <c r="H605">
        <v>0</v>
      </c>
      <c r="I605" t="s">
        <v>2652</v>
      </c>
      <c r="J605" s="4">
        <f t="shared" si="27"/>
        <v>133200</v>
      </c>
      <c r="K605" s="4" t="str">
        <f t="shared" si="28"/>
        <v>2024-12</v>
      </c>
      <c r="L605" s="4" t="str">
        <f t="shared" si="29"/>
        <v>화</v>
      </c>
      <c r="M605" s="2" t="str">
        <f>VLOOKUP($C605, 고객정보!$A$2:$E$151, 2, FALSE)</f>
        <v>수원</v>
      </c>
      <c r="N605" t="str">
        <f>VLOOKUP(C605,고객정보!$A$2:$D$151,4,FALSE)</f>
        <v>L3</v>
      </c>
      <c r="O605" t="str">
        <f>VLOOKUP($C605, 고객정보!$A$2:$E$151, 5, FALSE)</f>
        <v>50대 이상</v>
      </c>
      <c r="P605" t="str">
        <f>VLOOKUP(D605,상품정보!$A$2:$E$61,2,FALSE)</f>
        <v>청바지</v>
      </c>
      <c r="Q605" t="str">
        <f>VLOOKUP(D605,상품정보!$A$2:$D$151,3,FALSE)</f>
        <v>의류</v>
      </c>
      <c r="R605" t="str">
        <f>VLOOKUP(D605,상품정보!$A$2:$D$151,4,FALSE)</f>
        <v>브랜드B</v>
      </c>
    </row>
    <row r="606" spans="1:18" x14ac:dyDescent="0.45">
      <c r="A606" t="s">
        <v>208</v>
      </c>
      <c r="B606" t="s">
        <v>1005</v>
      </c>
      <c r="C606" t="s">
        <v>2526</v>
      </c>
      <c r="D606" t="s">
        <v>2570</v>
      </c>
      <c r="E606">
        <v>4</v>
      </c>
      <c r="F606">
        <v>73900</v>
      </c>
      <c r="G606">
        <v>1500</v>
      </c>
      <c r="H606">
        <v>0</v>
      </c>
      <c r="I606" t="s">
        <v>2652</v>
      </c>
      <c r="J606" s="4">
        <f t="shared" si="27"/>
        <v>297100</v>
      </c>
      <c r="K606" s="4" t="str">
        <f t="shared" si="28"/>
        <v>2024-09</v>
      </c>
      <c r="L606" s="4" t="str">
        <f t="shared" si="29"/>
        <v>일</v>
      </c>
      <c r="M606" s="2" t="str">
        <f>VLOOKUP($C606, 고객정보!$A$2:$E$151, 2, FALSE)</f>
        <v>부산</v>
      </c>
      <c r="N606" t="str">
        <f>VLOOKUP(C606,고객정보!$A$2:$D$151,4,FALSE)</f>
        <v>L3</v>
      </c>
      <c r="O606" t="str">
        <f>VLOOKUP($C606, 고객정보!$A$2:$E$151, 5, FALSE)</f>
        <v>10대</v>
      </c>
      <c r="P606" t="str">
        <f>VLOOKUP(D606,상품정보!$A$2:$E$61,2,FALSE)</f>
        <v>반지</v>
      </c>
      <c r="Q606" t="str">
        <f>VLOOKUP(D606,상품정보!$A$2:$D$151,3,FALSE)</f>
        <v>액세서리</v>
      </c>
      <c r="R606" t="str">
        <f>VLOOKUP(D606,상품정보!$A$2:$D$151,4,FALSE)</f>
        <v>브랜드B</v>
      </c>
    </row>
    <row r="607" spans="1:18" x14ac:dyDescent="0.45">
      <c r="A607" t="s">
        <v>206</v>
      </c>
      <c r="B607" t="s">
        <v>1006</v>
      </c>
      <c r="C607" t="s">
        <v>2462</v>
      </c>
      <c r="D607" t="s">
        <v>2573</v>
      </c>
      <c r="E607">
        <v>5</v>
      </c>
      <c r="F607">
        <v>6400</v>
      </c>
      <c r="G607">
        <v>1500</v>
      </c>
      <c r="H607">
        <v>0</v>
      </c>
      <c r="I607" t="s">
        <v>2652</v>
      </c>
      <c r="J607" s="4">
        <f t="shared" si="27"/>
        <v>33500</v>
      </c>
      <c r="K607" s="4" t="str">
        <f t="shared" si="28"/>
        <v>2024-09</v>
      </c>
      <c r="L607" s="4" t="str">
        <f t="shared" si="29"/>
        <v>금</v>
      </c>
      <c r="M607" s="2" t="str">
        <f>VLOOKUP($C607, 고객정보!$A$2:$E$151, 2, FALSE)</f>
        <v>광주</v>
      </c>
      <c r="N607" t="str">
        <f>VLOOKUP(C607,고객정보!$A$2:$D$151,4,FALSE)</f>
        <v>L5</v>
      </c>
      <c r="O607" t="str">
        <f>VLOOKUP($C607, 고객정보!$A$2:$E$151, 5, FALSE)</f>
        <v>50대 이상</v>
      </c>
      <c r="P607" t="str">
        <f>VLOOKUP(D607,상품정보!$A$2:$E$61,2,FALSE)</f>
        <v>귀걸이</v>
      </c>
      <c r="Q607" t="str">
        <f>VLOOKUP(D607,상품정보!$A$2:$D$151,3,FALSE)</f>
        <v>액세서리</v>
      </c>
      <c r="R607" t="str">
        <f>VLOOKUP(D607,상품정보!$A$2:$D$151,4,FALSE)</f>
        <v>브랜드E</v>
      </c>
    </row>
    <row r="608" spans="1:18" x14ac:dyDescent="0.45">
      <c r="A608" t="s">
        <v>313</v>
      </c>
      <c r="B608" t="s">
        <v>1007</v>
      </c>
      <c r="C608" t="s">
        <v>2430</v>
      </c>
      <c r="D608" t="s">
        <v>2597</v>
      </c>
      <c r="E608">
        <v>5</v>
      </c>
      <c r="F608">
        <v>65300</v>
      </c>
      <c r="G608">
        <v>500</v>
      </c>
      <c r="H608">
        <v>0</v>
      </c>
      <c r="I608" t="s">
        <v>2652</v>
      </c>
      <c r="J608" s="4">
        <f t="shared" si="27"/>
        <v>327000</v>
      </c>
      <c r="K608" s="4" t="str">
        <f t="shared" si="28"/>
        <v>2024-06</v>
      </c>
      <c r="L608" s="4" t="str">
        <f t="shared" si="29"/>
        <v>수</v>
      </c>
      <c r="M608" s="2" t="str">
        <f>VLOOKUP($C608, 고객정보!$A$2:$E$151, 2, FALSE)</f>
        <v>광주</v>
      </c>
      <c r="N608" t="str">
        <f>VLOOKUP(C608,고객정보!$A$2:$D$151,4,FALSE)</f>
        <v>L4</v>
      </c>
      <c r="O608" t="str">
        <f>VLOOKUP($C608, 고객정보!$A$2:$E$151, 5, FALSE)</f>
        <v>30대</v>
      </c>
      <c r="P608" t="str">
        <f>VLOOKUP(D608,상품정보!$A$2:$E$61,2,FALSE)</f>
        <v>반지</v>
      </c>
      <c r="Q608" t="str">
        <f>VLOOKUP(D608,상품정보!$A$2:$D$151,3,FALSE)</f>
        <v>액세서리</v>
      </c>
      <c r="R608" t="str">
        <f>VLOOKUP(D608,상품정보!$A$2:$D$151,4,FALSE)</f>
        <v>브랜드F</v>
      </c>
    </row>
    <row r="609" spans="1:18" x14ac:dyDescent="0.45">
      <c r="A609" t="s">
        <v>279</v>
      </c>
      <c r="B609" t="s">
        <v>1008</v>
      </c>
      <c r="C609" t="s">
        <v>2541</v>
      </c>
      <c r="D609" t="s">
        <v>2575</v>
      </c>
      <c r="E609">
        <v>5</v>
      </c>
      <c r="F609">
        <v>7200</v>
      </c>
      <c r="G609">
        <v>2000</v>
      </c>
      <c r="H609">
        <v>0</v>
      </c>
      <c r="I609" t="s">
        <v>2652</v>
      </c>
      <c r="J609" s="4">
        <f t="shared" si="27"/>
        <v>38000</v>
      </c>
      <c r="K609" s="4" t="str">
        <f t="shared" si="28"/>
        <v>2025-01</v>
      </c>
      <c r="L609" s="4" t="str">
        <f t="shared" si="29"/>
        <v>월</v>
      </c>
      <c r="M609" s="2" t="str">
        <f>VLOOKUP($C609, 고객정보!$A$2:$E$151, 2, FALSE)</f>
        <v>대구</v>
      </c>
      <c r="N609" t="str">
        <f>VLOOKUP(C609,고객정보!$A$2:$D$151,4,FALSE)</f>
        <v>L5</v>
      </c>
      <c r="O609" t="str">
        <f>VLOOKUP($C609, 고객정보!$A$2:$E$151, 5, FALSE)</f>
        <v>30대</v>
      </c>
      <c r="P609" t="str">
        <f>VLOOKUP(D609,상품정보!$A$2:$E$61,2,FALSE)</f>
        <v>반지</v>
      </c>
      <c r="Q609" t="str">
        <f>VLOOKUP(D609,상품정보!$A$2:$D$151,3,FALSE)</f>
        <v>액세서리</v>
      </c>
      <c r="R609" t="str">
        <f>VLOOKUP(D609,상품정보!$A$2:$D$151,4,FALSE)</f>
        <v>브랜드E</v>
      </c>
    </row>
    <row r="610" spans="1:18" x14ac:dyDescent="0.45">
      <c r="A610" t="s">
        <v>46</v>
      </c>
      <c r="B610" t="s">
        <v>1009</v>
      </c>
      <c r="C610" t="s">
        <v>2528</v>
      </c>
      <c r="D610" t="s">
        <v>2589</v>
      </c>
      <c r="E610">
        <v>3</v>
      </c>
      <c r="F610">
        <v>71400</v>
      </c>
      <c r="G610">
        <v>1500</v>
      </c>
      <c r="H610">
        <v>0</v>
      </c>
      <c r="I610" t="s">
        <v>2652</v>
      </c>
      <c r="J610" s="4">
        <f t="shared" si="27"/>
        <v>215700</v>
      </c>
      <c r="K610" s="4" t="str">
        <f t="shared" si="28"/>
        <v>2024-09</v>
      </c>
      <c r="L610" s="4" t="str">
        <f t="shared" si="29"/>
        <v>월</v>
      </c>
      <c r="M610" s="2" t="str">
        <f>VLOOKUP($C610, 고객정보!$A$2:$E$151, 2, FALSE)</f>
        <v>광주</v>
      </c>
      <c r="N610" t="str">
        <f>VLOOKUP(C610,고객정보!$A$2:$D$151,4,FALSE)</f>
        <v>L3</v>
      </c>
      <c r="O610" t="str">
        <f>VLOOKUP($C610, 고객정보!$A$2:$E$151, 5, FALSE)</f>
        <v>10대</v>
      </c>
      <c r="P610" t="str">
        <f>VLOOKUP(D610,상품정보!$A$2:$E$61,2,FALSE)</f>
        <v>셔츠</v>
      </c>
      <c r="Q610" t="str">
        <f>VLOOKUP(D610,상품정보!$A$2:$D$151,3,FALSE)</f>
        <v>의류</v>
      </c>
      <c r="R610" t="str">
        <f>VLOOKUP(D610,상품정보!$A$2:$D$151,4,FALSE)</f>
        <v>브랜드A</v>
      </c>
    </row>
    <row r="611" spans="1:18" x14ac:dyDescent="0.45">
      <c r="A611" t="s">
        <v>111</v>
      </c>
      <c r="B611" t="s">
        <v>1010</v>
      </c>
      <c r="C611" t="s">
        <v>2484</v>
      </c>
      <c r="D611" t="s">
        <v>2561</v>
      </c>
      <c r="E611">
        <v>4</v>
      </c>
      <c r="F611">
        <v>63300</v>
      </c>
      <c r="G611">
        <v>1500</v>
      </c>
      <c r="H611">
        <v>0</v>
      </c>
      <c r="I611" t="s">
        <v>2652</v>
      </c>
      <c r="J611" s="4">
        <f t="shared" si="27"/>
        <v>254700</v>
      </c>
      <c r="K611" s="4" t="str">
        <f t="shared" si="28"/>
        <v>2024-12</v>
      </c>
      <c r="L611" s="4" t="str">
        <f t="shared" si="29"/>
        <v>토</v>
      </c>
      <c r="M611" s="2" t="str">
        <f>VLOOKUP($C611, 고객정보!$A$2:$E$151, 2, FALSE)</f>
        <v>부산</v>
      </c>
      <c r="N611" t="str">
        <f>VLOOKUP(C611,고객정보!$A$2:$D$151,4,FALSE)</f>
        <v>L5</v>
      </c>
      <c r="O611" t="str">
        <f>VLOOKUP($C611, 고객정보!$A$2:$E$151, 5, FALSE)</f>
        <v>20대</v>
      </c>
      <c r="P611" t="str">
        <f>VLOOKUP(D611,상품정보!$A$2:$E$61,2,FALSE)</f>
        <v>귀걸이</v>
      </c>
      <c r="Q611" t="str">
        <f>VLOOKUP(D611,상품정보!$A$2:$D$151,3,FALSE)</f>
        <v>액세서리</v>
      </c>
      <c r="R611" t="str">
        <f>VLOOKUP(D611,상품정보!$A$2:$D$151,4,FALSE)</f>
        <v>브랜드B</v>
      </c>
    </row>
    <row r="612" spans="1:18" x14ac:dyDescent="0.45">
      <c r="A612" t="s">
        <v>242</v>
      </c>
      <c r="B612" t="s">
        <v>1011</v>
      </c>
      <c r="C612" t="s">
        <v>2500</v>
      </c>
      <c r="D612" t="s">
        <v>2600</v>
      </c>
      <c r="E612">
        <v>4</v>
      </c>
      <c r="F612">
        <v>10900</v>
      </c>
      <c r="G612">
        <v>0</v>
      </c>
      <c r="H612">
        <v>0</v>
      </c>
      <c r="I612" t="s">
        <v>2652</v>
      </c>
      <c r="J612" s="4">
        <f t="shared" si="27"/>
        <v>43600</v>
      </c>
      <c r="K612" s="4" t="str">
        <f t="shared" si="28"/>
        <v>2024-01</v>
      </c>
      <c r="L612" s="4" t="str">
        <f t="shared" si="29"/>
        <v>화</v>
      </c>
      <c r="M612" s="2" t="str">
        <f>VLOOKUP($C612, 고객정보!$A$2:$E$151, 2, FALSE)</f>
        <v>서울</v>
      </c>
      <c r="N612" t="str">
        <f>VLOOKUP(C612,고객정보!$A$2:$D$151,4,FALSE)</f>
        <v>L3</v>
      </c>
      <c r="O612" t="str">
        <f>VLOOKUP($C612, 고객정보!$A$2:$E$151, 5, FALSE)</f>
        <v>20대</v>
      </c>
      <c r="P612" t="str">
        <f>VLOOKUP(D612,상품정보!$A$2:$E$61,2,FALSE)</f>
        <v>셔츠</v>
      </c>
      <c r="Q612" t="str">
        <f>VLOOKUP(D612,상품정보!$A$2:$D$151,3,FALSE)</f>
        <v>의류</v>
      </c>
      <c r="R612" t="str">
        <f>VLOOKUP(D612,상품정보!$A$2:$D$151,4,FALSE)</f>
        <v>브랜드E</v>
      </c>
    </row>
    <row r="613" spans="1:18" x14ac:dyDescent="0.45">
      <c r="A613" t="s">
        <v>314</v>
      </c>
      <c r="B613" t="s">
        <v>1012</v>
      </c>
      <c r="C613" t="s">
        <v>2506</v>
      </c>
      <c r="D613" t="s">
        <v>2558</v>
      </c>
      <c r="E613">
        <v>1</v>
      </c>
      <c r="F613">
        <v>63700</v>
      </c>
      <c r="G613">
        <v>0</v>
      </c>
      <c r="H613">
        <v>5600</v>
      </c>
      <c r="I613" t="s">
        <v>2613</v>
      </c>
      <c r="J613" s="4">
        <f t="shared" si="27"/>
        <v>58100</v>
      </c>
      <c r="K613" s="4" t="str">
        <f t="shared" si="28"/>
        <v>2024-08</v>
      </c>
      <c r="L613" s="4" t="str">
        <f t="shared" si="29"/>
        <v>목</v>
      </c>
      <c r="M613" s="2" t="str">
        <f>VLOOKUP($C613, 고객정보!$A$2:$E$151, 2, FALSE)</f>
        <v>광주</v>
      </c>
      <c r="N613" t="str">
        <f>VLOOKUP(C613,고객정보!$A$2:$D$151,4,FALSE)</f>
        <v>L2</v>
      </c>
      <c r="O613" t="str">
        <f>VLOOKUP($C613, 고객정보!$A$2:$E$151, 5, FALSE)</f>
        <v>50대 이상</v>
      </c>
      <c r="P613" t="str">
        <f>VLOOKUP(D613,상품정보!$A$2:$E$61,2,FALSE)</f>
        <v>셔츠</v>
      </c>
      <c r="Q613" t="str">
        <f>VLOOKUP(D613,상품정보!$A$2:$D$151,3,FALSE)</f>
        <v>의류</v>
      </c>
      <c r="R613" t="str">
        <f>VLOOKUP(D613,상품정보!$A$2:$D$151,4,FALSE)</f>
        <v>브랜드A</v>
      </c>
    </row>
    <row r="614" spans="1:18" x14ac:dyDescent="0.45">
      <c r="A614" t="s">
        <v>40</v>
      </c>
      <c r="B614" t="s">
        <v>1013</v>
      </c>
      <c r="C614" t="s">
        <v>2429</v>
      </c>
      <c r="D614" t="s">
        <v>2600</v>
      </c>
      <c r="E614">
        <v>1</v>
      </c>
      <c r="F614">
        <v>10900</v>
      </c>
      <c r="G614">
        <v>0</v>
      </c>
      <c r="H614">
        <v>0</v>
      </c>
      <c r="I614" t="s">
        <v>2652</v>
      </c>
      <c r="J614" s="4">
        <f t="shared" si="27"/>
        <v>10900</v>
      </c>
      <c r="K614" s="4" t="str">
        <f t="shared" si="28"/>
        <v>2024-11</v>
      </c>
      <c r="L614" s="4" t="str">
        <f t="shared" si="29"/>
        <v>금</v>
      </c>
      <c r="M614" s="2" t="str">
        <f>VLOOKUP($C614, 고객정보!$A$2:$E$151, 2, FALSE)</f>
        <v>서울</v>
      </c>
      <c r="N614" t="str">
        <f>VLOOKUP(C614,고객정보!$A$2:$D$151,4,FALSE)</f>
        <v>L1</v>
      </c>
      <c r="O614" t="str">
        <f>VLOOKUP($C614, 고객정보!$A$2:$E$151, 5, FALSE)</f>
        <v>10대</v>
      </c>
      <c r="P614" t="str">
        <f>VLOOKUP(D614,상품정보!$A$2:$E$61,2,FALSE)</f>
        <v>셔츠</v>
      </c>
      <c r="Q614" t="str">
        <f>VLOOKUP(D614,상품정보!$A$2:$D$151,3,FALSE)</f>
        <v>의류</v>
      </c>
      <c r="R614" t="str">
        <f>VLOOKUP(D614,상품정보!$A$2:$D$151,4,FALSE)</f>
        <v>브랜드E</v>
      </c>
    </row>
    <row r="615" spans="1:18" x14ac:dyDescent="0.45">
      <c r="A615" t="s">
        <v>110</v>
      </c>
      <c r="B615" t="s">
        <v>1014</v>
      </c>
      <c r="C615" t="s">
        <v>2446</v>
      </c>
      <c r="D615" t="s">
        <v>2605</v>
      </c>
      <c r="E615">
        <v>5</v>
      </c>
      <c r="F615">
        <v>6800</v>
      </c>
      <c r="G615">
        <v>0</v>
      </c>
      <c r="H615">
        <v>0</v>
      </c>
      <c r="I615" t="s">
        <v>2652</v>
      </c>
      <c r="J615" s="4">
        <f t="shared" si="27"/>
        <v>34000</v>
      </c>
      <c r="K615" s="4" t="str">
        <f t="shared" si="28"/>
        <v>2024-10</v>
      </c>
      <c r="L615" s="4" t="str">
        <f t="shared" si="29"/>
        <v>화</v>
      </c>
      <c r="M615" s="2" t="str">
        <f>VLOOKUP($C615, 고객정보!$A$2:$E$151, 2, FALSE)</f>
        <v>대전</v>
      </c>
      <c r="N615" t="str">
        <f>VLOOKUP(C615,고객정보!$A$2:$D$151,4,FALSE)</f>
        <v>L2</v>
      </c>
      <c r="O615" t="str">
        <f>VLOOKUP($C615, 고객정보!$A$2:$E$151, 5, FALSE)</f>
        <v>50대 이상</v>
      </c>
      <c r="P615" t="str">
        <f>VLOOKUP(D615,상품정보!$A$2:$E$61,2,FALSE)</f>
        <v>핸드폰케이스</v>
      </c>
      <c r="Q615" t="str">
        <f>VLOOKUP(D615,상품정보!$A$2:$D$151,3,FALSE)</f>
        <v>액세서리</v>
      </c>
      <c r="R615" t="str">
        <f>VLOOKUP(D615,상품정보!$A$2:$D$151,4,FALSE)</f>
        <v>브랜드D</v>
      </c>
    </row>
    <row r="616" spans="1:18" x14ac:dyDescent="0.45">
      <c r="A616" t="s">
        <v>276</v>
      </c>
      <c r="B616" t="s">
        <v>1015</v>
      </c>
      <c r="C616" t="s">
        <v>2451</v>
      </c>
      <c r="D616" t="s">
        <v>2586</v>
      </c>
      <c r="E616">
        <v>1</v>
      </c>
      <c r="F616">
        <v>73000</v>
      </c>
      <c r="G616">
        <v>500</v>
      </c>
      <c r="H616">
        <v>1000</v>
      </c>
      <c r="I616" t="s">
        <v>2614</v>
      </c>
      <c r="J616" s="4">
        <f t="shared" si="27"/>
        <v>72500</v>
      </c>
      <c r="K616" s="4" t="str">
        <f t="shared" si="28"/>
        <v>2024-10</v>
      </c>
      <c r="L616" s="4" t="str">
        <f t="shared" si="29"/>
        <v>금</v>
      </c>
      <c r="M616" s="2" t="str">
        <f>VLOOKUP($C616, 고객정보!$A$2:$E$151, 2, FALSE)</f>
        <v>서울</v>
      </c>
      <c r="N616" t="str">
        <f>VLOOKUP(C616,고객정보!$A$2:$D$151,4,FALSE)</f>
        <v>L1</v>
      </c>
      <c r="O616" t="str">
        <f>VLOOKUP($C616, 고객정보!$A$2:$E$151, 5, FALSE)</f>
        <v>30대</v>
      </c>
      <c r="P616" t="str">
        <f>VLOOKUP(D616,상품정보!$A$2:$E$61,2,FALSE)</f>
        <v>귀걸이</v>
      </c>
      <c r="Q616" t="str">
        <f>VLOOKUP(D616,상품정보!$A$2:$D$151,3,FALSE)</f>
        <v>액세서리</v>
      </c>
      <c r="R616" t="str">
        <f>VLOOKUP(D616,상품정보!$A$2:$D$151,4,FALSE)</f>
        <v>브랜드B</v>
      </c>
    </row>
    <row r="617" spans="1:18" x14ac:dyDescent="0.45">
      <c r="A617" t="s">
        <v>125</v>
      </c>
      <c r="B617" t="s">
        <v>1016</v>
      </c>
      <c r="C617" t="s">
        <v>2466</v>
      </c>
      <c r="D617" t="s">
        <v>2566</v>
      </c>
      <c r="E617">
        <v>5</v>
      </c>
      <c r="F617">
        <v>60600</v>
      </c>
      <c r="G617">
        <v>2000</v>
      </c>
      <c r="H617">
        <v>10700</v>
      </c>
      <c r="I617" t="s">
        <v>2614</v>
      </c>
      <c r="J617" s="4">
        <f t="shared" si="27"/>
        <v>294300</v>
      </c>
      <c r="K617" s="4" t="str">
        <f t="shared" si="28"/>
        <v>2024-11</v>
      </c>
      <c r="L617" s="4" t="str">
        <f t="shared" si="29"/>
        <v>월</v>
      </c>
      <c r="M617" s="2" t="str">
        <f>VLOOKUP($C617, 고객정보!$A$2:$E$151, 2, FALSE)</f>
        <v>부산</v>
      </c>
      <c r="N617" t="str">
        <f>VLOOKUP(C617,고객정보!$A$2:$D$151,4,FALSE)</f>
        <v>L2</v>
      </c>
      <c r="O617" t="str">
        <f>VLOOKUP($C617, 고객정보!$A$2:$E$151, 5, FALSE)</f>
        <v>50대 이상</v>
      </c>
      <c r="P617" t="str">
        <f>VLOOKUP(D617,상품정보!$A$2:$E$61,2,FALSE)</f>
        <v>반팔 티셔츠</v>
      </c>
      <c r="Q617" t="str">
        <f>VLOOKUP(D617,상품정보!$A$2:$D$151,3,FALSE)</f>
        <v>의류</v>
      </c>
      <c r="R617" t="str">
        <f>VLOOKUP(D617,상품정보!$A$2:$D$151,4,FALSE)</f>
        <v>브랜드A</v>
      </c>
    </row>
    <row r="618" spans="1:18" x14ac:dyDescent="0.45">
      <c r="A618" t="s">
        <v>315</v>
      </c>
      <c r="B618" t="s">
        <v>1017</v>
      </c>
      <c r="C618" t="s">
        <v>2418</v>
      </c>
      <c r="D618" t="s">
        <v>2573</v>
      </c>
      <c r="E618">
        <v>2</v>
      </c>
      <c r="F618">
        <v>6400</v>
      </c>
      <c r="G618">
        <v>0</v>
      </c>
      <c r="H618">
        <v>0</v>
      </c>
      <c r="I618" t="s">
        <v>2652</v>
      </c>
      <c r="J618" s="4">
        <f t="shared" si="27"/>
        <v>12800</v>
      </c>
      <c r="K618" s="4" t="str">
        <f t="shared" si="28"/>
        <v>2024-01</v>
      </c>
      <c r="L618" s="4" t="str">
        <f t="shared" si="29"/>
        <v>수</v>
      </c>
      <c r="M618" s="2" t="str">
        <f>VLOOKUP($C618, 고객정보!$A$2:$E$151, 2, FALSE)</f>
        <v>부산</v>
      </c>
      <c r="N618" t="str">
        <f>VLOOKUP(C618,고객정보!$A$2:$D$151,4,FALSE)</f>
        <v>L5</v>
      </c>
      <c r="O618" t="str">
        <f>VLOOKUP($C618, 고객정보!$A$2:$E$151, 5, FALSE)</f>
        <v>30대</v>
      </c>
      <c r="P618" t="str">
        <f>VLOOKUP(D618,상품정보!$A$2:$E$61,2,FALSE)</f>
        <v>귀걸이</v>
      </c>
      <c r="Q618" t="str">
        <f>VLOOKUP(D618,상품정보!$A$2:$D$151,3,FALSE)</f>
        <v>액세서리</v>
      </c>
      <c r="R618" t="str">
        <f>VLOOKUP(D618,상품정보!$A$2:$D$151,4,FALSE)</f>
        <v>브랜드E</v>
      </c>
    </row>
    <row r="619" spans="1:18" x14ac:dyDescent="0.45">
      <c r="A619" t="s">
        <v>64</v>
      </c>
      <c r="B619" t="s">
        <v>1018</v>
      </c>
      <c r="C619" t="s">
        <v>2453</v>
      </c>
      <c r="D619" t="s">
        <v>2606</v>
      </c>
      <c r="E619">
        <v>1</v>
      </c>
      <c r="F619">
        <v>15000</v>
      </c>
      <c r="G619">
        <v>0</v>
      </c>
      <c r="H619">
        <v>0</v>
      </c>
      <c r="I619" t="s">
        <v>2652</v>
      </c>
      <c r="J619" s="4">
        <f t="shared" si="27"/>
        <v>15000</v>
      </c>
      <c r="K619" s="4" t="str">
        <f t="shared" si="28"/>
        <v>2024-04</v>
      </c>
      <c r="L619" s="4" t="str">
        <f t="shared" si="29"/>
        <v>일</v>
      </c>
      <c r="M619" s="2" t="str">
        <f>VLOOKUP($C619, 고객정보!$A$2:$E$151, 2, FALSE)</f>
        <v>대구</v>
      </c>
      <c r="N619" t="str">
        <f>VLOOKUP(C619,고객정보!$A$2:$D$151,4,FALSE)</f>
        <v>L5</v>
      </c>
      <c r="O619" t="str">
        <f>VLOOKUP($C619, 고객정보!$A$2:$E$151, 5, FALSE)</f>
        <v>50대 이상</v>
      </c>
      <c r="P619" t="str">
        <f>VLOOKUP(D619,상품정보!$A$2:$E$61,2,FALSE)</f>
        <v>귀걸이</v>
      </c>
      <c r="Q619" t="str">
        <f>VLOOKUP(D619,상품정보!$A$2:$D$151,3,FALSE)</f>
        <v>액세서리</v>
      </c>
      <c r="R619" t="str">
        <f>VLOOKUP(D619,상품정보!$A$2:$D$151,4,FALSE)</f>
        <v>브랜드E</v>
      </c>
    </row>
    <row r="620" spans="1:18" x14ac:dyDescent="0.45">
      <c r="A620" t="s">
        <v>13</v>
      </c>
      <c r="B620" t="s">
        <v>1019</v>
      </c>
      <c r="C620" t="s">
        <v>2539</v>
      </c>
      <c r="D620" t="s">
        <v>2556</v>
      </c>
      <c r="E620">
        <v>3</v>
      </c>
      <c r="F620">
        <v>70100</v>
      </c>
      <c r="G620">
        <v>1000</v>
      </c>
      <c r="H620">
        <v>1100</v>
      </c>
      <c r="I620" t="s">
        <v>2614</v>
      </c>
      <c r="J620" s="4">
        <f t="shared" si="27"/>
        <v>210200</v>
      </c>
      <c r="K620" s="4" t="str">
        <f t="shared" si="28"/>
        <v>2024-08</v>
      </c>
      <c r="L620" s="4" t="str">
        <f t="shared" si="29"/>
        <v>금</v>
      </c>
      <c r="M620" s="2" t="str">
        <f>VLOOKUP($C620, 고객정보!$A$2:$E$151, 2, FALSE)</f>
        <v>서울</v>
      </c>
      <c r="N620" t="str">
        <f>VLOOKUP(C620,고객정보!$A$2:$D$151,4,FALSE)</f>
        <v>L1</v>
      </c>
      <c r="O620" t="str">
        <f>VLOOKUP($C620, 고객정보!$A$2:$E$151, 5, FALSE)</f>
        <v>50대 이상</v>
      </c>
      <c r="P620" t="str">
        <f>VLOOKUP(D620,상품정보!$A$2:$E$61,2,FALSE)</f>
        <v>핸드폰케이스</v>
      </c>
      <c r="Q620" t="str">
        <f>VLOOKUP(D620,상품정보!$A$2:$D$151,3,FALSE)</f>
        <v>액세서리</v>
      </c>
      <c r="R620" t="str">
        <f>VLOOKUP(D620,상품정보!$A$2:$D$151,4,FALSE)</f>
        <v>브랜드F</v>
      </c>
    </row>
    <row r="621" spans="1:18" x14ac:dyDescent="0.45">
      <c r="A621" t="s">
        <v>104</v>
      </c>
      <c r="B621" t="s">
        <v>1020</v>
      </c>
      <c r="C621" t="s">
        <v>2474</v>
      </c>
      <c r="D621" t="s">
        <v>2592</v>
      </c>
      <c r="E621">
        <v>2</v>
      </c>
      <c r="F621">
        <v>72700</v>
      </c>
      <c r="G621">
        <v>0</v>
      </c>
      <c r="H621">
        <v>800</v>
      </c>
      <c r="I621" t="s">
        <v>2611</v>
      </c>
      <c r="J621" s="4">
        <f t="shared" si="27"/>
        <v>144600</v>
      </c>
      <c r="K621" s="4" t="str">
        <f t="shared" si="28"/>
        <v>2024-07</v>
      </c>
      <c r="L621" s="4" t="str">
        <f t="shared" si="29"/>
        <v>월</v>
      </c>
      <c r="M621" s="2" t="str">
        <f>VLOOKUP($C621, 고객정보!$A$2:$E$151, 2, FALSE)</f>
        <v>인천</v>
      </c>
      <c r="N621" t="str">
        <f>VLOOKUP(C621,고객정보!$A$2:$D$151,4,FALSE)</f>
        <v>L2</v>
      </c>
      <c r="O621" t="str">
        <f>VLOOKUP($C621, 고객정보!$A$2:$E$151, 5, FALSE)</f>
        <v>10대</v>
      </c>
      <c r="P621" t="str">
        <f>VLOOKUP(D621,상품정보!$A$2:$E$61,2,FALSE)</f>
        <v>귀걸이</v>
      </c>
      <c r="Q621" t="str">
        <f>VLOOKUP(D621,상품정보!$A$2:$D$151,3,FALSE)</f>
        <v>액세서리</v>
      </c>
      <c r="R621" t="str">
        <f>VLOOKUP(D621,상품정보!$A$2:$D$151,4,FALSE)</f>
        <v>브랜드A</v>
      </c>
    </row>
    <row r="622" spans="1:18" x14ac:dyDescent="0.45">
      <c r="A622" t="s">
        <v>211</v>
      </c>
      <c r="B622" t="s">
        <v>1021</v>
      </c>
      <c r="C622" t="s">
        <v>2519</v>
      </c>
      <c r="D622" t="s">
        <v>2587</v>
      </c>
      <c r="E622">
        <v>5</v>
      </c>
      <c r="F622">
        <v>50200</v>
      </c>
      <c r="G622">
        <v>1000</v>
      </c>
      <c r="H622">
        <v>0</v>
      </c>
      <c r="I622" t="s">
        <v>2652</v>
      </c>
      <c r="J622" s="4">
        <f t="shared" si="27"/>
        <v>252000</v>
      </c>
      <c r="K622" s="4" t="str">
        <f t="shared" si="28"/>
        <v>2024-08</v>
      </c>
      <c r="L622" s="4" t="str">
        <f t="shared" si="29"/>
        <v>목</v>
      </c>
      <c r="M622" s="2" t="str">
        <f>VLOOKUP($C622, 고객정보!$A$2:$E$151, 2, FALSE)</f>
        <v>서울</v>
      </c>
      <c r="N622" t="str">
        <f>VLOOKUP(C622,고객정보!$A$2:$D$151,4,FALSE)</f>
        <v>L4</v>
      </c>
      <c r="O622" t="str">
        <f>VLOOKUP($C622, 고객정보!$A$2:$E$151, 5, FALSE)</f>
        <v>20대</v>
      </c>
      <c r="P622" t="str">
        <f>VLOOKUP(D622,상품정보!$A$2:$E$61,2,FALSE)</f>
        <v>반지</v>
      </c>
      <c r="Q622" t="str">
        <f>VLOOKUP(D622,상품정보!$A$2:$D$151,3,FALSE)</f>
        <v>액세서리</v>
      </c>
      <c r="R622" t="str">
        <f>VLOOKUP(D622,상품정보!$A$2:$D$151,4,FALSE)</f>
        <v>브랜드B</v>
      </c>
    </row>
    <row r="623" spans="1:18" x14ac:dyDescent="0.45">
      <c r="A623" t="s">
        <v>208</v>
      </c>
      <c r="B623" t="s">
        <v>1022</v>
      </c>
      <c r="C623" t="s">
        <v>2497</v>
      </c>
      <c r="D623" t="s">
        <v>2588</v>
      </c>
      <c r="E623">
        <v>2</v>
      </c>
      <c r="F623">
        <v>7700</v>
      </c>
      <c r="G623">
        <v>0</v>
      </c>
      <c r="H623">
        <v>0</v>
      </c>
      <c r="I623" t="s">
        <v>2652</v>
      </c>
      <c r="J623" s="4">
        <f t="shared" si="27"/>
        <v>15400</v>
      </c>
      <c r="K623" s="4" t="str">
        <f t="shared" si="28"/>
        <v>2024-09</v>
      </c>
      <c r="L623" s="4" t="str">
        <f t="shared" si="29"/>
        <v>일</v>
      </c>
      <c r="M623" s="2" t="str">
        <f>VLOOKUP($C623, 고객정보!$A$2:$E$151, 2, FALSE)</f>
        <v>서울</v>
      </c>
      <c r="N623" t="str">
        <f>VLOOKUP(C623,고객정보!$A$2:$D$151,4,FALSE)</f>
        <v>L3</v>
      </c>
      <c r="O623" t="str">
        <f>VLOOKUP($C623, 고객정보!$A$2:$E$151, 5, FALSE)</f>
        <v>10대</v>
      </c>
      <c r="P623" t="str">
        <f>VLOOKUP(D623,상품정보!$A$2:$E$61,2,FALSE)</f>
        <v>귀걸이</v>
      </c>
      <c r="Q623" t="str">
        <f>VLOOKUP(D623,상품정보!$A$2:$D$151,3,FALSE)</f>
        <v>액세서리</v>
      </c>
      <c r="R623" t="str">
        <f>VLOOKUP(D623,상품정보!$A$2:$D$151,4,FALSE)</f>
        <v>브랜드D</v>
      </c>
    </row>
    <row r="624" spans="1:18" x14ac:dyDescent="0.45">
      <c r="A624" t="s">
        <v>112</v>
      </c>
      <c r="B624" t="s">
        <v>1023</v>
      </c>
      <c r="C624" t="s">
        <v>2420</v>
      </c>
      <c r="D624" t="s">
        <v>2562</v>
      </c>
      <c r="E624">
        <v>3</v>
      </c>
      <c r="F624">
        <v>15600</v>
      </c>
      <c r="G624">
        <v>500</v>
      </c>
      <c r="H624">
        <v>0</v>
      </c>
      <c r="I624" t="s">
        <v>2652</v>
      </c>
      <c r="J624" s="4">
        <f t="shared" si="27"/>
        <v>47300</v>
      </c>
      <c r="K624" s="4" t="str">
        <f t="shared" si="28"/>
        <v>2024-12</v>
      </c>
      <c r="L624" s="4" t="str">
        <f t="shared" si="29"/>
        <v>목</v>
      </c>
      <c r="M624" s="2" t="str">
        <f>VLOOKUP($C624, 고객정보!$A$2:$E$151, 2, FALSE)</f>
        <v>대전</v>
      </c>
      <c r="N624" t="str">
        <f>VLOOKUP(C624,고객정보!$A$2:$D$151,4,FALSE)</f>
        <v>L3</v>
      </c>
      <c r="O624" t="str">
        <f>VLOOKUP($C624, 고객정보!$A$2:$E$151, 5, FALSE)</f>
        <v>30대</v>
      </c>
      <c r="P624" t="str">
        <f>VLOOKUP(D624,상품정보!$A$2:$E$61,2,FALSE)</f>
        <v>반팔 티셔츠</v>
      </c>
      <c r="Q624" t="str">
        <f>VLOOKUP(D624,상품정보!$A$2:$D$151,3,FALSE)</f>
        <v>의류</v>
      </c>
      <c r="R624" t="str">
        <f>VLOOKUP(D624,상품정보!$A$2:$D$151,4,FALSE)</f>
        <v>브랜드E</v>
      </c>
    </row>
    <row r="625" spans="1:18" x14ac:dyDescent="0.45">
      <c r="A625" t="s">
        <v>250</v>
      </c>
      <c r="B625" t="s">
        <v>1024</v>
      </c>
      <c r="C625" t="s">
        <v>2466</v>
      </c>
      <c r="D625" t="s">
        <v>2578</v>
      </c>
      <c r="E625">
        <v>4</v>
      </c>
      <c r="F625">
        <v>78000</v>
      </c>
      <c r="G625">
        <v>1000</v>
      </c>
      <c r="H625">
        <v>0</v>
      </c>
      <c r="I625" t="s">
        <v>2652</v>
      </c>
      <c r="J625" s="4">
        <f t="shared" si="27"/>
        <v>313000</v>
      </c>
      <c r="K625" s="4" t="str">
        <f t="shared" si="28"/>
        <v>2024-06</v>
      </c>
      <c r="L625" s="4" t="str">
        <f t="shared" si="29"/>
        <v>일</v>
      </c>
      <c r="M625" s="2" t="str">
        <f>VLOOKUP($C625, 고객정보!$A$2:$E$151, 2, FALSE)</f>
        <v>부산</v>
      </c>
      <c r="N625" t="str">
        <f>VLOOKUP(C625,고객정보!$A$2:$D$151,4,FALSE)</f>
        <v>L2</v>
      </c>
      <c r="O625" t="str">
        <f>VLOOKUP($C625, 고객정보!$A$2:$E$151, 5, FALSE)</f>
        <v>50대 이상</v>
      </c>
      <c r="P625" t="str">
        <f>VLOOKUP(D625,상품정보!$A$2:$E$61,2,FALSE)</f>
        <v>귀걸이</v>
      </c>
      <c r="Q625" t="str">
        <f>VLOOKUP(D625,상품정보!$A$2:$D$151,3,FALSE)</f>
        <v>액세서리</v>
      </c>
      <c r="R625" t="str">
        <f>VLOOKUP(D625,상품정보!$A$2:$D$151,4,FALSE)</f>
        <v>브랜드B</v>
      </c>
    </row>
    <row r="626" spans="1:18" x14ac:dyDescent="0.45">
      <c r="A626" t="s">
        <v>316</v>
      </c>
      <c r="B626" t="s">
        <v>1025</v>
      </c>
      <c r="C626" t="s">
        <v>2536</v>
      </c>
      <c r="D626" t="s">
        <v>2581</v>
      </c>
      <c r="E626">
        <v>5</v>
      </c>
      <c r="F626">
        <v>72900</v>
      </c>
      <c r="G626">
        <v>500</v>
      </c>
      <c r="H626">
        <v>0</v>
      </c>
      <c r="I626" t="s">
        <v>2652</v>
      </c>
      <c r="J626" s="4">
        <f t="shared" si="27"/>
        <v>365000</v>
      </c>
      <c r="K626" s="4" t="str">
        <f t="shared" si="28"/>
        <v>2024-06</v>
      </c>
      <c r="L626" s="4" t="str">
        <f t="shared" si="29"/>
        <v>월</v>
      </c>
      <c r="M626" s="2" t="str">
        <f>VLOOKUP($C626, 고객정보!$A$2:$E$151, 2, FALSE)</f>
        <v>서울</v>
      </c>
      <c r="N626" t="str">
        <f>VLOOKUP(C626,고객정보!$A$2:$D$151,4,FALSE)</f>
        <v>L5</v>
      </c>
      <c r="O626" t="str">
        <f>VLOOKUP($C626, 고객정보!$A$2:$E$151, 5, FALSE)</f>
        <v>20대</v>
      </c>
      <c r="P626" t="str">
        <f>VLOOKUP(D626,상품정보!$A$2:$E$61,2,FALSE)</f>
        <v>귀걸이</v>
      </c>
      <c r="Q626" t="str">
        <f>VLOOKUP(D626,상품정보!$A$2:$D$151,3,FALSE)</f>
        <v>액세서리</v>
      </c>
      <c r="R626" t="str">
        <f>VLOOKUP(D626,상품정보!$A$2:$D$151,4,FALSE)</f>
        <v>브랜드F</v>
      </c>
    </row>
    <row r="627" spans="1:18" x14ac:dyDescent="0.45">
      <c r="A627" t="s">
        <v>317</v>
      </c>
      <c r="B627" t="s">
        <v>1026</v>
      </c>
      <c r="C627" t="s">
        <v>2403</v>
      </c>
      <c r="D627" t="s">
        <v>2603</v>
      </c>
      <c r="E627">
        <v>3</v>
      </c>
      <c r="F627">
        <v>8200</v>
      </c>
      <c r="G627">
        <v>0</v>
      </c>
      <c r="H627">
        <v>0</v>
      </c>
      <c r="I627" t="s">
        <v>2652</v>
      </c>
      <c r="J627" s="4">
        <f t="shared" si="27"/>
        <v>24600</v>
      </c>
      <c r="K627" s="4" t="str">
        <f t="shared" si="28"/>
        <v>2024-11</v>
      </c>
      <c r="L627" s="4" t="str">
        <f t="shared" si="29"/>
        <v>금</v>
      </c>
      <c r="M627" s="2" t="str">
        <f>VLOOKUP($C627, 고객정보!$A$2:$E$151, 2, FALSE)</f>
        <v>수원</v>
      </c>
      <c r="N627" t="str">
        <f>VLOOKUP(C627,고객정보!$A$2:$D$151,4,FALSE)</f>
        <v>L3</v>
      </c>
      <c r="O627" t="str">
        <f>VLOOKUP($C627, 고객정보!$A$2:$E$151, 5, FALSE)</f>
        <v>30대</v>
      </c>
      <c r="P627" t="str">
        <f>VLOOKUP(D627,상품정보!$A$2:$E$61,2,FALSE)</f>
        <v>목걸이</v>
      </c>
      <c r="Q627" t="str">
        <f>VLOOKUP(D627,상품정보!$A$2:$D$151,3,FALSE)</f>
        <v>액세서리</v>
      </c>
      <c r="R627" t="str">
        <f>VLOOKUP(D627,상품정보!$A$2:$D$151,4,FALSE)</f>
        <v>브랜드E</v>
      </c>
    </row>
    <row r="628" spans="1:18" x14ac:dyDescent="0.45">
      <c r="A628" t="s">
        <v>14</v>
      </c>
      <c r="B628" t="s">
        <v>1027</v>
      </c>
      <c r="C628" t="s">
        <v>2545</v>
      </c>
      <c r="D628" t="s">
        <v>2555</v>
      </c>
      <c r="E628">
        <v>2</v>
      </c>
      <c r="F628">
        <v>8300</v>
      </c>
      <c r="G628">
        <v>500</v>
      </c>
      <c r="H628">
        <v>0</v>
      </c>
      <c r="I628" t="s">
        <v>2652</v>
      </c>
      <c r="J628" s="4">
        <f t="shared" si="27"/>
        <v>17100</v>
      </c>
      <c r="K628" s="4" t="str">
        <f t="shared" si="28"/>
        <v>2024-05</v>
      </c>
      <c r="L628" s="4" t="str">
        <f t="shared" si="29"/>
        <v>수</v>
      </c>
      <c r="M628" s="2" t="str">
        <f>VLOOKUP($C628, 고객정보!$A$2:$E$151, 2, FALSE)</f>
        <v>서울</v>
      </c>
      <c r="N628" t="str">
        <f>VLOOKUP(C628,고객정보!$A$2:$D$151,4,FALSE)</f>
        <v>L4</v>
      </c>
      <c r="O628" t="str">
        <f>VLOOKUP($C628, 고객정보!$A$2:$E$151, 5, FALSE)</f>
        <v>30대</v>
      </c>
      <c r="P628" t="str">
        <f>VLOOKUP(D628,상품정보!$A$2:$E$61,2,FALSE)</f>
        <v>청바지</v>
      </c>
      <c r="Q628" t="str">
        <f>VLOOKUP(D628,상품정보!$A$2:$D$151,3,FALSE)</f>
        <v>의류</v>
      </c>
      <c r="R628" t="str">
        <f>VLOOKUP(D628,상품정보!$A$2:$D$151,4,FALSE)</f>
        <v>브랜드E</v>
      </c>
    </row>
    <row r="629" spans="1:18" x14ac:dyDescent="0.45">
      <c r="A629" t="s">
        <v>189</v>
      </c>
      <c r="B629" t="s">
        <v>1028</v>
      </c>
      <c r="C629" t="s">
        <v>2463</v>
      </c>
      <c r="D629" t="s">
        <v>2600</v>
      </c>
      <c r="E629">
        <v>2</v>
      </c>
      <c r="F629">
        <v>10900</v>
      </c>
      <c r="G629">
        <v>0</v>
      </c>
      <c r="H629">
        <v>13000</v>
      </c>
      <c r="I629" t="s">
        <v>2614</v>
      </c>
      <c r="J629" s="4">
        <f t="shared" si="27"/>
        <v>8800</v>
      </c>
      <c r="K629" s="4" t="str">
        <f t="shared" si="28"/>
        <v>2024-06</v>
      </c>
      <c r="L629" s="4" t="str">
        <f t="shared" si="29"/>
        <v>토</v>
      </c>
      <c r="M629" s="2" t="str">
        <f>VLOOKUP($C629, 고객정보!$A$2:$E$151, 2, FALSE)</f>
        <v>대구</v>
      </c>
      <c r="N629" t="str">
        <f>VLOOKUP(C629,고객정보!$A$2:$D$151,4,FALSE)</f>
        <v>L4</v>
      </c>
      <c r="O629" t="str">
        <f>VLOOKUP($C629, 고객정보!$A$2:$E$151, 5, FALSE)</f>
        <v>20대</v>
      </c>
      <c r="P629" t="str">
        <f>VLOOKUP(D629,상품정보!$A$2:$E$61,2,FALSE)</f>
        <v>셔츠</v>
      </c>
      <c r="Q629" t="str">
        <f>VLOOKUP(D629,상품정보!$A$2:$D$151,3,FALSE)</f>
        <v>의류</v>
      </c>
      <c r="R629" t="str">
        <f>VLOOKUP(D629,상품정보!$A$2:$D$151,4,FALSE)</f>
        <v>브랜드E</v>
      </c>
    </row>
    <row r="630" spans="1:18" x14ac:dyDescent="0.45">
      <c r="A630" t="s">
        <v>96</v>
      </c>
      <c r="B630" t="s">
        <v>1029</v>
      </c>
      <c r="C630" t="s">
        <v>2547</v>
      </c>
      <c r="D630" t="s">
        <v>2588</v>
      </c>
      <c r="E630">
        <v>2</v>
      </c>
      <c r="F630">
        <v>7700</v>
      </c>
      <c r="G630">
        <v>0</v>
      </c>
      <c r="H630">
        <v>0</v>
      </c>
      <c r="I630" t="s">
        <v>2652</v>
      </c>
      <c r="J630" s="4">
        <f t="shared" si="27"/>
        <v>15400</v>
      </c>
      <c r="K630" s="4" t="str">
        <f t="shared" si="28"/>
        <v>2024-12</v>
      </c>
      <c r="L630" s="4" t="str">
        <f t="shared" si="29"/>
        <v>목</v>
      </c>
      <c r="M630" s="2" t="str">
        <f>VLOOKUP($C630, 고객정보!$A$2:$E$151, 2, FALSE)</f>
        <v>광주</v>
      </c>
      <c r="N630" t="str">
        <f>VLOOKUP(C630,고객정보!$A$2:$D$151,4,FALSE)</f>
        <v>L2</v>
      </c>
      <c r="O630" t="str">
        <f>VLOOKUP($C630, 고객정보!$A$2:$E$151, 5, FALSE)</f>
        <v>20대</v>
      </c>
      <c r="P630" t="str">
        <f>VLOOKUP(D630,상품정보!$A$2:$E$61,2,FALSE)</f>
        <v>귀걸이</v>
      </c>
      <c r="Q630" t="str">
        <f>VLOOKUP(D630,상품정보!$A$2:$D$151,3,FALSE)</f>
        <v>액세서리</v>
      </c>
      <c r="R630" t="str">
        <f>VLOOKUP(D630,상품정보!$A$2:$D$151,4,FALSE)</f>
        <v>브랜드D</v>
      </c>
    </row>
    <row r="631" spans="1:18" x14ac:dyDescent="0.45">
      <c r="A631" t="s">
        <v>202</v>
      </c>
      <c r="B631" t="s">
        <v>1030</v>
      </c>
      <c r="C631" t="s">
        <v>2510</v>
      </c>
      <c r="D631" t="s">
        <v>2597</v>
      </c>
      <c r="E631">
        <v>4</v>
      </c>
      <c r="F631">
        <v>65300</v>
      </c>
      <c r="G631">
        <v>0</v>
      </c>
      <c r="H631">
        <v>0</v>
      </c>
      <c r="I631" t="s">
        <v>2652</v>
      </c>
      <c r="J631" s="4">
        <f t="shared" si="27"/>
        <v>261200</v>
      </c>
      <c r="K631" s="4" t="str">
        <f t="shared" si="28"/>
        <v>2024-06</v>
      </c>
      <c r="L631" s="4" t="str">
        <f t="shared" si="29"/>
        <v>목</v>
      </c>
      <c r="M631" s="2" t="str">
        <f>VLOOKUP($C631, 고객정보!$A$2:$E$151, 2, FALSE)</f>
        <v>부산</v>
      </c>
      <c r="N631" t="str">
        <f>VLOOKUP(C631,고객정보!$A$2:$D$151,4,FALSE)</f>
        <v>L3</v>
      </c>
      <c r="O631" t="str">
        <f>VLOOKUP($C631, 고객정보!$A$2:$E$151, 5, FALSE)</f>
        <v>20대</v>
      </c>
      <c r="P631" t="str">
        <f>VLOOKUP(D631,상품정보!$A$2:$E$61,2,FALSE)</f>
        <v>반지</v>
      </c>
      <c r="Q631" t="str">
        <f>VLOOKUP(D631,상품정보!$A$2:$D$151,3,FALSE)</f>
        <v>액세서리</v>
      </c>
      <c r="R631" t="str">
        <f>VLOOKUP(D631,상품정보!$A$2:$D$151,4,FALSE)</f>
        <v>브랜드F</v>
      </c>
    </row>
    <row r="632" spans="1:18" x14ac:dyDescent="0.45">
      <c r="A632" t="s">
        <v>193</v>
      </c>
      <c r="B632" t="s">
        <v>1031</v>
      </c>
      <c r="C632" t="s">
        <v>2406</v>
      </c>
      <c r="D632" t="s">
        <v>2568</v>
      </c>
      <c r="E632">
        <v>3</v>
      </c>
      <c r="F632">
        <v>16800</v>
      </c>
      <c r="G632">
        <v>1500</v>
      </c>
      <c r="H632">
        <v>7500</v>
      </c>
      <c r="I632" t="s">
        <v>2614</v>
      </c>
      <c r="J632" s="4">
        <f t="shared" si="27"/>
        <v>44400</v>
      </c>
      <c r="K632" s="4" t="str">
        <f t="shared" si="28"/>
        <v>2024-05</v>
      </c>
      <c r="L632" s="4" t="str">
        <f t="shared" si="29"/>
        <v>월</v>
      </c>
      <c r="M632" s="2" t="str">
        <f>VLOOKUP($C632, 고객정보!$A$2:$E$151, 2, FALSE)</f>
        <v>부산</v>
      </c>
      <c r="N632" t="str">
        <f>VLOOKUP(C632,고객정보!$A$2:$D$151,4,FALSE)</f>
        <v>L5</v>
      </c>
      <c r="O632" t="str">
        <f>VLOOKUP($C632, 고객정보!$A$2:$E$151, 5, FALSE)</f>
        <v>30대</v>
      </c>
      <c r="P632" t="str">
        <f>VLOOKUP(D632,상품정보!$A$2:$E$61,2,FALSE)</f>
        <v>청바지</v>
      </c>
      <c r="Q632" t="str">
        <f>VLOOKUP(D632,상품정보!$A$2:$D$151,3,FALSE)</f>
        <v>의류</v>
      </c>
      <c r="R632" t="str">
        <f>VLOOKUP(D632,상품정보!$A$2:$D$151,4,FALSE)</f>
        <v>브랜드C</v>
      </c>
    </row>
    <row r="633" spans="1:18" x14ac:dyDescent="0.45">
      <c r="A633" t="s">
        <v>29</v>
      </c>
      <c r="B633" t="s">
        <v>1032</v>
      </c>
      <c r="C633" t="s">
        <v>2487</v>
      </c>
      <c r="D633" t="s">
        <v>2563</v>
      </c>
      <c r="E633">
        <v>5</v>
      </c>
      <c r="F633">
        <v>6900</v>
      </c>
      <c r="G633">
        <v>500</v>
      </c>
      <c r="H633">
        <v>2700</v>
      </c>
      <c r="I633" t="s">
        <v>2613</v>
      </c>
      <c r="J633" s="4">
        <f t="shared" si="27"/>
        <v>32300</v>
      </c>
      <c r="K633" s="4" t="str">
        <f t="shared" si="28"/>
        <v>2024-07</v>
      </c>
      <c r="L633" s="4" t="str">
        <f t="shared" si="29"/>
        <v>토</v>
      </c>
      <c r="M633" s="2" t="str">
        <f>VLOOKUP($C633, 고객정보!$A$2:$E$151, 2, FALSE)</f>
        <v>서울</v>
      </c>
      <c r="N633" t="str">
        <f>VLOOKUP(C633,고객정보!$A$2:$D$151,4,FALSE)</f>
        <v>L1</v>
      </c>
      <c r="O633" t="str">
        <f>VLOOKUP($C633, 고객정보!$A$2:$E$151, 5, FALSE)</f>
        <v>10대</v>
      </c>
      <c r="P633" t="str">
        <f>VLOOKUP(D633,상품정보!$A$2:$E$61,2,FALSE)</f>
        <v>귀걸이</v>
      </c>
      <c r="Q633" t="str">
        <f>VLOOKUP(D633,상품정보!$A$2:$D$151,3,FALSE)</f>
        <v>액세서리</v>
      </c>
      <c r="R633" t="str">
        <f>VLOOKUP(D633,상품정보!$A$2:$D$151,4,FALSE)</f>
        <v>브랜드D</v>
      </c>
    </row>
    <row r="634" spans="1:18" x14ac:dyDescent="0.45">
      <c r="A634" t="s">
        <v>23</v>
      </c>
      <c r="B634" t="s">
        <v>1033</v>
      </c>
      <c r="C634" t="s">
        <v>2533</v>
      </c>
      <c r="D634" t="s">
        <v>2602</v>
      </c>
      <c r="E634">
        <v>3</v>
      </c>
      <c r="F634">
        <v>59900</v>
      </c>
      <c r="G634">
        <v>0</v>
      </c>
      <c r="H634">
        <v>0</v>
      </c>
      <c r="I634" t="s">
        <v>2652</v>
      </c>
      <c r="J634" s="4">
        <f t="shared" si="27"/>
        <v>179700</v>
      </c>
      <c r="K634" s="4" t="str">
        <f t="shared" si="28"/>
        <v>2025-01</v>
      </c>
      <c r="L634" s="4" t="str">
        <f t="shared" si="29"/>
        <v>목</v>
      </c>
      <c r="M634" s="2" t="str">
        <f>VLOOKUP($C634, 고객정보!$A$2:$E$151, 2, FALSE)</f>
        <v>인천</v>
      </c>
      <c r="N634" t="str">
        <f>VLOOKUP(C634,고객정보!$A$2:$D$151,4,FALSE)</f>
        <v>L5</v>
      </c>
      <c r="O634" t="str">
        <f>VLOOKUP($C634, 고객정보!$A$2:$E$151, 5, FALSE)</f>
        <v>30대</v>
      </c>
      <c r="P634" t="str">
        <f>VLOOKUP(D634,상품정보!$A$2:$E$61,2,FALSE)</f>
        <v>셔츠</v>
      </c>
      <c r="Q634" t="str">
        <f>VLOOKUP(D634,상품정보!$A$2:$D$151,3,FALSE)</f>
        <v>의류</v>
      </c>
      <c r="R634" t="str">
        <f>VLOOKUP(D634,상품정보!$A$2:$D$151,4,FALSE)</f>
        <v>브랜드A</v>
      </c>
    </row>
    <row r="635" spans="1:18" x14ac:dyDescent="0.45">
      <c r="A635" t="s">
        <v>193</v>
      </c>
      <c r="B635" t="s">
        <v>1034</v>
      </c>
      <c r="C635" t="s">
        <v>2535</v>
      </c>
      <c r="D635" t="s">
        <v>2595</v>
      </c>
      <c r="E635">
        <v>1</v>
      </c>
      <c r="F635">
        <v>12700</v>
      </c>
      <c r="G635">
        <v>0</v>
      </c>
      <c r="H635">
        <v>0</v>
      </c>
      <c r="I635" t="s">
        <v>2652</v>
      </c>
      <c r="J635" s="4">
        <f t="shared" si="27"/>
        <v>12700</v>
      </c>
      <c r="K635" s="4" t="str">
        <f t="shared" si="28"/>
        <v>2024-05</v>
      </c>
      <c r="L635" s="4" t="str">
        <f t="shared" si="29"/>
        <v>월</v>
      </c>
      <c r="M635" s="2" t="str">
        <f>VLOOKUP($C635, 고객정보!$A$2:$E$151, 2, FALSE)</f>
        <v>서울</v>
      </c>
      <c r="N635" t="str">
        <f>VLOOKUP(C635,고객정보!$A$2:$D$151,4,FALSE)</f>
        <v>L2</v>
      </c>
      <c r="O635" t="str">
        <f>VLOOKUP($C635, 고객정보!$A$2:$E$151, 5, FALSE)</f>
        <v>10대</v>
      </c>
      <c r="P635" t="str">
        <f>VLOOKUP(D635,상품정보!$A$2:$E$61,2,FALSE)</f>
        <v>반지</v>
      </c>
      <c r="Q635" t="str">
        <f>VLOOKUP(D635,상품정보!$A$2:$D$151,3,FALSE)</f>
        <v>액세서리</v>
      </c>
      <c r="R635" t="str">
        <f>VLOOKUP(D635,상품정보!$A$2:$D$151,4,FALSE)</f>
        <v>브랜드C</v>
      </c>
    </row>
    <row r="636" spans="1:18" x14ac:dyDescent="0.45">
      <c r="A636" t="s">
        <v>127</v>
      </c>
      <c r="B636" t="s">
        <v>1035</v>
      </c>
      <c r="C636" t="s">
        <v>2414</v>
      </c>
      <c r="D636" t="s">
        <v>2603</v>
      </c>
      <c r="E636">
        <v>4</v>
      </c>
      <c r="F636">
        <v>8200</v>
      </c>
      <c r="G636">
        <v>0</v>
      </c>
      <c r="H636">
        <v>0</v>
      </c>
      <c r="I636" t="s">
        <v>2652</v>
      </c>
      <c r="J636" s="4">
        <f t="shared" si="27"/>
        <v>32800</v>
      </c>
      <c r="K636" s="4" t="str">
        <f t="shared" si="28"/>
        <v>2024-12</v>
      </c>
      <c r="L636" s="4" t="str">
        <f t="shared" si="29"/>
        <v>일</v>
      </c>
      <c r="M636" s="2" t="str">
        <f>VLOOKUP($C636, 고객정보!$A$2:$E$151, 2, FALSE)</f>
        <v>대구</v>
      </c>
      <c r="N636" t="str">
        <f>VLOOKUP(C636,고객정보!$A$2:$D$151,4,FALSE)</f>
        <v>L3</v>
      </c>
      <c r="O636" t="str">
        <f>VLOOKUP($C636, 고객정보!$A$2:$E$151, 5, FALSE)</f>
        <v>30대</v>
      </c>
      <c r="P636" t="str">
        <f>VLOOKUP(D636,상품정보!$A$2:$E$61,2,FALSE)</f>
        <v>목걸이</v>
      </c>
      <c r="Q636" t="str">
        <f>VLOOKUP(D636,상품정보!$A$2:$D$151,3,FALSE)</f>
        <v>액세서리</v>
      </c>
      <c r="R636" t="str">
        <f>VLOOKUP(D636,상품정보!$A$2:$D$151,4,FALSE)</f>
        <v>브랜드E</v>
      </c>
    </row>
    <row r="637" spans="1:18" x14ac:dyDescent="0.45">
      <c r="A637" t="s">
        <v>74</v>
      </c>
      <c r="B637" t="s">
        <v>1036</v>
      </c>
      <c r="C637" t="s">
        <v>2505</v>
      </c>
      <c r="D637" t="s">
        <v>2574</v>
      </c>
      <c r="E637">
        <v>4</v>
      </c>
      <c r="F637">
        <v>8600</v>
      </c>
      <c r="G637">
        <v>0</v>
      </c>
      <c r="H637">
        <v>0</v>
      </c>
      <c r="I637" t="s">
        <v>2652</v>
      </c>
      <c r="J637" s="4">
        <f t="shared" si="27"/>
        <v>34400</v>
      </c>
      <c r="K637" s="4" t="str">
        <f t="shared" si="28"/>
        <v>2024-04</v>
      </c>
      <c r="L637" s="4" t="str">
        <f t="shared" si="29"/>
        <v>금</v>
      </c>
      <c r="M637" s="2" t="str">
        <f>VLOOKUP($C637, 고객정보!$A$2:$E$151, 2, FALSE)</f>
        <v>대구</v>
      </c>
      <c r="N637" t="str">
        <f>VLOOKUP(C637,고객정보!$A$2:$D$151,4,FALSE)</f>
        <v>L4</v>
      </c>
      <c r="O637" t="str">
        <f>VLOOKUP($C637, 고객정보!$A$2:$E$151, 5, FALSE)</f>
        <v>40대</v>
      </c>
      <c r="P637" t="str">
        <f>VLOOKUP(D637,상품정보!$A$2:$E$61,2,FALSE)</f>
        <v>셔츠</v>
      </c>
      <c r="Q637" t="str">
        <f>VLOOKUP(D637,상품정보!$A$2:$D$151,3,FALSE)</f>
        <v>의류</v>
      </c>
      <c r="R637" t="str">
        <f>VLOOKUP(D637,상품정보!$A$2:$D$151,4,FALSE)</f>
        <v>브랜드D</v>
      </c>
    </row>
    <row r="638" spans="1:18" x14ac:dyDescent="0.45">
      <c r="A638" t="s">
        <v>177</v>
      </c>
      <c r="B638" t="s">
        <v>1037</v>
      </c>
      <c r="C638" t="s">
        <v>2448</v>
      </c>
      <c r="D638" t="s">
        <v>2602</v>
      </c>
      <c r="E638">
        <v>5</v>
      </c>
      <c r="F638">
        <v>59900</v>
      </c>
      <c r="G638">
        <v>0</v>
      </c>
      <c r="H638">
        <v>0</v>
      </c>
      <c r="I638" t="s">
        <v>2652</v>
      </c>
      <c r="J638" s="4">
        <f t="shared" si="27"/>
        <v>299500</v>
      </c>
      <c r="K638" s="4" t="str">
        <f t="shared" si="28"/>
        <v>2024-05</v>
      </c>
      <c r="L638" s="4" t="str">
        <f t="shared" si="29"/>
        <v>토</v>
      </c>
      <c r="M638" s="2" t="str">
        <f>VLOOKUP($C638, 고객정보!$A$2:$E$151, 2, FALSE)</f>
        <v>광주</v>
      </c>
      <c r="N638" t="str">
        <f>VLOOKUP(C638,고객정보!$A$2:$D$151,4,FALSE)</f>
        <v>L3</v>
      </c>
      <c r="O638" t="str">
        <f>VLOOKUP($C638, 고객정보!$A$2:$E$151, 5, FALSE)</f>
        <v>50대 이상</v>
      </c>
      <c r="P638" t="str">
        <f>VLOOKUP(D638,상품정보!$A$2:$E$61,2,FALSE)</f>
        <v>셔츠</v>
      </c>
      <c r="Q638" t="str">
        <f>VLOOKUP(D638,상품정보!$A$2:$D$151,3,FALSE)</f>
        <v>의류</v>
      </c>
      <c r="R638" t="str">
        <f>VLOOKUP(D638,상품정보!$A$2:$D$151,4,FALSE)</f>
        <v>브랜드A</v>
      </c>
    </row>
    <row r="639" spans="1:18" x14ac:dyDescent="0.45">
      <c r="A639" t="s">
        <v>278</v>
      </c>
      <c r="B639" t="s">
        <v>1038</v>
      </c>
      <c r="C639" t="s">
        <v>2406</v>
      </c>
      <c r="D639" t="s">
        <v>2606</v>
      </c>
      <c r="E639">
        <v>3</v>
      </c>
      <c r="F639">
        <v>15000</v>
      </c>
      <c r="G639">
        <v>500</v>
      </c>
      <c r="H639">
        <v>0</v>
      </c>
      <c r="I639" t="s">
        <v>2652</v>
      </c>
      <c r="J639" s="4">
        <f t="shared" si="27"/>
        <v>45500</v>
      </c>
      <c r="K639" s="4" t="str">
        <f t="shared" si="28"/>
        <v>2024-03</v>
      </c>
      <c r="L639" s="4" t="str">
        <f t="shared" si="29"/>
        <v>월</v>
      </c>
      <c r="M639" s="2" t="str">
        <f>VLOOKUP($C639, 고객정보!$A$2:$E$151, 2, FALSE)</f>
        <v>부산</v>
      </c>
      <c r="N639" t="str">
        <f>VLOOKUP(C639,고객정보!$A$2:$D$151,4,FALSE)</f>
        <v>L5</v>
      </c>
      <c r="O639" t="str">
        <f>VLOOKUP($C639, 고객정보!$A$2:$E$151, 5, FALSE)</f>
        <v>30대</v>
      </c>
      <c r="P639" t="str">
        <f>VLOOKUP(D639,상품정보!$A$2:$E$61,2,FALSE)</f>
        <v>귀걸이</v>
      </c>
      <c r="Q639" t="str">
        <f>VLOOKUP(D639,상품정보!$A$2:$D$151,3,FALSE)</f>
        <v>액세서리</v>
      </c>
      <c r="R639" t="str">
        <f>VLOOKUP(D639,상품정보!$A$2:$D$151,4,FALSE)</f>
        <v>브랜드E</v>
      </c>
    </row>
    <row r="640" spans="1:18" x14ac:dyDescent="0.45">
      <c r="A640" t="s">
        <v>51</v>
      </c>
      <c r="B640" t="s">
        <v>1039</v>
      </c>
      <c r="C640" t="s">
        <v>2438</v>
      </c>
      <c r="D640" t="s">
        <v>2598</v>
      </c>
      <c r="E640">
        <v>5</v>
      </c>
      <c r="F640">
        <v>77300</v>
      </c>
      <c r="G640">
        <v>0</v>
      </c>
      <c r="H640">
        <v>0</v>
      </c>
      <c r="I640" t="s">
        <v>2652</v>
      </c>
      <c r="J640" s="4">
        <f t="shared" si="27"/>
        <v>386500</v>
      </c>
      <c r="K640" s="4" t="str">
        <f t="shared" si="28"/>
        <v>2024-05</v>
      </c>
      <c r="L640" s="4" t="str">
        <f t="shared" si="29"/>
        <v>목</v>
      </c>
      <c r="M640" s="2" t="str">
        <f>VLOOKUP($C640, 고객정보!$A$2:$E$151, 2, FALSE)</f>
        <v>대구</v>
      </c>
      <c r="N640" t="str">
        <f>VLOOKUP(C640,고객정보!$A$2:$D$151,4,FALSE)</f>
        <v>L4</v>
      </c>
      <c r="O640" t="str">
        <f>VLOOKUP($C640, 고객정보!$A$2:$E$151, 5, FALSE)</f>
        <v>30대</v>
      </c>
      <c r="P640" t="str">
        <f>VLOOKUP(D640,상품정보!$A$2:$E$61,2,FALSE)</f>
        <v>청바지</v>
      </c>
      <c r="Q640" t="str">
        <f>VLOOKUP(D640,상품정보!$A$2:$D$151,3,FALSE)</f>
        <v>의류</v>
      </c>
      <c r="R640" t="str">
        <f>VLOOKUP(D640,상품정보!$A$2:$D$151,4,FALSE)</f>
        <v>브랜드F</v>
      </c>
    </row>
    <row r="641" spans="1:18" x14ac:dyDescent="0.45">
      <c r="A641" t="s">
        <v>209</v>
      </c>
      <c r="B641" t="s">
        <v>1040</v>
      </c>
      <c r="C641" t="s">
        <v>2422</v>
      </c>
      <c r="D641" t="s">
        <v>2596</v>
      </c>
      <c r="E641">
        <v>5</v>
      </c>
      <c r="F641">
        <v>59700</v>
      </c>
      <c r="G641">
        <v>0</v>
      </c>
      <c r="H641">
        <v>0</v>
      </c>
      <c r="I641" t="s">
        <v>2652</v>
      </c>
      <c r="J641" s="4">
        <f t="shared" si="27"/>
        <v>298500</v>
      </c>
      <c r="K641" s="4" t="str">
        <f t="shared" si="28"/>
        <v>2024-04</v>
      </c>
      <c r="L641" s="4" t="str">
        <f t="shared" si="29"/>
        <v>목</v>
      </c>
      <c r="M641" s="2" t="str">
        <f>VLOOKUP($C641, 고객정보!$A$2:$E$151, 2, FALSE)</f>
        <v>광주</v>
      </c>
      <c r="N641" t="str">
        <f>VLOOKUP(C641,고객정보!$A$2:$D$151,4,FALSE)</f>
        <v>L5</v>
      </c>
      <c r="O641" t="str">
        <f>VLOOKUP($C641, 고객정보!$A$2:$E$151, 5, FALSE)</f>
        <v>30대</v>
      </c>
      <c r="P641" t="str">
        <f>VLOOKUP(D641,상품정보!$A$2:$E$61,2,FALSE)</f>
        <v>청바지</v>
      </c>
      <c r="Q641" t="str">
        <f>VLOOKUP(D641,상품정보!$A$2:$D$151,3,FALSE)</f>
        <v>의류</v>
      </c>
      <c r="R641" t="str">
        <f>VLOOKUP(D641,상품정보!$A$2:$D$151,4,FALSE)</f>
        <v>브랜드A</v>
      </c>
    </row>
    <row r="642" spans="1:18" x14ac:dyDescent="0.45">
      <c r="A642" t="s">
        <v>249</v>
      </c>
      <c r="B642" t="s">
        <v>1041</v>
      </c>
      <c r="C642" t="s">
        <v>2405</v>
      </c>
      <c r="D642" t="s">
        <v>2596</v>
      </c>
      <c r="E642">
        <v>1</v>
      </c>
      <c r="F642">
        <v>59700</v>
      </c>
      <c r="G642">
        <v>1000</v>
      </c>
      <c r="H642">
        <v>0</v>
      </c>
      <c r="I642" t="s">
        <v>2652</v>
      </c>
      <c r="J642" s="4">
        <f t="shared" si="27"/>
        <v>60700</v>
      </c>
      <c r="K642" s="4" t="str">
        <f t="shared" si="28"/>
        <v>2024-07</v>
      </c>
      <c r="L642" s="4" t="str">
        <f t="shared" si="29"/>
        <v>화</v>
      </c>
      <c r="M642" s="2" t="str">
        <f>VLOOKUP($C642, 고객정보!$A$2:$E$151, 2, FALSE)</f>
        <v>부산</v>
      </c>
      <c r="N642" t="str">
        <f>VLOOKUP(C642,고객정보!$A$2:$D$151,4,FALSE)</f>
        <v>L3</v>
      </c>
      <c r="O642" t="str">
        <f>VLOOKUP($C642, 고객정보!$A$2:$E$151, 5, FALSE)</f>
        <v>40대</v>
      </c>
      <c r="P642" t="str">
        <f>VLOOKUP(D642,상품정보!$A$2:$E$61,2,FALSE)</f>
        <v>청바지</v>
      </c>
      <c r="Q642" t="str">
        <f>VLOOKUP(D642,상품정보!$A$2:$D$151,3,FALSE)</f>
        <v>의류</v>
      </c>
      <c r="R642" t="str">
        <f>VLOOKUP(D642,상품정보!$A$2:$D$151,4,FALSE)</f>
        <v>브랜드A</v>
      </c>
    </row>
    <row r="643" spans="1:18" x14ac:dyDescent="0.45">
      <c r="A643" t="s">
        <v>24</v>
      </c>
      <c r="B643" t="s">
        <v>1042</v>
      </c>
      <c r="C643" t="s">
        <v>2481</v>
      </c>
      <c r="D643" t="s">
        <v>2588</v>
      </c>
      <c r="E643">
        <v>4</v>
      </c>
      <c r="F643">
        <v>7700</v>
      </c>
      <c r="G643">
        <v>1500</v>
      </c>
      <c r="H643">
        <v>0</v>
      </c>
      <c r="I643" t="s">
        <v>2652</v>
      </c>
      <c r="J643" s="4">
        <f t="shared" ref="J643:J706" si="30">E643*F643+G643-H643</f>
        <v>32300</v>
      </c>
      <c r="K643" s="4" t="str">
        <f t="shared" ref="K643:K706" si="31">LEFT(A643,7)</f>
        <v>2024-02</v>
      </c>
      <c r="L643" s="4" t="str">
        <f t="shared" ref="L643:L706" si="32">TEXT(WEEKDAY(A643),"aaa")</f>
        <v>수</v>
      </c>
      <c r="M643" s="2" t="str">
        <f>VLOOKUP($C643, 고객정보!$A$2:$E$151, 2, FALSE)</f>
        <v>부산</v>
      </c>
      <c r="N643" t="str">
        <f>VLOOKUP(C643,고객정보!$A$2:$D$151,4,FALSE)</f>
        <v>L5</v>
      </c>
      <c r="O643" t="str">
        <f>VLOOKUP($C643, 고객정보!$A$2:$E$151, 5, FALSE)</f>
        <v>20대</v>
      </c>
      <c r="P643" t="str">
        <f>VLOOKUP(D643,상품정보!$A$2:$E$61,2,FALSE)</f>
        <v>귀걸이</v>
      </c>
      <c r="Q643" t="str">
        <f>VLOOKUP(D643,상품정보!$A$2:$D$151,3,FALSE)</f>
        <v>액세서리</v>
      </c>
      <c r="R643" t="str">
        <f>VLOOKUP(D643,상품정보!$A$2:$D$151,4,FALSE)</f>
        <v>브랜드D</v>
      </c>
    </row>
    <row r="644" spans="1:18" x14ac:dyDescent="0.45">
      <c r="A644" t="s">
        <v>79</v>
      </c>
      <c r="B644" t="s">
        <v>1043</v>
      </c>
      <c r="C644" t="s">
        <v>2430</v>
      </c>
      <c r="D644" t="s">
        <v>2594</v>
      </c>
      <c r="E644">
        <v>5</v>
      </c>
      <c r="F644">
        <v>73000</v>
      </c>
      <c r="G644">
        <v>0</v>
      </c>
      <c r="H644">
        <v>0</v>
      </c>
      <c r="I644" t="s">
        <v>2652</v>
      </c>
      <c r="J644" s="4">
        <f t="shared" si="30"/>
        <v>365000</v>
      </c>
      <c r="K644" s="4" t="str">
        <f t="shared" si="31"/>
        <v>2024-03</v>
      </c>
      <c r="L644" s="4" t="str">
        <f t="shared" si="32"/>
        <v>목</v>
      </c>
      <c r="M644" s="2" t="str">
        <f>VLOOKUP($C644, 고객정보!$A$2:$E$151, 2, FALSE)</f>
        <v>광주</v>
      </c>
      <c r="N644" t="str">
        <f>VLOOKUP(C644,고객정보!$A$2:$D$151,4,FALSE)</f>
        <v>L4</v>
      </c>
      <c r="O644" t="str">
        <f>VLOOKUP($C644, 고객정보!$A$2:$E$151, 5, FALSE)</f>
        <v>30대</v>
      </c>
      <c r="P644" t="str">
        <f>VLOOKUP(D644,상품정보!$A$2:$E$61,2,FALSE)</f>
        <v>자켓</v>
      </c>
      <c r="Q644" t="str">
        <f>VLOOKUP(D644,상품정보!$A$2:$D$151,3,FALSE)</f>
        <v>의류</v>
      </c>
      <c r="R644" t="str">
        <f>VLOOKUP(D644,상품정보!$A$2:$D$151,4,FALSE)</f>
        <v>브랜드A</v>
      </c>
    </row>
    <row r="645" spans="1:18" x14ac:dyDescent="0.45">
      <c r="A645" t="s">
        <v>318</v>
      </c>
      <c r="B645" t="s">
        <v>1044</v>
      </c>
      <c r="C645" t="s">
        <v>2460</v>
      </c>
      <c r="D645" t="s">
        <v>2593</v>
      </c>
      <c r="E645">
        <v>4</v>
      </c>
      <c r="F645">
        <v>74600</v>
      </c>
      <c r="G645">
        <v>0</v>
      </c>
      <c r="H645">
        <v>0</v>
      </c>
      <c r="I645" t="s">
        <v>2652</v>
      </c>
      <c r="J645" s="4">
        <f t="shared" si="30"/>
        <v>298400</v>
      </c>
      <c r="K645" s="4" t="str">
        <f t="shared" si="31"/>
        <v>2024-09</v>
      </c>
      <c r="L645" s="4" t="str">
        <f t="shared" si="32"/>
        <v>일</v>
      </c>
      <c r="M645" s="2" t="str">
        <f>VLOOKUP($C645, 고객정보!$A$2:$E$151, 2, FALSE)</f>
        <v>대전</v>
      </c>
      <c r="N645" t="str">
        <f>VLOOKUP(C645,고객정보!$A$2:$D$151,4,FALSE)</f>
        <v>L4</v>
      </c>
      <c r="O645" t="str">
        <f>VLOOKUP($C645, 고객정보!$A$2:$E$151, 5, FALSE)</f>
        <v>20대</v>
      </c>
      <c r="P645" t="str">
        <f>VLOOKUP(D645,상품정보!$A$2:$E$61,2,FALSE)</f>
        <v>반팔 티셔츠</v>
      </c>
      <c r="Q645" t="str">
        <f>VLOOKUP(D645,상품정보!$A$2:$D$151,3,FALSE)</f>
        <v>의류</v>
      </c>
      <c r="R645" t="str">
        <f>VLOOKUP(D645,상품정보!$A$2:$D$151,4,FALSE)</f>
        <v>브랜드B</v>
      </c>
    </row>
    <row r="646" spans="1:18" x14ac:dyDescent="0.45">
      <c r="A646" t="s">
        <v>246</v>
      </c>
      <c r="B646" t="s">
        <v>1045</v>
      </c>
      <c r="C646" t="s">
        <v>2448</v>
      </c>
      <c r="D646" t="s">
        <v>2557</v>
      </c>
      <c r="E646">
        <v>3</v>
      </c>
      <c r="F646">
        <v>77700</v>
      </c>
      <c r="G646">
        <v>0</v>
      </c>
      <c r="H646">
        <v>0</v>
      </c>
      <c r="I646" t="s">
        <v>2652</v>
      </c>
      <c r="J646" s="4">
        <f t="shared" si="30"/>
        <v>233100</v>
      </c>
      <c r="K646" s="4" t="str">
        <f t="shared" si="31"/>
        <v>2024-06</v>
      </c>
      <c r="L646" s="4" t="str">
        <f t="shared" si="32"/>
        <v>목</v>
      </c>
      <c r="M646" s="2" t="str">
        <f>VLOOKUP($C646, 고객정보!$A$2:$E$151, 2, FALSE)</f>
        <v>광주</v>
      </c>
      <c r="N646" t="str">
        <f>VLOOKUP(C646,고객정보!$A$2:$D$151,4,FALSE)</f>
        <v>L3</v>
      </c>
      <c r="O646" t="str">
        <f>VLOOKUP($C646, 고객정보!$A$2:$E$151, 5, FALSE)</f>
        <v>50대 이상</v>
      </c>
      <c r="P646" t="str">
        <f>VLOOKUP(D646,상품정보!$A$2:$E$61,2,FALSE)</f>
        <v>귀걸이</v>
      </c>
      <c r="Q646" t="str">
        <f>VLOOKUP(D646,상품정보!$A$2:$D$151,3,FALSE)</f>
        <v>액세서리</v>
      </c>
      <c r="R646" t="str">
        <f>VLOOKUP(D646,상품정보!$A$2:$D$151,4,FALSE)</f>
        <v>브랜드B</v>
      </c>
    </row>
    <row r="647" spans="1:18" x14ac:dyDescent="0.45">
      <c r="A647" t="s">
        <v>43</v>
      </c>
      <c r="B647" t="s">
        <v>1046</v>
      </c>
      <c r="C647" t="s">
        <v>2547</v>
      </c>
      <c r="D647" t="s">
        <v>2593</v>
      </c>
      <c r="E647">
        <v>1</v>
      </c>
      <c r="F647">
        <v>74600</v>
      </c>
      <c r="G647">
        <v>1500</v>
      </c>
      <c r="H647">
        <v>2900</v>
      </c>
      <c r="I647" t="s">
        <v>2613</v>
      </c>
      <c r="J647" s="4">
        <f t="shared" si="30"/>
        <v>73200</v>
      </c>
      <c r="K647" s="4" t="str">
        <f t="shared" si="31"/>
        <v>2025-01</v>
      </c>
      <c r="L647" s="4" t="str">
        <f t="shared" si="32"/>
        <v>화</v>
      </c>
      <c r="M647" s="2" t="str">
        <f>VLOOKUP($C647, 고객정보!$A$2:$E$151, 2, FALSE)</f>
        <v>광주</v>
      </c>
      <c r="N647" t="str">
        <f>VLOOKUP(C647,고객정보!$A$2:$D$151,4,FALSE)</f>
        <v>L2</v>
      </c>
      <c r="O647" t="str">
        <f>VLOOKUP($C647, 고객정보!$A$2:$E$151, 5, FALSE)</f>
        <v>20대</v>
      </c>
      <c r="P647" t="str">
        <f>VLOOKUP(D647,상품정보!$A$2:$E$61,2,FALSE)</f>
        <v>반팔 티셔츠</v>
      </c>
      <c r="Q647" t="str">
        <f>VLOOKUP(D647,상품정보!$A$2:$D$151,3,FALSE)</f>
        <v>의류</v>
      </c>
      <c r="R647" t="str">
        <f>VLOOKUP(D647,상품정보!$A$2:$D$151,4,FALSE)</f>
        <v>브랜드B</v>
      </c>
    </row>
    <row r="648" spans="1:18" x14ac:dyDescent="0.45">
      <c r="A648" t="s">
        <v>138</v>
      </c>
      <c r="B648" t="s">
        <v>1047</v>
      </c>
      <c r="C648" t="s">
        <v>2544</v>
      </c>
      <c r="D648" t="s">
        <v>2593</v>
      </c>
      <c r="E648">
        <v>5</v>
      </c>
      <c r="F648">
        <v>74600</v>
      </c>
      <c r="G648">
        <v>2000</v>
      </c>
      <c r="H648">
        <v>0</v>
      </c>
      <c r="I648" t="s">
        <v>2652</v>
      </c>
      <c r="J648" s="4">
        <f t="shared" si="30"/>
        <v>375000</v>
      </c>
      <c r="K648" s="4" t="str">
        <f t="shared" si="31"/>
        <v>2024-04</v>
      </c>
      <c r="L648" s="4" t="str">
        <f t="shared" si="32"/>
        <v>일</v>
      </c>
      <c r="M648" s="2" t="str">
        <f>VLOOKUP($C648, 고객정보!$A$2:$E$151, 2, FALSE)</f>
        <v>서울</v>
      </c>
      <c r="N648" t="str">
        <f>VLOOKUP(C648,고객정보!$A$2:$D$151,4,FALSE)</f>
        <v>L5</v>
      </c>
      <c r="O648" t="str">
        <f>VLOOKUP($C648, 고객정보!$A$2:$E$151, 5, FALSE)</f>
        <v>40대</v>
      </c>
      <c r="P648" t="str">
        <f>VLOOKUP(D648,상품정보!$A$2:$E$61,2,FALSE)</f>
        <v>반팔 티셔츠</v>
      </c>
      <c r="Q648" t="str">
        <f>VLOOKUP(D648,상품정보!$A$2:$D$151,3,FALSE)</f>
        <v>의류</v>
      </c>
      <c r="R648" t="str">
        <f>VLOOKUP(D648,상품정보!$A$2:$D$151,4,FALSE)</f>
        <v>브랜드B</v>
      </c>
    </row>
    <row r="649" spans="1:18" x14ac:dyDescent="0.45">
      <c r="A649" t="s">
        <v>319</v>
      </c>
      <c r="B649" t="s">
        <v>1048</v>
      </c>
      <c r="C649" t="s">
        <v>2445</v>
      </c>
      <c r="D649" t="s">
        <v>2574</v>
      </c>
      <c r="E649">
        <v>1</v>
      </c>
      <c r="F649">
        <v>8600</v>
      </c>
      <c r="G649">
        <v>500</v>
      </c>
      <c r="H649">
        <v>0</v>
      </c>
      <c r="I649" t="s">
        <v>2652</v>
      </c>
      <c r="J649" s="4">
        <f t="shared" si="30"/>
        <v>9100</v>
      </c>
      <c r="K649" s="4" t="str">
        <f t="shared" si="31"/>
        <v>2024-03</v>
      </c>
      <c r="L649" s="4" t="str">
        <f t="shared" si="32"/>
        <v>토</v>
      </c>
      <c r="M649" s="2" t="str">
        <f>VLOOKUP($C649, 고객정보!$A$2:$E$151, 2, FALSE)</f>
        <v>대구</v>
      </c>
      <c r="N649" t="str">
        <f>VLOOKUP(C649,고객정보!$A$2:$D$151,4,FALSE)</f>
        <v>L3</v>
      </c>
      <c r="O649" t="str">
        <f>VLOOKUP($C649, 고객정보!$A$2:$E$151, 5, FALSE)</f>
        <v>10대</v>
      </c>
      <c r="P649" t="str">
        <f>VLOOKUP(D649,상품정보!$A$2:$E$61,2,FALSE)</f>
        <v>셔츠</v>
      </c>
      <c r="Q649" t="str">
        <f>VLOOKUP(D649,상품정보!$A$2:$D$151,3,FALSE)</f>
        <v>의류</v>
      </c>
      <c r="R649" t="str">
        <f>VLOOKUP(D649,상품정보!$A$2:$D$151,4,FALSE)</f>
        <v>브랜드D</v>
      </c>
    </row>
    <row r="650" spans="1:18" x14ac:dyDescent="0.45">
      <c r="A650" t="s">
        <v>205</v>
      </c>
      <c r="B650" t="s">
        <v>1049</v>
      </c>
      <c r="C650" t="s">
        <v>2515</v>
      </c>
      <c r="D650" t="s">
        <v>2584</v>
      </c>
      <c r="E650">
        <v>2</v>
      </c>
      <c r="F650">
        <v>59700</v>
      </c>
      <c r="G650">
        <v>0</v>
      </c>
      <c r="H650">
        <v>1500</v>
      </c>
      <c r="I650" t="s">
        <v>2614</v>
      </c>
      <c r="J650" s="4">
        <f t="shared" si="30"/>
        <v>117900</v>
      </c>
      <c r="K650" s="4" t="str">
        <f t="shared" si="31"/>
        <v>2024-01</v>
      </c>
      <c r="L650" s="4" t="str">
        <f t="shared" si="32"/>
        <v>금</v>
      </c>
      <c r="M650" s="2" t="str">
        <f>VLOOKUP($C650, 고객정보!$A$2:$E$151, 2, FALSE)</f>
        <v>부산</v>
      </c>
      <c r="N650" t="str">
        <f>VLOOKUP(C650,고객정보!$A$2:$D$151,4,FALSE)</f>
        <v>L5</v>
      </c>
      <c r="O650" t="str">
        <f>VLOOKUP($C650, 고객정보!$A$2:$E$151, 5, FALSE)</f>
        <v>40대</v>
      </c>
      <c r="P650" t="str">
        <f>VLOOKUP(D650,상품정보!$A$2:$E$61,2,FALSE)</f>
        <v>목걸이</v>
      </c>
      <c r="Q650" t="str">
        <f>VLOOKUP(D650,상품정보!$A$2:$D$151,3,FALSE)</f>
        <v>액세서리</v>
      </c>
      <c r="R650" t="str">
        <f>VLOOKUP(D650,상품정보!$A$2:$D$151,4,FALSE)</f>
        <v>브랜드B</v>
      </c>
    </row>
    <row r="651" spans="1:18" x14ac:dyDescent="0.45">
      <c r="A651" t="s">
        <v>80</v>
      </c>
      <c r="B651" t="s">
        <v>1050</v>
      </c>
      <c r="C651" t="s">
        <v>2533</v>
      </c>
      <c r="D651" t="s">
        <v>2577</v>
      </c>
      <c r="E651">
        <v>4</v>
      </c>
      <c r="F651">
        <v>10200</v>
      </c>
      <c r="G651">
        <v>1500</v>
      </c>
      <c r="H651">
        <v>0</v>
      </c>
      <c r="I651" t="s">
        <v>2652</v>
      </c>
      <c r="J651" s="4">
        <f t="shared" si="30"/>
        <v>42300</v>
      </c>
      <c r="K651" s="4" t="str">
        <f t="shared" si="31"/>
        <v>2024-04</v>
      </c>
      <c r="L651" s="4" t="str">
        <f t="shared" si="32"/>
        <v>금</v>
      </c>
      <c r="M651" s="2" t="str">
        <f>VLOOKUP($C651, 고객정보!$A$2:$E$151, 2, FALSE)</f>
        <v>인천</v>
      </c>
      <c r="N651" t="str">
        <f>VLOOKUP(C651,고객정보!$A$2:$D$151,4,FALSE)</f>
        <v>L5</v>
      </c>
      <c r="O651" t="str">
        <f>VLOOKUP($C651, 고객정보!$A$2:$E$151, 5, FALSE)</f>
        <v>30대</v>
      </c>
      <c r="P651" t="str">
        <f>VLOOKUP(D651,상품정보!$A$2:$E$61,2,FALSE)</f>
        <v>셔츠</v>
      </c>
      <c r="Q651" t="str">
        <f>VLOOKUP(D651,상품정보!$A$2:$D$151,3,FALSE)</f>
        <v>의류</v>
      </c>
      <c r="R651" t="str">
        <f>VLOOKUP(D651,상품정보!$A$2:$D$151,4,FALSE)</f>
        <v>브랜드C</v>
      </c>
    </row>
    <row r="652" spans="1:18" x14ac:dyDescent="0.45">
      <c r="A652" t="s">
        <v>87</v>
      </c>
      <c r="B652" t="s">
        <v>1051</v>
      </c>
      <c r="C652" t="s">
        <v>2417</v>
      </c>
      <c r="D652" t="s">
        <v>2584</v>
      </c>
      <c r="E652">
        <v>1</v>
      </c>
      <c r="F652">
        <v>59700</v>
      </c>
      <c r="G652">
        <v>0</v>
      </c>
      <c r="H652">
        <v>0</v>
      </c>
      <c r="I652" t="s">
        <v>2652</v>
      </c>
      <c r="J652" s="4">
        <f t="shared" si="30"/>
        <v>59700</v>
      </c>
      <c r="K652" s="4" t="str">
        <f t="shared" si="31"/>
        <v>2024-01</v>
      </c>
      <c r="L652" s="4" t="str">
        <f t="shared" si="32"/>
        <v>금</v>
      </c>
      <c r="M652" s="2" t="str">
        <f>VLOOKUP($C652, 고객정보!$A$2:$E$151, 2, FALSE)</f>
        <v>인천</v>
      </c>
      <c r="N652" t="str">
        <f>VLOOKUP(C652,고객정보!$A$2:$D$151,4,FALSE)</f>
        <v>L1</v>
      </c>
      <c r="O652" t="str">
        <f>VLOOKUP($C652, 고객정보!$A$2:$E$151, 5, FALSE)</f>
        <v>30대</v>
      </c>
      <c r="P652" t="str">
        <f>VLOOKUP(D652,상품정보!$A$2:$E$61,2,FALSE)</f>
        <v>목걸이</v>
      </c>
      <c r="Q652" t="str">
        <f>VLOOKUP(D652,상품정보!$A$2:$D$151,3,FALSE)</f>
        <v>액세서리</v>
      </c>
      <c r="R652" t="str">
        <f>VLOOKUP(D652,상품정보!$A$2:$D$151,4,FALSE)</f>
        <v>브랜드B</v>
      </c>
    </row>
    <row r="653" spans="1:18" x14ac:dyDescent="0.45">
      <c r="A653" t="s">
        <v>307</v>
      </c>
      <c r="B653" t="s">
        <v>1052</v>
      </c>
      <c r="C653" t="s">
        <v>2528</v>
      </c>
      <c r="D653" t="s">
        <v>2563</v>
      </c>
      <c r="E653">
        <v>5</v>
      </c>
      <c r="F653">
        <v>6900</v>
      </c>
      <c r="G653">
        <v>0</v>
      </c>
      <c r="H653">
        <v>0</v>
      </c>
      <c r="I653" t="s">
        <v>2652</v>
      </c>
      <c r="J653" s="4">
        <f t="shared" si="30"/>
        <v>34500</v>
      </c>
      <c r="K653" s="4" t="str">
        <f t="shared" si="31"/>
        <v>2024-02</v>
      </c>
      <c r="L653" s="4" t="str">
        <f t="shared" si="32"/>
        <v>토</v>
      </c>
      <c r="M653" s="2" t="str">
        <f>VLOOKUP($C653, 고객정보!$A$2:$E$151, 2, FALSE)</f>
        <v>광주</v>
      </c>
      <c r="N653" t="str">
        <f>VLOOKUP(C653,고객정보!$A$2:$D$151,4,FALSE)</f>
        <v>L3</v>
      </c>
      <c r="O653" t="str">
        <f>VLOOKUP($C653, 고객정보!$A$2:$E$151, 5, FALSE)</f>
        <v>10대</v>
      </c>
      <c r="P653" t="str">
        <f>VLOOKUP(D653,상품정보!$A$2:$E$61,2,FALSE)</f>
        <v>귀걸이</v>
      </c>
      <c r="Q653" t="str">
        <f>VLOOKUP(D653,상품정보!$A$2:$D$151,3,FALSE)</f>
        <v>액세서리</v>
      </c>
      <c r="R653" t="str">
        <f>VLOOKUP(D653,상품정보!$A$2:$D$151,4,FALSE)</f>
        <v>브랜드D</v>
      </c>
    </row>
    <row r="654" spans="1:18" x14ac:dyDescent="0.45">
      <c r="A654" t="s">
        <v>237</v>
      </c>
      <c r="B654" t="s">
        <v>1053</v>
      </c>
      <c r="C654" t="s">
        <v>2526</v>
      </c>
      <c r="D654" t="s">
        <v>2595</v>
      </c>
      <c r="E654">
        <v>4</v>
      </c>
      <c r="F654">
        <v>12700</v>
      </c>
      <c r="G654">
        <v>0</v>
      </c>
      <c r="H654">
        <v>0</v>
      </c>
      <c r="I654" t="s">
        <v>2652</v>
      </c>
      <c r="J654" s="4">
        <f t="shared" si="30"/>
        <v>50800</v>
      </c>
      <c r="K654" s="4" t="str">
        <f t="shared" si="31"/>
        <v>2024-11</v>
      </c>
      <c r="L654" s="4" t="str">
        <f t="shared" si="32"/>
        <v>일</v>
      </c>
      <c r="M654" s="2" t="str">
        <f>VLOOKUP($C654, 고객정보!$A$2:$E$151, 2, FALSE)</f>
        <v>부산</v>
      </c>
      <c r="N654" t="str">
        <f>VLOOKUP(C654,고객정보!$A$2:$D$151,4,FALSE)</f>
        <v>L3</v>
      </c>
      <c r="O654" t="str">
        <f>VLOOKUP($C654, 고객정보!$A$2:$E$151, 5, FALSE)</f>
        <v>10대</v>
      </c>
      <c r="P654" t="str">
        <f>VLOOKUP(D654,상품정보!$A$2:$E$61,2,FALSE)</f>
        <v>반지</v>
      </c>
      <c r="Q654" t="str">
        <f>VLOOKUP(D654,상품정보!$A$2:$D$151,3,FALSE)</f>
        <v>액세서리</v>
      </c>
      <c r="R654" t="str">
        <f>VLOOKUP(D654,상품정보!$A$2:$D$151,4,FALSE)</f>
        <v>브랜드C</v>
      </c>
    </row>
    <row r="655" spans="1:18" x14ac:dyDescent="0.45">
      <c r="A655" t="s">
        <v>88</v>
      </c>
      <c r="B655" t="s">
        <v>1054</v>
      </c>
      <c r="C655" t="s">
        <v>2403</v>
      </c>
      <c r="D655" t="s">
        <v>2578</v>
      </c>
      <c r="E655">
        <v>4</v>
      </c>
      <c r="F655">
        <v>78000</v>
      </c>
      <c r="G655">
        <v>1000</v>
      </c>
      <c r="H655">
        <v>2000</v>
      </c>
      <c r="I655" t="s">
        <v>2613</v>
      </c>
      <c r="J655" s="4">
        <f t="shared" si="30"/>
        <v>311000</v>
      </c>
      <c r="K655" s="4" t="str">
        <f t="shared" si="31"/>
        <v>2024-03</v>
      </c>
      <c r="L655" s="4" t="str">
        <f t="shared" si="32"/>
        <v>토</v>
      </c>
      <c r="M655" s="2" t="str">
        <f>VLOOKUP($C655, 고객정보!$A$2:$E$151, 2, FALSE)</f>
        <v>수원</v>
      </c>
      <c r="N655" t="str">
        <f>VLOOKUP(C655,고객정보!$A$2:$D$151,4,FALSE)</f>
        <v>L3</v>
      </c>
      <c r="O655" t="str">
        <f>VLOOKUP($C655, 고객정보!$A$2:$E$151, 5, FALSE)</f>
        <v>30대</v>
      </c>
      <c r="P655" t="str">
        <f>VLOOKUP(D655,상품정보!$A$2:$E$61,2,FALSE)</f>
        <v>귀걸이</v>
      </c>
      <c r="Q655" t="str">
        <f>VLOOKUP(D655,상품정보!$A$2:$D$151,3,FALSE)</f>
        <v>액세서리</v>
      </c>
      <c r="R655" t="str">
        <f>VLOOKUP(D655,상품정보!$A$2:$D$151,4,FALSE)</f>
        <v>브랜드B</v>
      </c>
    </row>
    <row r="656" spans="1:18" x14ac:dyDescent="0.45">
      <c r="A656" t="s">
        <v>179</v>
      </c>
      <c r="B656" t="s">
        <v>1055</v>
      </c>
      <c r="C656" t="s">
        <v>2439</v>
      </c>
      <c r="D656" t="s">
        <v>2581</v>
      </c>
      <c r="E656">
        <v>3</v>
      </c>
      <c r="F656">
        <v>72900</v>
      </c>
      <c r="G656">
        <v>1000</v>
      </c>
      <c r="H656">
        <v>0</v>
      </c>
      <c r="I656" t="s">
        <v>2652</v>
      </c>
      <c r="J656" s="4">
        <f t="shared" si="30"/>
        <v>219700</v>
      </c>
      <c r="K656" s="4" t="str">
        <f t="shared" si="31"/>
        <v>2024-04</v>
      </c>
      <c r="L656" s="4" t="str">
        <f t="shared" si="32"/>
        <v>월</v>
      </c>
      <c r="M656" s="2" t="str">
        <f>VLOOKUP($C656, 고객정보!$A$2:$E$151, 2, FALSE)</f>
        <v>대구</v>
      </c>
      <c r="N656" t="str">
        <f>VLOOKUP(C656,고객정보!$A$2:$D$151,4,FALSE)</f>
        <v>L3</v>
      </c>
      <c r="O656" t="str">
        <f>VLOOKUP($C656, 고객정보!$A$2:$E$151, 5, FALSE)</f>
        <v>30대</v>
      </c>
      <c r="P656" t="str">
        <f>VLOOKUP(D656,상품정보!$A$2:$E$61,2,FALSE)</f>
        <v>귀걸이</v>
      </c>
      <c r="Q656" t="str">
        <f>VLOOKUP(D656,상품정보!$A$2:$D$151,3,FALSE)</f>
        <v>액세서리</v>
      </c>
      <c r="R656" t="str">
        <f>VLOOKUP(D656,상품정보!$A$2:$D$151,4,FALSE)</f>
        <v>브랜드F</v>
      </c>
    </row>
    <row r="657" spans="1:18" x14ac:dyDescent="0.45">
      <c r="A657" t="s">
        <v>320</v>
      </c>
      <c r="B657" t="s">
        <v>1056</v>
      </c>
      <c r="C657" t="s">
        <v>2401</v>
      </c>
      <c r="D657" t="s">
        <v>2558</v>
      </c>
      <c r="E657">
        <v>2</v>
      </c>
      <c r="F657">
        <v>63700</v>
      </c>
      <c r="G657">
        <v>1000</v>
      </c>
      <c r="H657">
        <v>0</v>
      </c>
      <c r="I657" t="s">
        <v>2652</v>
      </c>
      <c r="J657" s="4">
        <f t="shared" si="30"/>
        <v>128400</v>
      </c>
      <c r="K657" s="4" t="str">
        <f t="shared" si="31"/>
        <v>2025-01</v>
      </c>
      <c r="L657" s="4" t="str">
        <f t="shared" si="32"/>
        <v>목</v>
      </c>
      <c r="M657" s="2" t="str">
        <f>VLOOKUP($C657, 고객정보!$A$2:$E$151, 2, FALSE)</f>
        <v>대구</v>
      </c>
      <c r="N657" t="str">
        <f>VLOOKUP(C657,고객정보!$A$2:$D$151,4,FALSE)</f>
        <v>L2</v>
      </c>
      <c r="O657" t="str">
        <f>VLOOKUP($C657, 고객정보!$A$2:$E$151, 5, FALSE)</f>
        <v>30대</v>
      </c>
      <c r="P657" t="str">
        <f>VLOOKUP(D657,상품정보!$A$2:$E$61,2,FALSE)</f>
        <v>셔츠</v>
      </c>
      <c r="Q657" t="str">
        <f>VLOOKUP(D657,상품정보!$A$2:$D$151,3,FALSE)</f>
        <v>의류</v>
      </c>
      <c r="R657" t="str">
        <f>VLOOKUP(D657,상품정보!$A$2:$D$151,4,FALSE)</f>
        <v>브랜드A</v>
      </c>
    </row>
    <row r="658" spans="1:18" x14ac:dyDescent="0.45">
      <c r="A658" t="s">
        <v>321</v>
      </c>
      <c r="B658" t="s">
        <v>1057</v>
      </c>
      <c r="C658" t="s">
        <v>2413</v>
      </c>
      <c r="D658" t="s">
        <v>2593</v>
      </c>
      <c r="E658">
        <v>3</v>
      </c>
      <c r="F658">
        <v>74600</v>
      </c>
      <c r="G658">
        <v>0</v>
      </c>
      <c r="H658">
        <v>0</v>
      </c>
      <c r="I658" t="s">
        <v>2652</v>
      </c>
      <c r="J658" s="4">
        <f t="shared" si="30"/>
        <v>223800</v>
      </c>
      <c r="K658" s="4" t="str">
        <f t="shared" si="31"/>
        <v>2025-01</v>
      </c>
      <c r="L658" s="4" t="str">
        <f t="shared" si="32"/>
        <v>목</v>
      </c>
      <c r="M658" s="2" t="str">
        <f>VLOOKUP($C658, 고객정보!$A$2:$E$151, 2, FALSE)</f>
        <v>서울</v>
      </c>
      <c r="N658" t="str">
        <f>VLOOKUP(C658,고객정보!$A$2:$D$151,4,FALSE)</f>
        <v>L5</v>
      </c>
      <c r="O658" t="str">
        <f>VLOOKUP($C658, 고객정보!$A$2:$E$151, 5, FALSE)</f>
        <v>30대</v>
      </c>
      <c r="P658" t="str">
        <f>VLOOKUP(D658,상품정보!$A$2:$E$61,2,FALSE)</f>
        <v>반팔 티셔츠</v>
      </c>
      <c r="Q658" t="str">
        <f>VLOOKUP(D658,상품정보!$A$2:$D$151,3,FALSE)</f>
        <v>의류</v>
      </c>
      <c r="R658" t="str">
        <f>VLOOKUP(D658,상품정보!$A$2:$D$151,4,FALSE)</f>
        <v>브랜드B</v>
      </c>
    </row>
    <row r="659" spans="1:18" x14ac:dyDescent="0.45">
      <c r="A659" t="s">
        <v>231</v>
      </c>
      <c r="B659" t="s">
        <v>1058</v>
      </c>
      <c r="C659" t="s">
        <v>2543</v>
      </c>
      <c r="D659" t="s">
        <v>2594</v>
      </c>
      <c r="E659">
        <v>3</v>
      </c>
      <c r="F659">
        <v>73000</v>
      </c>
      <c r="G659">
        <v>0</v>
      </c>
      <c r="H659">
        <v>0</v>
      </c>
      <c r="I659" t="s">
        <v>2652</v>
      </c>
      <c r="J659" s="4">
        <f t="shared" si="30"/>
        <v>219000</v>
      </c>
      <c r="K659" s="4" t="str">
        <f t="shared" si="31"/>
        <v>2024-05</v>
      </c>
      <c r="L659" s="4" t="str">
        <f t="shared" si="32"/>
        <v>금</v>
      </c>
      <c r="M659" s="2" t="str">
        <f>VLOOKUP($C659, 고객정보!$A$2:$E$151, 2, FALSE)</f>
        <v>대구</v>
      </c>
      <c r="N659" t="str">
        <f>VLOOKUP(C659,고객정보!$A$2:$D$151,4,FALSE)</f>
        <v>L2</v>
      </c>
      <c r="O659" t="str">
        <f>VLOOKUP($C659, 고객정보!$A$2:$E$151, 5, FALSE)</f>
        <v>10대</v>
      </c>
      <c r="P659" t="str">
        <f>VLOOKUP(D659,상품정보!$A$2:$E$61,2,FALSE)</f>
        <v>자켓</v>
      </c>
      <c r="Q659" t="str">
        <f>VLOOKUP(D659,상품정보!$A$2:$D$151,3,FALSE)</f>
        <v>의류</v>
      </c>
      <c r="R659" t="str">
        <f>VLOOKUP(D659,상품정보!$A$2:$D$151,4,FALSE)</f>
        <v>브랜드A</v>
      </c>
    </row>
    <row r="660" spans="1:18" x14ac:dyDescent="0.45">
      <c r="A660" t="s">
        <v>319</v>
      </c>
      <c r="B660" t="s">
        <v>1059</v>
      </c>
      <c r="C660" t="s">
        <v>2489</v>
      </c>
      <c r="D660" t="s">
        <v>2579</v>
      </c>
      <c r="E660">
        <v>2</v>
      </c>
      <c r="F660">
        <v>51000</v>
      </c>
      <c r="G660">
        <v>0</v>
      </c>
      <c r="H660">
        <v>0</v>
      </c>
      <c r="I660" t="s">
        <v>2652</v>
      </c>
      <c r="J660" s="4">
        <f t="shared" si="30"/>
        <v>102000</v>
      </c>
      <c r="K660" s="4" t="str">
        <f t="shared" si="31"/>
        <v>2024-03</v>
      </c>
      <c r="L660" s="4" t="str">
        <f t="shared" si="32"/>
        <v>토</v>
      </c>
      <c r="M660" s="2" t="str">
        <f>VLOOKUP($C660, 고객정보!$A$2:$E$151, 2, FALSE)</f>
        <v>서울</v>
      </c>
      <c r="N660" t="str">
        <f>VLOOKUP(C660,고객정보!$A$2:$D$151,4,FALSE)</f>
        <v>L3</v>
      </c>
      <c r="O660" t="str">
        <f>VLOOKUP($C660, 고객정보!$A$2:$E$151, 5, FALSE)</f>
        <v>10대</v>
      </c>
      <c r="P660" t="str">
        <f>VLOOKUP(D660,상품정보!$A$2:$E$61,2,FALSE)</f>
        <v>핸드폰케이스</v>
      </c>
      <c r="Q660" t="str">
        <f>VLOOKUP(D660,상품정보!$A$2:$D$151,3,FALSE)</f>
        <v>액세서리</v>
      </c>
      <c r="R660" t="str">
        <f>VLOOKUP(D660,상품정보!$A$2:$D$151,4,FALSE)</f>
        <v>브랜드F</v>
      </c>
    </row>
    <row r="661" spans="1:18" x14ac:dyDescent="0.45">
      <c r="A661" t="s">
        <v>206</v>
      </c>
      <c r="B661" t="s">
        <v>1060</v>
      </c>
      <c r="C661" t="s">
        <v>2456</v>
      </c>
      <c r="D661" t="s">
        <v>2602</v>
      </c>
      <c r="E661">
        <v>4</v>
      </c>
      <c r="F661">
        <v>59900</v>
      </c>
      <c r="G661">
        <v>0</v>
      </c>
      <c r="H661">
        <v>0</v>
      </c>
      <c r="I661" t="s">
        <v>2652</v>
      </c>
      <c r="J661" s="4">
        <f t="shared" si="30"/>
        <v>239600</v>
      </c>
      <c r="K661" s="4" t="str">
        <f t="shared" si="31"/>
        <v>2024-09</v>
      </c>
      <c r="L661" s="4" t="str">
        <f t="shared" si="32"/>
        <v>금</v>
      </c>
      <c r="M661" s="2" t="str">
        <f>VLOOKUP($C661, 고객정보!$A$2:$E$151, 2, FALSE)</f>
        <v>대구</v>
      </c>
      <c r="N661" t="str">
        <f>VLOOKUP(C661,고객정보!$A$2:$D$151,4,FALSE)</f>
        <v>L3</v>
      </c>
      <c r="O661" t="str">
        <f>VLOOKUP($C661, 고객정보!$A$2:$E$151, 5, FALSE)</f>
        <v>30대</v>
      </c>
      <c r="P661" t="str">
        <f>VLOOKUP(D661,상품정보!$A$2:$E$61,2,FALSE)</f>
        <v>셔츠</v>
      </c>
      <c r="Q661" t="str">
        <f>VLOOKUP(D661,상품정보!$A$2:$D$151,3,FALSE)</f>
        <v>의류</v>
      </c>
      <c r="R661" t="str">
        <f>VLOOKUP(D661,상품정보!$A$2:$D$151,4,FALSE)</f>
        <v>브랜드A</v>
      </c>
    </row>
    <row r="662" spans="1:18" x14ac:dyDescent="0.45">
      <c r="A662" t="s">
        <v>166</v>
      </c>
      <c r="B662" t="s">
        <v>1061</v>
      </c>
      <c r="C662" t="s">
        <v>2424</v>
      </c>
      <c r="D662" t="s">
        <v>2553</v>
      </c>
      <c r="E662">
        <v>4</v>
      </c>
      <c r="F662">
        <v>63400</v>
      </c>
      <c r="G662">
        <v>0</v>
      </c>
      <c r="H662">
        <v>0</v>
      </c>
      <c r="I662" t="s">
        <v>2652</v>
      </c>
      <c r="J662" s="4">
        <f t="shared" si="30"/>
        <v>253600</v>
      </c>
      <c r="K662" s="4" t="str">
        <f t="shared" si="31"/>
        <v>2024-12</v>
      </c>
      <c r="L662" s="4" t="str">
        <f t="shared" si="32"/>
        <v>일</v>
      </c>
      <c r="M662" s="2" t="str">
        <f>VLOOKUP($C662, 고객정보!$A$2:$E$151, 2, FALSE)</f>
        <v>서울</v>
      </c>
      <c r="N662" t="str">
        <f>VLOOKUP(C662,고객정보!$A$2:$D$151,4,FALSE)</f>
        <v>L1</v>
      </c>
      <c r="O662" t="str">
        <f>VLOOKUP($C662, 고객정보!$A$2:$E$151, 5, FALSE)</f>
        <v>30대</v>
      </c>
      <c r="P662" t="str">
        <f>VLOOKUP(D662,상품정보!$A$2:$E$61,2,FALSE)</f>
        <v>귀걸이</v>
      </c>
      <c r="Q662" t="str">
        <f>VLOOKUP(D662,상품정보!$A$2:$D$151,3,FALSE)</f>
        <v>액세서리</v>
      </c>
      <c r="R662" t="str">
        <f>VLOOKUP(D662,상품정보!$A$2:$D$151,4,FALSE)</f>
        <v>브랜드F</v>
      </c>
    </row>
    <row r="663" spans="1:18" x14ac:dyDescent="0.45">
      <c r="A663" t="s">
        <v>318</v>
      </c>
      <c r="B663" t="s">
        <v>1062</v>
      </c>
      <c r="C663" t="s">
        <v>2454</v>
      </c>
      <c r="D663" t="s">
        <v>2604</v>
      </c>
      <c r="E663">
        <v>2</v>
      </c>
      <c r="F663">
        <v>9700</v>
      </c>
      <c r="G663">
        <v>1500</v>
      </c>
      <c r="H663">
        <v>3300</v>
      </c>
      <c r="I663" t="s">
        <v>2613</v>
      </c>
      <c r="J663" s="4">
        <f t="shared" si="30"/>
        <v>17600</v>
      </c>
      <c r="K663" s="4" t="str">
        <f t="shared" si="31"/>
        <v>2024-09</v>
      </c>
      <c r="L663" s="4" t="str">
        <f t="shared" si="32"/>
        <v>일</v>
      </c>
      <c r="M663" s="2" t="str">
        <f>VLOOKUP($C663, 고객정보!$A$2:$E$151, 2, FALSE)</f>
        <v>부산</v>
      </c>
      <c r="N663" t="str">
        <f>VLOOKUP(C663,고객정보!$A$2:$D$151,4,FALSE)</f>
        <v>L3</v>
      </c>
      <c r="O663" t="str">
        <f>VLOOKUP($C663, 고객정보!$A$2:$E$151, 5, FALSE)</f>
        <v>40대</v>
      </c>
      <c r="P663" t="str">
        <f>VLOOKUP(D663,상품정보!$A$2:$E$61,2,FALSE)</f>
        <v>반팔 티셔츠</v>
      </c>
      <c r="Q663" t="str">
        <f>VLOOKUP(D663,상품정보!$A$2:$D$151,3,FALSE)</f>
        <v>의류</v>
      </c>
      <c r="R663" t="str">
        <f>VLOOKUP(D663,상품정보!$A$2:$D$151,4,FALSE)</f>
        <v>브랜드E</v>
      </c>
    </row>
    <row r="664" spans="1:18" x14ac:dyDescent="0.45">
      <c r="A664" t="s">
        <v>60</v>
      </c>
      <c r="B664" t="s">
        <v>1063</v>
      </c>
      <c r="C664" t="s">
        <v>2442</v>
      </c>
      <c r="D664" t="s">
        <v>2568</v>
      </c>
      <c r="E664">
        <v>2</v>
      </c>
      <c r="F664">
        <v>16800</v>
      </c>
      <c r="G664">
        <v>0</v>
      </c>
      <c r="H664">
        <v>0</v>
      </c>
      <c r="I664" t="s">
        <v>2652</v>
      </c>
      <c r="J664" s="4">
        <f t="shared" si="30"/>
        <v>33600</v>
      </c>
      <c r="K664" s="4" t="str">
        <f t="shared" si="31"/>
        <v>2024-01</v>
      </c>
      <c r="L664" s="4" t="str">
        <f t="shared" si="32"/>
        <v>목</v>
      </c>
      <c r="M664" s="2" t="str">
        <f>VLOOKUP($C664, 고객정보!$A$2:$E$151, 2, FALSE)</f>
        <v>부산</v>
      </c>
      <c r="N664" t="str">
        <f>VLOOKUP(C664,고객정보!$A$2:$D$151,4,FALSE)</f>
        <v>L1</v>
      </c>
      <c r="O664" t="str">
        <f>VLOOKUP($C664, 고객정보!$A$2:$E$151, 5, FALSE)</f>
        <v>40대</v>
      </c>
      <c r="P664" t="str">
        <f>VLOOKUP(D664,상품정보!$A$2:$E$61,2,FALSE)</f>
        <v>청바지</v>
      </c>
      <c r="Q664" t="str">
        <f>VLOOKUP(D664,상품정보!$A$2:$D$151,3,FALSE)</f>
        <v>의류</v>
      </c>
      <c r="R664" t="str">
        <f>VLOOKUP(D664,상품정보!$A$2:$D$151,4,FALSE)</f>
        <v>브랜드C</v>
      </c>
    </row>
    <row r="665" spans="1:18" x14ac:dyDescent="0.45">
      <c r="A665" t="s">
        <v>322</v>
      </c>
      <c r="B665" t="s">
        <v>1064</v>
      </c>
      <c r="C665" t="s">
        <v>2482</v>
      </c>
      <c r="D665" t="s">
        <v>2559</v>
      </c>
      <c r="E665">
        <v>2</v>
      </c>
      <c r="F665">
        <v>5400</v>
      </c>
      <c r="G665">
        <v>500</v>
      </c>
      <c r="H665">
        <v>0</v>
      </c>
      <c r="I665" t="s">
        <v>2652</v>
      </c>
      <c r="J665" s="4">
        <f t="shared" si="30"/>
        <v>11300</v>
      </c>
      <c r="K665" s="4" t="str">
        <f t="shared" si="31"/>
        <v>2024-08</v>
      </c>
      <c r="L665" s="4" t="str">
        <f t="shared" si="32"/>
        <v>금</v>
      </c>
      <c r="M665" s="2" t="str">
        <f>VLOOKUP($C665, 고객정보!$A$2:$E$151, 2, FALSE)</f>
        <v>서울</v>
      </c>
      <c r="N665" t="str">
        <f>VLOOKUP(C665,고객정보!$A$2:$D$151,4,FALSE)</f>
        <v>L2</v>
      </c>
      <c r="O665" t="str">
        <f>VLOOKUP($C665, 고객정보!$A$2:$E$151, 5, FALSE)</f>
        <v>30대</v>
      </c>
      <c r="P665" t="str">
        <f>VLOOKUP(D665,상품정보!$A$2:$E$61,2,FALSE)</f>
        <v>반지</v>
      </c>
      <c r="Q665" t="str">
        <f>VLOOKUP(D665,상품정보!$A$2:$D$151,3,FALSE)</f>
        <v>액세서리</v>
      </c>
      <c r="R665" t="str">
        <f>VLOOKUP(D665,상품정보!$A$2:$D$151,4,FALSE)</f>
        <v>브랜드D</v>
      </c>
    </row>
    <row r="666" spans="1:18" x14ac:dyDescent="0.45">
      <c r="A666" t="s">
        <v>276</v>
      </c>
      <c r="B666" t="s">
        <v>1065</v>
      </c>
      <c r="C666" t="s">
        <v>2425</v>
      </c>
      <c r="D666" t="s">
        <v>2558</v>
      </c>
      <c r="E666">
        <v>3</v>
      </c>
      <c r="F666">
        <v>63700</v>
      </c>
      <c r="G666">
        <v>0</v>
      </c>
      <c r="H666">
        <v>0</v>
      </c>
      <c r="I666" t="s">
        <v>2652</v>
      </c>
      <c r="J666" s="4">
        <f t="shared" si="30"/>
        <v>191100</v>
      </c>
      <c r="K666" s="4" t="str">
        <f t="shared" si="31"/>
        <v>2024-10</v>
      </c>
      <c r="L666" s="4" t="str">
        <f t="shared" si="32"/>
        <v>금</v>
      </c>
      <c r="M666" s="2" t="str">
        <f>VLOOKUP($C666, 고객정보!$A$2:$E$151, 2, FALSE)</f>
        <v>서울</v>
      </c>
      <c r="N666" t="str">
        <f>VLOOKUP(C666,고객정보!$A$2:$D$151,4,FALSE)</f>
        <v>L4</v>
      </c>
      <c r="O666" t="str">
        <f>VLOOKUP($C666, 고객정보!$A$2:$E$151, 5, FALSE)</f>
        <v>30대</v>
      </c>
      <c r="P666" t="str">
        <f>VLOOKUP(D666,상품정보!$A$2:$E$61,2,FALSE)</f>
        <v>셔츠</v>
      </c>
      <c r="Q666" t="str">
        <f>VLOOKUP(D666,상품정보!$A$2:$D$151,3,FALSE)</f>
        <v>의류</v>
      </c>
      <c r="R666" t="str">
        <f>VLOOKUP(D666,상품정보!$A$2:$D$151,4,FALSE)</f>
        <v>브랜드A</v>
      </c>
    </row>
    <row r="667" spans="1:18" x14ac:dyDescent="0.45">
      <c r="A667" t="s">
        <v>323</v>
      </c>
      <c r="B667" t="s">
        <v>1066</v>
      </c>
      <c r="C667" t="s">
        <v>2453</v>
      </c>
      <c r="D667" t="s">
        <v>2594</v>
      </c>
      <c r="E667">
        <v>3</v>
      </c>
      <c r="F667">
        <v>73000</v>
      </c>
      <c r="G667">
        <v>0</v>
      </c>
      <c r="H667">
        <v>0</v>
      </c>
      <c r="I667" t="s">
        <v>2652</v>
      </c>
      <c r="J667" s="4">
        <f t="shared" si="30"/>
        <v>219000</v>
      </c>
      <c r="K667" s="4" t="str">
        <f t="shared" si="31"/>
        <v>2024-11</v>
      </c>
      <c r="L667" s="4" t="str">
        <f t="shared" si="32"/>
        <v>토</v>
      </c>
      <c r="M667" s="2" t="str">
        <f>VLOOKUP($C667, 고객정보!$A$2:$E$151, 2, FALSE)</f>
        <v>대구</v>
      </c>
      <c r="N667" t="str">
        <f>VLOOKUP(C667,고객정보!$A$2:$D$151,4,FALSE)</f>
        <v>L5</v>
      </c>
      <c r="O667" t="str">
        <f>VLOOKUP($C667, 고객정보!$A$2:$E$151, 5, FALSE)</f>
        <v>50대 이상</v>
      </c>
      <c r="P667" t="str">
        <f>VLOOKUP(D667,상품정보!$A$2:$E$61,2,FALSE)</f>
        <v>자켓</v>
      </c>
      <c r="Q667" t="str">
        <f>VLOOKUP(D667,상품정보!$A$2:$D$151,3,FALSE)</f>
        <v>의류</v>
      </c>
      <c r="R667" t="str">
        <f>VLOOKUP(D667,상품정보!$A$2:$D$151,4,FALSE)</f>
        <v>브랜드A</v>
      </c>
    </row>
    <row r="668" spans="1:18" x14ac:dyDescent="0.45">
      <c r="A668" t="s">
        <v>66</v>
      </c>
      <c r="B668" t="s">
        <v>1067</v>
      </c>
      <c r="C668" t="s">
        <v>2415</v>
      </c>
      <c r="D668" t="s">
        <v>2606</v>
      </c>
      <c r="E668">
        <v>2</v>
      </c>
      <c r="F668">
        <v>15000</v>
      </c>
      <c r="G668">
        <v>0</v>
      </c>
      <c r="H668">
        <v>0</v>
      </c>
      <c r="I668" t="s">
        <v>2652</v>
      </c>
      <c r="J668" s="4">
        <f t="shared" si="30"/>
        <v>30000</v>
      </c>
      <c r="K668" s="4" t="str">
        <f t="shared" si="31"/>
        <v>2024-02</v>
      </c>
      <c r="L668" s="4" t="str">
        <f t="shared" si="32"/>
        <v>목</v>
      </c>
      <c r="M668" s="2" t="str">
        <f>VLOOKUP($C668, 고객정보!$A$2:$E$151, 2, FALSE)</f>
        <v>광주</v>
      </c>
      <c r="N668" t="str">
        <f>VLOOKUP(C668,고객정보!$A$2:$D$151,4,FALSE)</f>
        <v>L3</v>
      </c>
      <c r="O668" t="str">
        <f>VLOOKUP($C668, 고객정보!$A$2:$E$151, 5, FALSE)</f>
        <v>30대</v>
      </c>
      <c r="P668" t="str">
        <f>VLOOKUP(D668,상품정보!$A$2:$E$61,2,FALSE)</f>
        <v>귀걸이</v>
      </c>
      <c r="Q668" t="str">
        <f>VLOOKUP(D668,상품정보!$A$2:$D$151,3,FALSE)</f>
        <v>액세서리</v>
      </c>
      <c r="R668" t="str">
        <f>VLOOKUP(D668,상품정보!$A$2:$D$151,4,FALSE)</f>
        <v>브랜드E</v>
      </c>
    </row>
    <row r="669" spans="1:18" x14ac:dyDescent="0.45">
      <c r="A669" t="s">
        <v>272</v>
      </c>
      <c r="B669" t="s">
        <v>1068</v>
      </c>
      <c r="C669" t="s">
        <v>2449</v>
      </c>
      <c r="D669" t="s">
        <v>2581</v>
      </c>
      <c r="E669">
        <v>3</v>
      </c>
      <c r="F669">
        <v>72900</v>
      </c>
      <c r="G669">
        <v>1500</v>
      </c>
      <c r="H669">
        <v>0</v>
      </c>
      <c r="I669" t="s">
        <v>2652</v>
      </c>
      <c r="J669" s="4">
        <f t="shared" si="30"/>
        <v>220200</v>
      </c>
      <c r="K669" s="4" t="str">
        <f t="shared" si="31"/>
        <v>2024-03</v>
      </c>
      <c r="L669" s="4" t="str">
        <f t="shared" si="32"/>
        <v>금</v>
      </c>
      <c r="M669" s="2" t="str">
        <f>VLOOKUP($C669, 고객정보!$A$2:$E$151, 2, FALSE)</f>
        <v>대구</v>
      </c>
      <c r="N669" t="str">
        <f>VLOOKUP(C669,고객정보!$A$2:$D$151,4,FALSE)</f>
        <v>L5</v>
      </c>
      <c r="O669" t="str">
        <f>VLOOKUP($C669, 고객정보!$A$2:$E$151, 5, FALSE)</f>
        <v>40대</v>
      </c>
      <c r="P669" t="str">
        <f>VLOOKUP(D669,상품정보!$A$2:$E$61,2,FALSE)</f>
        <v>귀걸이</v>
      </c>
      <c r="Q669" t="str">
        <f>VLOOKUP(D669,상품정보!$A$2:$D$151,3,FALSE)</f>
        <v>액세서리</v>
      </c>
      <c r="R669" t="str">
        <f>VLOOKUP(D669,상품정보!$A$2:$D$151,4,FALSE)</f>
        <v>브랜드F</v>
      </c>
    </row>
    <row r="670" spans="1:18" x14ac:dyDescent="0.45">
      <c r="A670" t="s">
        <v>22</v>
      </c>
      <c r="B670" t="s">
        <v>1069</v>
      </c>
      <c r="C670" t="s">
        <v>2456</v>
      </c>
      <c r="D670" t="s">
        <v>2579</v>
      </c>
      <c r="E670">
        <v>5</v>
      </c>
      <c r="F670">
        <v>51000</v>
      </c>
      <c r="G670">
        <v>0</v>
      </c>
      <c r="H670">
        <v>0</v>
      </c>
      <c r="I670" t="s">
        <v>2652</v>
      </c>
      <c r="J670" s="4">
        <f t="shared" si="30"/>
        <v>255000</v>
      </c>
      <c r="K670" s="4" t="str">
        <f t="shared" si="31"/>
        <v>2024-12</v>
      </c>
      <c r="L670" s="4" t="str">
        <f t="shared" si="32"/>
        <v>목</v>
      </c>
      <c r="M670" s="2" t="str">
        <f>VLOOKUP($C670, 고객정보!$A$2:$E$151, 2, FALSE)</f>
        <v>대구</v>
      </c>
      <c r="N670" t="str">
        <f>VLOOKUP(C670,고객정보!$A$2:$D$151,4,FALSE)</f>
        <v>L3</v>
      </c>
      <c r="O670" t="str">
        <f>VLOOKUP($C670, 고객정보!$A$2:$E$151, 5, FALSE)</f>
        <v>30대</v>
      </c>
      <c r="P670" t="str">
        <f>VLOOKUP(D670,상품정보!$A$2:$E$61,2,FALSE)</f>
        <v>핸드폰케이스</v>
      </c>
      <c r="Q670" t="str">
        <f>VLOOKUP(D670,상품정보!$A$2:$D$151,3,FALSE)</f>
        <v>액세서리</v>
      </c>
      <c r="R670" t="str">
        <f>VLOOKUP(D670,상품정보!$A$2:$D$151,4,FALSE)</f>
        <v>브랜드F</v>
      </c>
    </row>
    <row r="671" spans="1:18" x14ac:dyDescent="0.45">
      <c r="A671" t="s">
        <v>47</v>
      </c>
      <c r="B671" t="s">
        <v>1070</v>
      </c>
      <c r="C671" t="s">
        <v>2488</v>
      </c>
      <c r="D671" t="s">
        <v>2606</v>
      </c>
      <c r="E671">
        <v>1</v>
      </c>
      <c r="F671">
        <v>15000</v>
      </c>
      <c r="G671">
        <v>1000</v>
      </c>
      <c r="H671">
        <v>0</v>
      </c>
      <c r="I671" t="s">
        <v>2652</v>
      </c>
      <c r="J671" s="4">
        <f t="shared" si="30"/>
        <v>16000</v>
      </c>
      <c r="K671" s="4" t="str">
        <f t="shared" si="31"/>
        <v>2024-11</v>
      </c>
      <c r="L671" s="4" t="str">
        <f t="shared" si="32"/>
        <v>토</v>
      </c>
      <c r="M671" s="2" t="str">
        <f>VLOOKUP($C671, 고객정보!$A$2:$E$151, 2, FALSE)</f>
        <v>서울</v>
      </c>
      <c r="N671" t="str">
        <f>VLOOKUP(C671,고객정보!$A$2:$D$151,4,FALSE)</f>
        <v>L3</v>
      </c>
      <c r="O671" t="str">
        <f>VLOOKUP($C671, 고객정보!$A$2:$E$151, 5, FALSE)</f>
        <v>40대</v>
      </c>
      <c r="P671" t="str">
        <f>VLOOKUP(D671,상품정보!$A$2:$E$61,2,FALSE)</f>
        <v>귀걸이</v>
      </c>
      <c r="Q671" t="str">
        <f>VLOOKUP(D671,상품정보!$A$2:$D$151,3,FALSE)</f>
        <v>액세서리</v>
      </c>
      <c r="R671" t="str">
        <f>VLOOKUP(D671,상품정보!$A$2:$D$151,4,FALSE)</f>
        <v>브랜드E</v>
      </c>
    </row>
    <row r="672" spans="1:18" x14ac:dyDescent="0.45">
      <c r="A672" t="s">
        <v>235</v>
      </c>
      <c r="B672" t="s">
        <v>1071</v>
      </c>
      <c r="C672" t="s">
        <v>2511</v>
      </c>
      <c r="D672" t="s">
        <v>2599</v>
      </c>
      <c r="E672">
        <v>5</v>
      </c>
      <c r="F672">
        <v>73800</v>
      </c>
      <c r="G672">
        <v>1500</v>
      </c>
      <c r="H672">
        <v>0</v>
      </c>
      <c r="I672" t="s">
        <v>2652</v>
      </c>
      <c r="J672" s="4">
        <f t="shared" si="30"/>
        <v>370500</v>
      </c>
      <c r="K672" s="4" t="str">
        <f t="shared" si="31"/>
        <v>2024-04</v>
      </c>
      <c r="L672" s="4" t="str">
        <f t="shared" si="32"/>
        <v>화</v>
      </c>
      <c r="M672" s="2" t="str">
        <f>VLOOKUP($C672, 고객정보!$A$2:$E$151, 2, FALSE)</f>
        <v>인천</v>
      </c>
      <c r="N672" t="str">
        <f>VLOOKUP(C672,고객정보!$A$2:$D$151,4,FALSE)</f>
        <v>L1</v>
      </c>
      <c r="O672" t="str">
        <f>VLOOKUP($C672, 고객정보!$A$2:$E$151, 5, FALSE)</f>
        <v>50대 이상</v>
      </c>
      <c r="P672" t="str">
        <f>VLOOKUP(D672,상품정보!$A$2:$E$61,2,FALSE)</f>
        <v>핸드폰케이스</v>
      </c>
      <c r="Q672" t="str">
        <f>VLOOKUP(D672,상품정보!$A$2:$D$151,3,FALSE)</f>
        <v>액세서리</v>
      </c>
      <c r="R672" t="str">
        <f>VLOOKUP(D672,상품정보!$A$2:$D$151,4,FALSE)</f>
        <v>브랜드F</v>
      </c>
    </row>
    <row r="673" spans="1:18" x14ac:dyDescent="0.45">
      <c r="A673" t="s">
        <v>39</v>
      </c>
      <c r="B673" t="s">
        <v>1072</v>
      </c>
      <c r="C673" t="s">
        <v>2407</v>
      </c>
      <c r="D673" t="s">
        <v>2552</v>
      </c>
      <c r="E673">
        <v>4</v>
      </c>
      <c r="F673">
        <v>13300</v>
      </c>
      <c r="G673">
        <v>500</v>
      </c>
      <c r="H673">
        <v>4000</v>
      </c>
      <c r="I673" t="s">
        <v>2614</v>
      </c>
      <c r="J673" s="4">
        <f t="shared" si="30"/>
        <v>49700</v>
      </c>
      <c r="K673" s="4" t="str">
        <f t="shared" si="31"/>
        <v>2024-03</v>
      </c>
      <c r="L673" s="4" t="str">
        <f t="shared" si="32"/>
        <v>화</v>
      </c>
      <c r="M673" s="2" t="str">
        <f>VLOOKUP($C673, 고객정보!$A$2:$E$151, 2, FALSE)</f>
        <v>서울</v>
      </c>
      <c r="N673" t="str">
        <f>VLOOKUP(C673,고객정보!$A$2:$D$151,4,FALSE)</f>
        <v>L5</v>
      </c>
      <c r="O673" t="str">
        <f>VLOOKUP($C673, 고객정보!$A$2:$E$151, 5, FALSE)</f>
        <v>30대</v>
      </c>
      <c r="P673" t="str">
        <f>VLOOKUP(D673,상품정보!$A$2:$E$61,2,FALSE)</f>
        <v>셔츠</v>
      </c>
      <c r="Q673" t="str">
        <f>VLOOKUP(D673,상품정보!$A$2:$D$151,3,FALSE)</f>
        <v>의류</v>
      </c>
      <c r="R673" t="str">
        <f>VLOOKUP(D673,상품정보!$A$2:$D$151,4,FALSE)</f>
        <v>브랜드E</v>
      </c>
    </row>
    <row r="674" spans="1:18" x14ac:dyDescent="0.45">
      <c r="A674" t="s">
        <v>251</v>
      </c>
      <c r="B674" t="s">
        <v>1073</v>
      </c>
      <c r="C674" t="s">
        <v>2462</v>
      </c>
      <c r="D674" t="s">
        <v>2574</v>
      </c>
      <c r="E674">
        <v>5</v>
      </c>
      <c r="F674">
        <v>8600</v>
      </c>
      <c r="G674">
        <v>0</v>
      </c>
      <c r="H674">
        <v>0</v>
      </c>
      <c r="I674" t="s">
        <v>2652</v>
      </c>
      <c r="J674" s="4">
        <f t="shared" si="30"/>
        <v>43000</v>
      </c>
      <c r="K674" s="4" t="str">
        <f t="shared" si="31"/>
        <v>2024-07</v>
      </c>
      <c r="L674" s="4" t="str">
        <f t="shared" si="32"/>
        <v>수</v>
      </c>
      <c r="M674" s="2" t="str">
        <f>VLOOKUP($C674, 고객정보!$A$2:$E$151, 2, FALSE)</f>
        <v>광주</v>
      </c>
      <c r="N674" t="str">
        <f>VLOOKUP(C674,고객정보!$A$2:$D$151,4,FALSE)</f>
        <v>L5</v>
      </c>
      <c r="O674" t="str">
        <f>VLOOKUP($C674, 고객정보!$A$2:$E$151, 5, FALSE)</f>
        <v>50대 이상</v>
      </c>
      <c r="P674" t="str">
        <f>VLOOKUP(D674,상품정보!$A$2:$E$61,2,FALSE)</f>
        <v>셔츠</v>
      </c>
      <c r="Q674" t="str">
        <f>VLOOKUP(D674,상품정보!$A$2:$D$151,3,FALSE)</f>
        <v>의류</v>
      </c>
      <c r="R674" t="str">
        <f>VLOOKUP(D674,상품정보!$A$2:$D$151,4,FALSE)</f>
        <v>브랜드D</v>
      </c>
    </row>
    <row r="675" spans="1:18" x14ac:dyDescent="0.45">
      <c r="A675" t="s">
        <v>211</v>
      </c>
      <c r="B675" t="s">
        <v>1074</v>
      </c>
      <c r="C675" t="s">
        <v>2515</v>
      </c>
      <c r="D675" t="s">
        <v>2606</v>
      </c>
      <c r="E675">
        <v>5</v>
      </c>
      <c r="F675">
        <v>15000</v>
      </c>
      <c r="G675">
        <v>0</v>
      </c>
      <c r="H675">
        <v>0</v>
      </c>
      <c r="I675" t="s">
        <v>2652</v>
      </c>
      <c r="J675" s="4">
        <f t="shared" si="30"/>
        <v>75000</v>
      </c>
      <c r="K675" s="4" t="str">
        <f t="shared" si="31"/>
        <v>2024-08</v>
      </c>
      <c r="L675" s="4" t="str">
        <f t="shared" si="32"/>
        <v>목</v>
      </c>
      <c r="M675" s="2" t="str">
        <f>VLOOKUP($C675, 고객정보!$A$2:$E$151, 2, FALSE)</f>
        <v>부산</v>
      </c>
      <c r="N675" t="str">
        <f>VLOOKUP(C675,고객정보!$A$2:$D$151,4,FALSE)</f>
        <v>L5</v>
      </c>
      <c r="O675" t="str">
        <f>VLOOKUP($C675, 고객정보!$A$2:$E$151, 5, FALSE)</f>
        <v>40대</v>
      </c>
      <c r="P675" t="str">
        <f>VLOOKUP(D675,상품정보!$A$2:$E$61,2,FALSE)</f>
        <v>귀걸이</v>
      </c>
      <c r="Q675" t="str">
        <f>VLOOKUP(D675,상품정보!$A$2:$D$151,3,FALSE)</f>
        <v>액세서리</v>
      </c>
      <c r="R675" t="str">
        <f>VLOOKUP(D675,상품정보!$A$2:$D$151,4,FALSE)</f>
        <v>브랜드E</v>
      </c>
    </row>
    <row r="676" spans="1:18" x14ac:dyDescent="0.45">
      <c r="A676" t="s">
        <v>190</v>
      </c>
      <c r="B676" t="s">
        <v>1075</v>
      </c>
      <c r="C676" t="s">
        <v>2436</v>
      </c>
      <c r="D676" t="s">
        <v>2570</v>
      </c>
      <c r="E676">
        <v>2</v>
      </c>
      <c r="F676">
        <v>73900</v>
      </c>
      <c r="G676">
        <v>0</v>
      </c>
      <c r="H676">
        <v>0</v>
      </c>
      <c r="I676" t="s">
        <v>2652</v>
      </c>
      <c r="J676" s="4">
        <f t="shared" si="30"/>
        <v>147800</v>
      </c>
      <c r="K676" s="4" t="str">
        <f t="shared" si="31"/>
        <v>2025-01</v>
      </c>
      <c r="L676" s="4" t="str">
        <f t="shared" si="32"/>
        <v>토</v>
      </c>
      <c r="M676" s="2" t="str">
        <f>VLOOKUP($C676, 고객정보!$A$2:$E$151, 2, FALSE)</f>
        <v>인천</v>
      </c>
      <c r="N676" t="str">
        <f>VLOOKUP(C676,고객정보!$A$2:$D$151,4,FALSE)</f>
        <v>L4</v>
      </c>
      <c r="O676" t="str">
        <f>VLOOKUP($C676, 고객정보!$A$2:$E$151, 5, FALSE)</f>
        <v>10대</v>
      </c>
      <c r="P676" t="str">
        <f>VLOOKUP(D676,상품정보!$A$2:$E$61,2,FALSE)</f>
        <v>반지</v>
      </c>
      <c r="Q676" t="str">
        <f>VLOOKUP(D676,상품정보!$A$2:$D$151,3,FALSE)</f>
        <v>액세서리</v>
      </c>
      <c r="R676" t="str">
        <f>VLOOKUP(D676,상품정보!$A$2:$D$151,4,FALSE)</f>
        <v>브랜드B</v>
      </c>
    </row>
    <row r="677" spans="1:18" x14ac:dyDescent="0.45">
      <c r="A677" t="s">
        <v>324</v>
      </c>
      <c r="B677" t="s">
        <v>1076</v>
      </c>
      <c r="C677" t="s">
        <v>2427</v>
      </c>
      <c r="D677" t="s">
        <v>2579</v>
      </c>
      <c r="E677">
        <v>5</v>
      </c>
      <c r="F677">
        <v>51000</v>
      </c>
      <c r="G677">
        <v>0</v>
      </c>
      <c r="H677">
        <v>5000</v>
      </c>
      <c r="I677" t="s">
        <v>2611</v>
      </c>
      <c r="J677" s="4">
        <f t="shared" si="30"/>
        <v>250000</v>
      </c>
      <c r="K677" s="4" t="str">
        <f t="shared" si="31"/>
        <v>2024-02</v>
      </c>
      <c r="L677" s="4" t="str">
        <f t="shared" si="32"/>
        <v>일</v>
      </c>
      <c r="M677" s="2" t="str">
        <f>VLOOKUP($C677, 고객정보!$A$2:$E$151, 2, FALSE)</f>
        <v>부산</v>
      </c>
      <c r="N677" t="str">
        <f>VLOOKUP(C677,고객정보!$A$2:$D$151,4,FALSE)</f>
        <v>L4</v>
      </c>
      <c r="O677" t="str">
        <f>VLOOKUP($C677, 고객정보!$A$2:$E$151, 5, FALSE)</f>
        <v>20대</v>
      </c>
      <c r="P677" t="str">
        <f>VLOOKUP(D677,상품정보!$A$2:$E$61,2,FALSE)</f>
        <v>핸드폰케이스</v>
      </c>
      <c r="Q677" t="str">
        <f>VLOOKUP(D677,상품정보!$A$2:$D$151,3,FALSE)</f>
        <v>액세서리</v>
      </c>
      <c r="R677" t="str">
        <f>VLOOKUP(D677,상품정보!$A$2:$D$151,4,FALSE)</f>
        <v>브랜드F</v>
      </c>
    </row>
    <row r="678" spans="1:18" x14ac:dyDescent="0.45">
      <c r="A678" t="s">
        <v>22</v>
      </c>
      <c r="B678" t="s">
        <v>1077</v>
      </c>
      <c r="C678" t="s">
        <v>2513</v>
      </c>
      <c r="D678" t="s">
        <v>2556</v>
      </c>
      <c r="E678">
        <v>5</v>
      </c>
      <c r="F678">
        <v>70100</v>
      </c>
      <c r="G678">
        <v>500</v>
      </c>
      <c r="H678">
        <v>0</v>
      </c>
      <c r="I678" t="s">
        <v>2652</v>
      </c>
      <c r="J678" s="4">
        <f t="shared" si="30"/>
        <v>351000</v>
      </c>
      <c r="K678" s="4" t="str">
        <f t="shared" si="31"/>
        <v>2024-12</v>
      </c>
      <c r="L678" s="4" t="str">
        <f t="shared" si="32"/>
        <v>목</v>
      </c>
      <c r="M678" s="2" t="str">
        <f>VLOOKUP($C678, 고객정보!$A$2:$E$151, 2, FALSE)</f>
        <v>수원</v>
      </c>
      <c r="N678" t="str">
        <f>VLOOKUP(C678,고객정보!$A$2:$D$151,4,FALSE)</f>
        <v>L5</v>
      </c>
      <c r="O678" t="str">
        <f>VLOOKUP($C678, 고객정보!$A$2:$E$151, 5, FALSE)</f>
        <v>20대</v>
      </c>
      <c r="P678" t="str">
        <f>VLOOKUP(D678,상품정보!$A$2:$E$61,2,FALSE)</f>
        <v>핸드폰케이스</v>
      </c>
      <c r="Q678" t="str">
        <f>VLOOKUP(D678,상품정보!$A$2:$D$151,3,FALSE)</f>
        <v>액세서리</v>
      </c>
      <c r="R678" t="str">
        <f>VLOOKUP(D678,상품정보!$A$2:$D$151,4,FALSE)</f>
        <v>브랜드F</v>
      </c>
    </row>
    <row r="679" spans="1:18" x14ac:dyDescent="0.45">
      <c r="A679" t="s">
        <v>50</v>
      </c>
      <c r="B679" t="s">
        <v>1078</v>
      </c>
      <c r="C679" t="s">
        <v>2415</v>
      </c>
      <c r="D679" t="s">
        <v>2571</v>
      </c>
      <c r="E679">
        <v>5</v>
      </c>
      <c r="F679">
        <v>55600</v>
      </c>
      <c r="G679">
        <v>500</v>
      </c>
      <c r="H679">
        <v>0</v>
      </c>
      <c r="I679" t="s">
        <v>2652</v>
      </c>
      <c r="J679" s="4">
        <f t="shared" si="30"/>
        <v>278500</v>
      </c>
      <c r="K679" s="4" t="str">
        <f t="shared" si="31"/>
        <v>2024-02</v>
      </c>
      <c r="L679" s="4" t="str">
        <f t="shared" si="32"/>
        <v>화</v>
      </c>
      <c r="M679" s="2" t="str">
        <f>VLOOKUP($C679, 고객정보!$A$2:$E$151, 2, FALSE)</f>
        <v>광주</v>
      </c>
      <c r="N679" t="str">
        <f>VLOOKUP(C679,고객정보!$A$2:$D$151,4,FALSE)</f>
        <v>L3</v>
      </c>
      <c r="O679" t="str">
        <f>VLOOKUP($C679, 고객정보!$A$2:$E$151, 5, FALSE)</f>
        <v>30대</v>
      </c>
      <c r="P679" t="str">
        <f>VLOOKUP(D679,상품정보!$A$2:$E$61,2,FALSE)</f>
        <v>자켓</v>
      </c>
      <c r="Q679" t="str">
        <f>VLOOKUP(D679,상품정보!$A$2:$D$151,3,FALSE)</f>
        <v>의류</v>
      </c>
      <c r="R679" t="str">
        <f>VLOOKUP(D679,상품정보!$A$2:$D$151,4,FALSE)</f>
        <v>브랜드B</v>
      </c>
    </row>
    <row r="680" spans="1:18" x14ac:dyDescent="0.45">
      <c r="A680" t="s">
        <v>248</v>
      </c>
      <c r="B680" t="s">
        <v>1079</v>
      </c>
      <c r="C680" t="s">
        <v>2497</v>
      </c>
      <c r="D680" t="s">
        <v>2569</v>
      </c>
      <c r="E680">
        <v>5</v>
      </c>
      <c r="F680">
        <v>11400</v>
      </c>
      <c r="G680">
        <v>0</v>
      </c>
      <c r="H680">
        <v>8100</v>
      </c>
      <c r="I680" t="s">
        <v>2614</v>
      </c>
      <c r="J680" s="4">
        <f t="shared" si="30"/>
        <v>48900</v>
      </c>
      <c r="K680" s="4" t="str">
        <f t="shared" si="31"/>
        <v>2024-09</v>
      </c>
      <c r="L680" s="4" t="str">
        <f t="shared" si="32"/>
        <v>일</v>
      </c>
      <c r="M680" s="2" t="str">
        <f>VLOOKUP($C680, 고객정보!$A$2:$E$151, 2, FALSE)</f>
        <v>서울</v>
      </c>
      <c r="N680" t="str">
        <f>VLOOKUP(C680,고객정보!$A$2:$D$151,4,FALSE)</f>
        <v>L3</v>
      </c>
      <c r="O680" t="str">
        <f>VLOOKUP($C680, 고객정보!$A$2:$E$151, 5, FALSE)</f>
        <v>10대</v>
      </c>
      <c r="P680" t="str">
        <f>VLOOKUP(D680,상품정보!$A$2:$E$61,2,FALSE)</f>
        <v>귀걸이</v>
      </c>
      <c r="Q680" t="str">
        <f>VLOOKUP(D680,상품정보!$A$2:$D$151,3,FALSE)</f>
        <v>액세서리</v>
      </c>
      <c r="R680" t="str">
        <f>VLOOKUP(D680,상품정보!$A$2:$D$151,4,FALSE)</f>
        <v>브랜드E</v>
      </c>
    </row>
    <row r="681" spans="1:18" x14ac:dyDescent="0.45">
      <c r="A681" t="s">
        <v>213</v>
      </c>
      <c r="B681" t="s">
        <v>1080</v>
      </c>
      <c r="C681" t="s">
        <v>2448</v>
      </c>
      <c r="D681" t="s">
        <v>2563</v>
      </c>
      <c r="E681">
        <v>5</v>
      </c>
      <c r="F681">
        <v>6900</v>
      </c>
      <c r="G681">
        <v>2000</v>
      </c>
      <c r="H681">
        <v>1000</v>
      </c>
      <c r="I681" t="s">
        <v>2613</v>
      </c>
      <c r="J681" s="4">
        <f t="shared" si="30"/>
        <v>35500</v>
      </c>
      <c r="K681" s="4" t="str">
        <f t="shared" si="31"/>
        <v>2024-03</v>
      </c>
      <c r="L681" s="4" t="str">
        <f t="shared" si="32"/>
        <v>일</v>
      </c>
      <c r="M681" s="2" t="str">
        <f>VLOOKUP($C681, 고객정보!$A$2:$E$151, 2, FALSE)</f>
        <v>광주</v>
      </c>
      <c r="N681" t="str">
        <f>VLOOKUP(C681,고객정보!$A$2:$D$151,4,FALSE)</f>
        <v>L3</v>
      </c>
      <c r="O681" t="str">
        <f>VLOOKUP($C681, 고객정보!$A$2:$E$151, 5, FALSE)</f>
        <v>50대 이상</v>
      </c>
      <c r="P681" t="str">
        <f>VLOOKUP(D681,상품정보!$A$2:$E$61,2,FALSE)</f>
        <v>귀걸이</v>
      </c>
      <c r="Q681" t="str">
        <f>VLOOKUP(D681,상품정보!$A$2:$D$151,3,FALSE)</f>
        <v>액세서리</v>
      </c>
      <c r="R681" t="str">
        <f>VLOOKUP(D681,상품정보!$A$2:$D$151,4,FALSE)</f>
        <v>브랜드D</v>
      </c>
    </row>
    <row r="682" spans="1:18" x14ac:dyDescent="0.45">
      <c r="A682" t="s">
        <v>118</v>
      </c>
      <c r="B682" t="s">
        <v>1081</v>
      </c>
      <c r="C682" t="s">
        <v>2499</v>
      </c>
      <c r="D682" t="s">
        <v>2597</v>
      </c>
      <c r="E682">
        <v>5</v>
      </c>
      <c r="F682">
        <v>65300</v>
      </c>
      <c r="G682">
        <v>500</v>
      </c>
      <c r="H682">
        <v>5600</v>
      </c>
      <c r="I682" t="s">
        <v>2611</v>
      </c>
      <c r="J682" s="4">
        <f t="shared" si="30"/>
        <v>321400</v>
      </c>
      <c r="K682" s="4" t="str">
        <f t="shared" si="31"/>
        <v>2024-08</v>
      </c>
      <c r="L682" s="4" t="str">
        <f t="shared" si="32"/>
        <v>수</v>
      </c>
      <c r="M682" s="2" t="str">
        <f>VLOOKUP($C682, 고객정보!$A$2:$E$151, 2, FALSE)</f>
        <v>서울</v>
      </c>
      <c r="N682" t="str">
        <f>VLOOKUP(C682,고객정보!$A$2:$D$151,4,FALSE)</f>
        <v>L2</v>
      </c>
      <c r="O682" t="str">
        <f>VLOOKUP($C682, 고객정보!$A$2:$E$151, 5, FALSE)</f>
        <v>40대</v>
      </c>
      <c r="P682" t="str">
        <f>VLOOKUP(D682,상품정보!$A$2:$E$61,2,FALSE)</f>
        <v>반지</v>
      </c>
      <c r="Q682" t="str">
        <f>VLOOKUP(D682,상품정보!$A$2:$D$151,3,FALSE)</f>
        <v>액세서리</v>
      </c>
      <c r="R682" t="str">
        <f>VLOOKUP(D682,상품정보!$A$2:$D$151,4,FALSE)</f>
        <v>브랜드F</v>
      </c>
    </row>
    <row r="683" spans="1:18" x14ac:dyDescent="0.45">
      <c r="A683" t="s">
        <v>321</v>
      </c>
      <c r="B683" t="s">
        <v>1082</v>
      </c>
      <c r="C683" t="s">
        <v>2504</v>
      </c>
      <c r="D683" t="s">
        <v>2579</v>
      </c>
      <c r="E683">
        <v>2</v>
      </c>
      <c r="F683">
        <v>51000</v>
      </c>
      <c r="G683">
        <v>1500</v>
      </c>
      <c r="H683">
        <v>0</v>
      </c>
      <c r="I683" t="s">
        <v>2652</v>
      </c>
      <c r="J683" s="4">
        <f t="shared" si="30"/>
        <v>103500</v>
      </c>
      <c r="K683" s="4" t="str">
        <f t="shared" si="31"/>
        <v>2025-01</v>
      </c>
      <c r="L683" s="4" t="str">
        <f t="shared" si="32"/>
        <v>목</v>
      </c>
      <c r="M683" s="2" t="str">
        <f>VLOOKUP($C683, 고객정보!$A$2:$E$151, 2, FALSE)</f>
        <v>서울</v>
      </c>
      <c r="N683" t="str">
        <f>VLOOKUP(C683,고객정보!$A$2:$D$151,4,FALSE)</f>
        <v>L1</v>
      </c>
      <c r="O683" t="str">
        <f>VLOOKUP($C683, 고객정보!$A$2:$E$151, 5, FALSE)</f>
        <v>40대</v>
      </c>
      <c r="P683" t="str">
        <f>VLOOKUP(D683,상품정보!$A$2:$E$61,2,FALSE)</f>
        <v>핸드폰케이스</v>
      </c>
      <c r="Q683" t="str">
        <f>VLOOKUP(D683,상품정보!$A$2:$D$151,3,FALSE)</f>
        <v>액세서리</v>
      </c>
      <c r="R683" t="str">
        <f>VLOOKUP(D683,상품정보!$A$2:$D$151,4,FALSE)</f>
        <v>브랜드F</v>
      </c>
    </row>
    <row r="684" spans="1:18" x14ac:dyDescent="0.45">
      <c r="A684" t="s">
        <v>325</v>
      </c>
      <c r="B684" t="s">
        <v>1083</v>
      </c>
      <c r="C684" t="s">
        <v>2429</v>
      </c>
      <c r="D684" t="s">
        <v>2583</v>
      </c>
      <c r="E684">
        <v>1</v>
      </c>
      <c r="F684">
        <v>6600</v>
      </c>
      <c r="G684">
        <v>500</v>
      </c>
      <c r="H684">
        <v>0</v>
      </c>
      <c r="I684" t="s">
        <v>2652</v>
      </c>
      <c r="J684" s="4">
        <f t="shared" si="30"/>
        <v>7100</v>
      </c>
      <c r="K684" s="4" t="str">
        <f t="shared" si="31"/>
        <v>2024-09</v>
      </c>
      <c r="L684" s="4" t="str">
        <f t="shared" si="32"/>
        <v>수</v>
      </c>
      <c r="M684" s="2" t="str">
        <f>VLOOKUP($C684, 고객정보!$A$2:$E$151, 2, FALSE)</f>
        <v>서울</v>
      </c>
      <c r="N684" t="str">
        <f>VLOOKUP(C684,고객정보!$A$2:$D$151,4,FALSE)</f>
        <v>L1</v>
      </c>
      <c r="O684" t="str">
        <f>VLOOKUP($C684, 고객정보!$A$2:$E$151, 5, FALSE)</f>
        <v>10대</v>
      </c>
      <c r="P684" t="str">
        <f>VLOOKUP(D684,상품정보!$A$2:$E$61,2,FALSE)</f>
        <v>셔츠</v>
      </c>
      <c r="Q684" t="str">
        <f>VLOOKUP(D684,상품정보!$A$2:$D$151,3,FALSE)</f>
        <v>의류</v>
      </c>
      <c r="R684" t="str">
        <f>VLOOKUP(D684,상품정보!$A$2:$D$151,4,FALSE)</f>
        <v>브랜드E</v>
      </c>
    </row>
    <row r="685" spans="1:18" x14ac:dyDescent="0.45">
      <c r="A685" t="s">
        <v>234</v>
      </c>
      <c r="B685" t="s">
        <v>1084</v>
      </c>
      <c r="C685" t="s">
        <v>2457</v>
      </c>
      <c r="D685" t="s">
        <v>2570</v>
      </c>
      <c r="E685">
        <v>1</v>
      </c>
      <c r="F685">
        <v>73900</v>
      </c>
      <c r="G685">
        <v>1500</v>
      </c>
      <c r="H685">
        <v>0</v>
      </c>
      <c r="I685" t="s">
        <v>2652</v>
      </c>
      <c r="J685" s="4">
        <f t="shared" si="30"/>
        <v>75400</v>
      </c>
      <c r="K685" s="4" t="str">
        <f t="shared" si="31"/>
        <v>2024-08</v>
      </c>
      <c r="L685" s="4" t="str">
        <f t="shared" si="32"/>
        <v>화</v>
      </c>
      <c r="M685" s="2" t="str">
        <f>VLOOKUP($C685, 고객정보!$A$2:$E$151, 2, FALSE)</f>
        <v>인천</v>
      </c>
      <c r="N685" t="str">
        <f>VLOOKUP(C685,고객정보!$A$2:$D$151,4,FALSE)</f>
        <v>L4</v>
      </c>
      <c r="O685" t="str">
        <f>VLOOKUP($C685, 고객정보!$A$2:$E$151, 5, FALSE)</f>
        <v>50대 이상</v>
      </c>
      <c r="P685" t="str">
        <f>VLOOKUP(D685,상품정보!$A$2:$E$61,2,FALSE)</f>
        <v>반지</v>
      </c>
      <c r="Q685" t="str">
        <f>VLOOKUP(D685,상품정보!$A$2:$D$151,3,FALSE)</f>
        <v>액세서리</v>
      </c>
      <c r="R685" t="str">
        <f>VLOOKUP(D685,상품정보!$A$2:$D$151,4,FALSE)</f>
        <v>브랜드B</v>
      </c>
    </row>
    <row r="686" spans="1:18" x14ac:dyDescent="0.45">
      <c r="A686" t="s">
        <v>219</v>
      </c>
      <c r="B686" t="s">
        <v>1085</v>
      </c>
      <c r="C686" t="s">
        <v>2469</v>
      </c>
      <c r="D686" t="s">
        <v>2554</v>
      </c>
      <c r="E686">
        <v>4</v>
      </c>
      <c r="F686">
        <v>12100</v>
      </c>
      <c r="G686">
        <v>0</v>
      </c>
      <c r="H686">
        <v>2200</v>
      </c>
      <c r="I686" t="s">
        <v>2612</v>
      </c>
      <c r="J686" s="4">
        <f t="shared" si="30"/>
        <v>46200</v>
      </c>
      <c r="K686" s="4" t="str">
        <f t="shared" si="31"/>
        <v>2024-08</v>
      </c>
      <c r="L686" s="4" t="str">
        <f t="shared" si="32"/>
        <v>수</v>
      </c>
      <c r="M686" s="2" t="str">
        <f>VLOOKUP($C686, 고객정보!$A$2:$E$151, 2, FALSE)</f>
        <v>수원</v>
      </c>
      <c r="N686" t="str">
        <f>VLOOKUP(C686,고객정보!$A$2:$D$151,4,FALSE)</f>
        <v>L5</v>
      </c>
      <c r="O686" t="str">
        <f>VLOOKUP($C686, 고객정보!$A$2:$E$151, 5, FALSE)</f>
        <v>20대</v>
      </c>
      <c r="P686" t="str">
        <f>VLOOKUP(D686,상품정보!$A$2:$E$61,2,FALSE)</f>
        <v>귀걸이</v>
      </c>
      <c r="Q686" t="str">
        <f>VLOOKUP(D686,상품정보!$A$2:$D$151,3,FALSE)</f>
        <v>액세서리</v>
      </c>
      <c r="R686" t="str">
        <f>VLOOKUP(D686,상품정보!$A$2:$D$151,4,FALSE)</f>
        <v>브랜드D</v>
      </c>
    </row>
    <row r="687" spans="1:18" x14ac:dyDescent="0.45">
      <c r="A687" t="s">
        <v>207</v>
      </c>
      <c r="B687" t="s">
        <v>1086</v>
      </c>
      <c r="C687" t="s">
        <v>2500</v>
      </c>
      <c r="D687" t="s">
        <v>2596</v>
      </c>
      <c r="E687">
        <v>5</v>
      </c>
      <c r="F687">
        <v>59700</v>
      </c>
      <c r="G687">
        <v>0</v>
      </c>
      <c r="H687">
        <v>0</v>
      </c>
      <c r="I687" t="s">
        <v>2652</v>
      </c>
      <c r="J687" s="4">
        <f t="shared" si="30"/>
        <v>298500</v>
      </c>
      <c r="K687" s="4" t="str">
        <f t="shared" si="31"/>
        <v>2024-08</v>
      </c>
      <c r="L687" s="4" t="str">
        <f t="shared" si="32"/>
        <v>토</v>
      </c>
      <c r="M687" s="2" t="str">
        <f>VLOOKUP($C687, 고객정보!$A$2:$E$151, 2, FALSE)</f>
        <v>서울</v>
      </c>
      <c r="N687" t="str">
        <f>VLOOKUP(C687,고객정보!$A$2:$D$151,4,FALSE)</f>
        <v>L3</v>
      </c>
      <c r="O687" t="str">
        <f>VLOOKUP($C687, 고객정보!$A$2:$E$151, 5, FALSE)</f>
        <v>20대</v>
      </c>
      <c r="P687" t="str">
        <f>VLOOKUP(D687,상품정보!$A$2:$E$61,2,FALSE)</f>
        <v>청바지</v>
      </c>
      <c r="Q687" t="str">
        <f>VLOOKUP(D687,상품정보!$A$2:$D$151,3,FALSE)</f>
        <v>의류</v>
      </c>
      <c r="R687" t="str">
        <f>VLOOKUP(D687,상품정보!$A$2:$D$151,4,FALSE)</f>
        <v>브랜드A</v>
      </c>
    </row>
    <row r="688" spans="1:18" x14ac:dyDescent="0.45">
      <c r="A688" t="s">
        <v>34</v>
      </c>
      <c r="B688" t="s">
        <v>1087</v>
      </c>
      <c r="C688" t="s">
        <v>2479</v>
      </c>
      <c r="D688" t="s">
        <v>2586</v>
      </c>
      <c r="E688">
        <v>1</v>
      </c>
      <c r="F688">
        <v>73000</v>
      </c>
      <c r="G688">
        <v>500</v>
      </c>
      <c r="H688">
        <v>0</v>
      </c>
      <c r="I688" t="s">
        <v>2652</v>
      </c>
      <c r="J688" s="4">
        <f t="shared" si="30"/>
        <v>73500</v>
      </c>
      <c r="K688" s="4" t="str">
        <f t="shared" si="31"/>
        <v>2024-07</v>
      </c>
      <c r="L688" s="4" t="str">
        <f t="shared" si="32"/>
        <v>일</v>
      </c>
      <c r="M688" s="2" t="str">
        <f>VLOOKUP($C688, 고객정보!$A$2:$E$151, 2, FALSE)</f>
        <v>부산</v>
      </c>
      <c r="N688" t="str">
        <f>VLOOKUP(C688,고객정보!$A$2:$D$151,4,FALSE)</f>
        <v>L2</v>
      </c>
      <c r="O688" t="str">
        <f>VLOOKUP($C688, 고객정보!$A$2:$E$151, 5, FALSE)</f>
        <v>10대</v>
      </c>
      <c r="P688" t="str">
        <f>VLOOKUP(D688,상품정보!$A$2:$E$61,2,FALSE)</f>
        <v>귀걸이</v>
      </c>
      <c r="Q688" t="str">
        <f>VLOOKUP(D688,상품정보!$A$2:$D$151,3,FALSE)</f>
        <v>액세서리</v>
      </c>
      <c r="R688" t="str">
        <f>VLOOKUP(D688,상품정보!$A$2:$D$151,4,FALSE)</f>
        <v>브랜드B</v>
      </c>
    </row>
    <row r="689" spans="1:18" x14ac:dyDescent="0.45">
      <c r="A689" t="s">
        <v>216</v>
      </c>
      <c r="B689" t="s">
        <v>1088</v>
      </c>
      <c r="C689" t="s">
        <v>2505</v>
      </c>
      <c r="D689" t="s">
        <v>2602</v>
      </c>
      <c r="E689">
        <v>1</v>
      </c>
      <c r="F689">
        <v>59900</v>
      </c>
      <c r="G689">
        <v>1000</v>
      </c>
      <c r="H689">
        <v>0</v>
      </c>
      <c r="I689" t="s">
        <v>2652</v>
      </c>
      <c r="J689" s="4">
        <f t="shared" si="30"/>
        <v>60900</v>
      </c>
      <c r="K689" s="4" t="str">
        <f t="shared" si="31"/>
        <v>2025-01</v>
      </c>
      <c r="L689" s="4" t="str">
        <f t="shared" si="32"/>
        <v>목</v>
      </c>
      <c r="M689" s="2" t="str">
        <f>VLOOKUP($C689, 고객정보!$A$2:$E$151, 2, FALSE)</f>
        <v>대구</v>
      </c>
      <c r="N689" t="str">
        <f>VLOOKUP(C689,고객정보!$A$2:$D$151,4,FALSE)</f>
        <v>L4</v>
      </c>
      <c r="O689" t="str">
        <f>VLOOKUP($C689, 고객정보!$A$2:$E$151, 5, FALSE)</f>
        <v>40대</v>
      </c>
      <c r="P689" t="str">
        <f>VLOOKUP(D689,상품정보!$A$2:$E$61,2,FALSE)</f>
        <v>셔츠</v>
      </c>
      <c r="Q689" t="str">
        <f>VLOOKUP(D689,상품정보!$A$2:$D$151,3,FALSE)</f>
        <v>의류</v>
      </c>
      <c r="R689" t="str">
        <f>VLOOKUP(D689,상품정보!$A$2:$D$151,4,FALSE)</f>
        <v>브랜드A</v>
      </c>
    </row>
    <row r="690" spans="1:18" x14ac:dyDescent="0.45">
      <c r="A690" t="s">
        <v>181</v>
      </c>
      <c r="B690" t="s">
        <v>1089</v>
      </c>
      <c r="C690" t="s">
        <v>2410</v>
      </c>
      <c r="D690" t="s">
        <v>2589</v>
      </c>
      <c r="E690">
        <v>1</v>
      </c>
      <c r="F690">
        <v>71400</v>
      </c>
      <c r="G690">
        <v>500</v>
      </c>
      <c r="H690">
        <v>4700</v>
      </c>
      <c r="I690" t="s">
        <v>2611</v>
      </c>
      <c r="J690" s="4">
        <f t="shared" si="30"/>
        <v>67200</v>
      </c>
      <c r="K690" s="4" t="str">
        <f t="shared" si="31"/>
        <v>2024-01</v>
      </c>
      <c r="L690" s="4" t="str">
        <f t="shared" si="32"/>
        <v>수</v>
      </c>
      <c r="M690" s="2" t="str">
        <f>VLOOKUP($C690, 고객정보!$A$2:$E$151, 2, FALSE)</f>
        <v>대전</v>
      </c>
      <c r="N690" t="str">
        <f>VLOOKUP(C690,고객정보!$A$2:$D$151,4,FALSE)</f>
        <v>L2</v>
      </c>
      <c r="O690" t="str">
        <f>VLOOKUP($C690, 고객정보!$A$2:$E$151, 5, FALSE)</f>
        <v>10대</v>
      </c>
      <c r="P690" t="str">
        <f>VLOOKUP(D690,상품정보!$A$2:$E$61,2,FALSE)</f>
        <v>셔츠</v>
      </c>
      <c r="Q690" t="str">
        <f>VLOOKUP(D690,상품정보!$A$2:$D$151,3,FALSE)</f>
        <v>의류</v>
      </c>
      <c r="R690" t="str">
        <f>VLOOKUP(D690,상품정보!$A$2:$D$151,4,FALSE)</f>
        <v>브랜드A</v>
      </c>
    </row>
    <row r="691" spans="1:18" x14ac:dyDescent="0.45">
      <c r="A691" t="s">
        <v>326</v>
      </c>
      <c r="B691" t="s">
        <v>1090</v>
      </c>
      <c r="C691" t="s">
        <v>2409</v>
      </c>
      <c r="D691" t="s">
        <v>2603</v>
      </c>
      <c r="E691">
        <v>1</v>
      </c>
      <c r="F691">
        <v>8200</v>
      </c>
      <c r="G691">
        <v>500</v>
      </c>
      <c r="H691">
        <v>0</v>
      </c>
      <c r="I691" t="s">
        <v>2652</v>
      </c>
      <c r="J691" s="4">
        <f t="shared" si="30"/>
        <v>8700</v>
      </c>
      <c r="K691" s="4" t="str">
        <f t="shared" si="31"/>
        <v>2024-10</v>
      </c>
      <c r="L691" s="4" t="str">
        <f t="shared" si="32"/>
        <v>금</v>
      </c>
      <c r="M691" s="2" t="str">
        <f>VLOOKUP($C691, 고객정보!$A$2:$E$151, 2, FALSE)</f>
        <v>서울</v>
      </c>
      <c r="N691" t="str">
        <f>VLOOKUP(C691,고객정보!$A$2:$D$151,4,FALSE)</f>
        <v>L3</v>
      </c>
      <c r="O691" t="str">
        <f>VLOOKUP($C691, 고객정보!$A$2:$E$151, 5, FALSE)</f>
        <v>50대 이상</v>
      </c>
      <c r="P691" t="str">
        <f>VLOOKUP(D691,상품정보!$A$2:$E$61,2,FALSE)</f>
        <v>목걸이</v>
      </c>
      <c r="Q691" t="str">
        <f>VLOOKUP(D691,상품정보!$A$2:$D$151,3,FALSE)</f>
        <v>액세서리</v>
      </c>
      <c r="R691" t="str">
        <f>VLOOKUP(D691,상품정보!$A$2:$D$151,4,FALSE)</f>
        <v>브랜드E</v>
      </c>
    </row>
    <row r="692" spans="1:18" x14ac:dyDescent="0.45">
      <c r="A692" t="s">
        <v>211</v>
      </c>
      <c r="B692" t="s">
        <v>1091</v>
      </c>
      <c r="C692" t="s">
        <v>2497</v>
      </c>
      <c r="D692" t="s">
        <v>2568</v>
      </c>
      <c r="E692">
        <v>1</v>
      </c>
      <c r="F692">
        <v>16800</v>
      </c>
      <c r="G692">
        <v>0</v>
      </c>
      <c r="H692">
        <v>0</v>
      </c>
      <c r="I692" t="s">
        <v>2652</v>
      </c>
      <c r="J692" s="4">
        <f t="shared" si="30"/>
        <v>16800</v>
      </c>
      <c r="K692" s="4" t="str">
        <f t="shared" si="31"/>
        <v>2024-08</v>
      </c>
      <c r="L692" s="4" t="str">
        <f t="shared" si="32"/>
        <v>목</v>
      </c>
      <c r="M692" s="2" t="str">
        <f>VLOOKUP($C692, 고객정보!$A$2:$E$151, 2, FALSE)</f>
        <v>서울</v>
      </c>
      <c r="N692" t="str">
        <f>VLOOKUP(C692,고객정보!$A$2:$D$151,4,FALSE)</f>
        <v>L3</v>
      </c>
      <c r="O692" t="str">
        <f>VLOOKUP($C692, 고객정보!$A$2:$E$151, 5, FALSE)</f>
        <v>10대</v>
      </c>
      <c r="P692" t="str">
        <f>VLOOKUP(D692,상품정보!$A$2:$E$61,2,FALSE)</f>
        <v>청바지</v>
      </c>
      <c r="Q692" t="str">
        <f>VLOOKUP(D692,상품정보!$A$2:$D$151,3,FALSE)</f>
        <v>의류</v>
      </c>
      <c r="R692" t="str">
        <f>VLOOKUP(D692,상품정보!$A$2:$D$151,4,FALSE)</f>
        <v>브랜드C</v>
      </c>
    </row>
    <row r="693" spans="1:18" x14ac:dyDescent="0.45">
      <c r="A693" t="s">
        <v>327</v>
      </c>
      <c r="B693" t="s">
        <v>1092</v>
      </c>
      <c r="C693" t="s">
        <v>2404</v>
      </c>
      <c r="D693" t="s">
        <v>2595</v>
      </c>
      <c r="E693">
        <v>4</v>
      </c>
      <c r="F693">
        <v>12700</v>
      </c>
      <c r="G693">
        <v>1500</v>
      </c>
      <c r="H693">
        <v>0</v>
      </c>
      <c r="I693" t="s">
        <v>2652</v>
      </c>
      <c r="J693" s="4">
        <f t="shared" si="30"/>
        <v>52300</v>
      </c>
      <c r="K693" s="4" t="str">
        <f t="shared" si="31"/>
        <v>2024-04</v>
      </c>
      <c r="L693" s="4" t="str">
        <f t="shared" si="32"/>
        <v>화</v>
      </c>
      <c r="M693" s="2" t="str">
        <f>VLOOKUP($C693, 고객정보!$A$2:$E$151, 2, FALSE)</f>
        <v>대구</v>
      </c>
      <c r="N693" t="str">
        <f>VLOOKUP(C693,고객정보!$A$2:$D$151,4,FALSE)</f>
        <v>L1</v>
      </c>
      <c r="O693" t="str">
        <f>VLOOKUP($C693, 고객정보!$A$2:$E$151, 5, FALSE)</f>
        <v>30대</v>
      </c>
      <c r="P693" t="str">
        <f>VLOOKUP(D693,상품정보!$A$2:$E$61,2,FALSE)</f>
        <v>반지</v>
      </c>
      <c r="Q693" t="str">
        <f>VLOOKUP(D693,상품정보!$A$2:$D$151,3,FALSE)</f>
        <v>액세서리</v>
      </c>
      <c r="R693" t="str">
        <f>VLOOKUP(D693,상품정보!$A$2:$D$151,4,FALSE)</f>
        <v>브랜드C</v>
      </c>
    </row>
    <row r="694" spans="1:18" x14ac:dyDescent="0.45">
      <c r="A694" t="s">
        <v>251</v>
      </c>
      <c r="B694" t="s">
        <v>1093</v>
      </c>
      <c r="C694" t="s">
        <v>2525</v>
      </c>
      <c r="D694" t="s">
        <v>2587</v>
      </c>
      <c r="E694">
        <v>4</v>
      </c>
      <c r="F694">
        <v>50200</v>
      </c>
      <c r="G694">
        <v>0</v>
      </c>
      <c r="H694">
        <v>0</v>
      </c>
      <c r="I694" t="s">
        <v>2652</v>
      </c>
      <c r="J694" s="4">
        <f t="shared" si="30"/>
        <v>200800</v>
      </c>
      <c r="K694" s="4" t="str">
        <f t="shared" si="31"/>
        <v>2024-07</v>
      </c>
      <c r="L694" s="4" t="str">
        <f t="shared" si="32"/>
        <v>수</v>
      </c>
      <c r="M694" s="2" t="str">
        <f>VLOOKUP($C694, 고객정보!$A$2:$E$151, 2, FALSE)</f>
        <v>수원</v>
      </c>
      <c r="N694" t="str">
        <f>VLOOKUP(C694,고객정보!$A$2:$D$151,4,FALSE)</f>
        <v>L4</v>
      </c>
      <c r="O694" t="str">
        <f>VLOOKUP($C694, 고객정보!$A$2:$E$151, 5, FALSE)</f>
        <v>20대</v>
      </c>
      <c r="P694" t="str">
        <f>VLOOKUP(D694,상품정보!$A$2:$E$61,2,FALSE)</f>
        <v>반지</v>
      </c>
      <c r="Q694" t="str">
        <f>VLOOKUP(D694,상품정보!$A$2:$D$151,3,FALSE)</f>
        <v>액세서리</v>
      </c>
      <c r="R694" t="str">
        <f>VLOOKUP(D694,상품정보!$A$2:$D$151,4,FALSE)</f>
        <v>브랜드B</v>
      </c>
    </row>
    <row r="695" spans="1:18" x14ac:dyDescent="0.45">
      <c r="A695" t="s">
        <v>277</v>
      </c>
      <c r="B695" t="s">
        <v>1094</v>
      </c>
      <c r="C695" t="s">
        <v>2418</v>
      </c>
      <c r="D695" t="s">
        <v>2556</v>
      </c>
      <c r="E695">
        <v>4</v>
      </c>
      <c r="F695">
        <v>70100</v>
      </c>
      <c r="G695">
        <v>1000</v>
      </c>
      <c r="H695">
        <v>0</v>
      </c>
      <c r="I695" t="s">
        <v>2652</v>
      </c>
      <c r="J695" s="4">
        <f t="shared" si="30"/>
        <v>281400</v>
      </c>
      <c r="K695" s="4" t="str">
        <f t="shared" si="31"/>
        <v>2024-07</v>
      </c>
      <c r="L695" s="4" t="str">
        <f t="shared" si="32"/>
        <v>목</v>
      </c>
      <c r="M695" s="2" t="str">
        <f>VLOOKUP($C695, 고객정보!$A$2:$E$151, 2, FALSE)</f>
        <v>부산</v>
      </c>
      <c r="N695" t="str">
        <f>VLOOKUP(C695,고객정보!$A$2:$D$151,4,FALSE)</f>
        <v>L5</v>
      </c>
      <c r="O695" t="str">
        <f>VLOOKUP($C695, 고객정보!$A$2:$E$151, 5, FALSE)</f>
        <v>30대</v>
      </c>
      <c r="P695" t="str">
        <f>VLOOKUP(D695,상품정보!$A$2:$E$61,2,FALSE)</f>
        <v>핸드폰케이스</v>
      </c>
      <c r="Q695" t="str">
        <f>VLOOKUP(D695,상품정보!$A$2:$D$151,3,FALSE)</f>
        <v>액세서리</v>
      </c>
      <c r="R695" t="str">
        <f>VLOOKUP(D695,상품정보!$A$2:$D$151,4,FALSE)</f>
        <v>브랜드F</v>
      </c>
    </row>
    <row r="696" spans="1:18" x14ac:dyDescent="0.45">
      <c r="A696" t="s">
        <v>88</v>
      </c>
      <c r="B696" t="s">
        <v>1095</v>
      </c>
      <c r="C696" t="s">
        <v>2414</v>
      </c>
      <c r="D696" t="s">
        <v>2579</v>
      </c>
      <c r="E696">
        <v>5</v>
      </c>
      <c r="F696">
        <v>51000</v>
      </c>
      <c r="G696">
        <v>0</v>
      </c>
      <c r="H696">
        <v>0</v>
      </c>
      <c r="I696" t="s">
        <v>2652</v>
      </c>
      <c r="J696" s="4">
        <f t="shared" si="30"/>
        <v>255000</v>
      </c>
      <c r="K696" s="4" t="str">
        <f t="shared" si="31"/>
        <v>2024-03</v>
      </c>
      <c r="L696" s="4" t="str">
        <f t="shared" si="32"/>
        <v>토</v>
      </c>
      <c r="M696" s="2" t="str">
        <f>VLOOKUP($C696, 고객정보!$A$2:$E$151, 2, FALSE)</f>
        <v>대구</v>
      </c>
      <c r="N696" t="str">
        <f>VLOOKUP(C696,고객정보!$A$2:$D$151,4,FALSE)</f>
        <v>L3</v>
      </c>
      <c r="O696" t="str">
        <f>VLOOKUP($C696, 고객정보!$A$2:$E$151, 5, FALSE)</f>
        <v>30대</v>
      </c>
      <c r="P696" t="str">
        <f>VLOOKUP(D696,상품정보!$A$2:$E$61,2,FALSE)</f>
        <v>핸드폰케이스</v>
      </c>
      <c r="Q696" t="str">
        <f>VLOOKUP(D696,상품정보!$A$2:$D$151,3,FALSE)</f>
        <v>액세서리</v>
      </c>
      <c r="R696" t="str">
        <f>VLOOKUP(D696,상품정보!$A$2:$D$151,4,FALSE)</f>
        <v>브랜드F</v>
      </c>
    </row>
    <row r="697" spans="1:18" x14ac:dyDescent="0.45">
      <c r="A697" t="s">
        <v>36</v>
      </c>
      <c r="B697" t="s">
        <v>1096</v>
      </c>
      <c r="C697" t="s">
        <v>2542</v>
      </c>
      <c r="D697" t="s">
        <v>2580</v>
      </c>
      <c r="E697">
        <v>2</v>
      </c>
      <c r="F697">
        <v>77800</v>
      </c>
      <c r="G697">
        <v>0</v>
      </c>
      <c r="H697">
        <v>0</v>
      </c>
      <c r="I697" t="s">
        <v>2652</v>
      </c>
      <c r="J697" s="4">
        <f t="shared" si="30"/>
        <v>155600</v>
      </c>
      <c r="K697" s="4" t="str">
        <f t="shared" si="31"/>
        <v>2024-10</v>
      </c>
      <c r="L697" s="4" t="str">
        <f t="shared" si="32"/>
        <v>수</v>
      </c>
      <c r="M697" s="2" t="str">
        <f>VLOOKUP($C697, 고객정보!$A$2:$E$151, 2, FALSE)</f>
        <v>부산</v>
      </c>
      <c r="N697" t="str">
        <f>VLOOKUP(C697,고객정보!$A$2:$D$151,4,FALSE)</f>
        <v>L1</v>
      </c>
      <c r="O697" t="str">
        <f>VLOOKUP($C697, 고객정보!$A$2:$E$151, 5, FALSE)</f>
        <v>50대 이상</v>
      </c>
      <c r="P697" t="str">
        <f>VLOOKUP(D697,상품정보!$A$2:$E$61,2,FALSE)</f>
        <v>청바지</v>
      </c>
      <c r="Q697" t="str">
        <f>VLOOKUP(D697,상품정보!$A$2:$D$151,3,FALSE)</f>
        <v>의류</v>
      </c>
      <c r="R697" t="str">
        <f>VLOOKUP(D697,상품정보!$A$2:$D$151,4,FALSE)</f>
        <v>브랜드A</v>
      </c>
    </row>
    <row r="698" spans="1:18" x14ac:dyDescent="0.45">
      <c r="A698" t="s">
        <v>296</v>
      </c>
      <c r="B698" t="s">
        <v>1097</v>
      </c>
      <c r="C698" t="s">
        <v>2540</v>
      </c>
      <c r="D698" t="s">
        <v>2578</v>
      </c>
      <c r="E698">
        <v>2</v>
      </c>
      <c r="F698">
        <v>78000</v>
      </c>
      <c r="G698">
        <v>0</v>
      </c>
      <c r="H698">
        <v>0</v>
      </c>
      <c r="I698" t="s">
        <v>2652</v>
      </c>
      <c r="J698" s="4">
        <f t="shared" si="30"/>
        <v>156000</v>
      </c>
      <c r="K698" s="4" t="str">
        <f t="shared" si="31"/>
        <v>2025-01</v>
      </c>
      <c r="L698" s="4" t="str">
        <f t="shared" si="32"/>
        <v>화</v>
      </c>
      <c r="M698" s="2" t="str">
        <f>VLOOKUP($C698, 고객정보!$A$2:$E$151, 2, FALSE)</f>
        <v>서울</v>
      </c>
      <c r="N698" t="str">
        <f>VLOOKUP(C698,고객정보!$A$2:$D$151,4,FALSE)</f>
        <v>L4</v>
      </c>
      <c r="O698" t="str">
        <f>VLOOKUP($C698, 고객정보!$A$2:$E$151, 5, FALSE)</f>
        <v>50대 이상</v>
      </c>
      <c r="P698" t="str">
        <f>VLOOKUP(D698,상품정보!$A$2:$E$61,2,FALSE)</f>
        <v>귀걸이</v>
      </c>
      <c r="Q698" t="str">
        <f>VLOOKUP(D698,상품정보!$A$2:$D$151,3,FALSE)</f>
        <v>액세서리</v>
      </c>
      <c r="R698" t="str">
        <f>VLOOKUP(D698,상품정보!$A$2:$D$151,4,FALSE)</f>
        <v>브랜드B</v>
      </c>
    </row>
    <row r="699" spans="1:18" x14ac:dyDescent="0.45">
      <c r="A699" t="s">
        <v>328</v>
      </c>
      <c r="B699" t="s">
        <v>1098</v>
      </c>
      <c r="C699" t="s">
        <v>2402</v>
      </c>
      <c r="D699" t="s">
        <v>2569</v>
      </c>
      <c r="E699">
        <v>1</v>
      </c>
      <c r="F699">
        <v>11400</v>
      </c>
      <c r="G699">
        <v>0</v>
      </c>
      <c r="H699">
        <v>0</v>
      </c>
      <c r="I699" t="s">
        <v>2652</v>
      </c>
      <c r="J699" s="4">
        <f t="shared" si="30"/>
        <v>11400</v>
      </c>
      <c r="K699" s="4" t="str">
        <f t="shared" si="31"/>
        <v>2025-01</v>
      </c>
      <c r="L699" s="4" t="str">
        <f t="shared" si="32"/>
        <v>수</v>
      </c>
      <c r="M699" s="2" t="str">
        <f>VLOOKUP($C699, 고객정보!$A$2:$E$151, 2, FALSE)</f>
        <v>서울</v>
      </c>
      <c r="N699" t="str">
        <f>VLOOKUP(C699,고객정보!$A$2:$D$151,4,FALSE)</f>
        <v>L2</v>
      </c>
      <c r="O699" t="str">
        <f>VLOOKUP($C699, 고객정보!$A$2:$E$151, 5, FALSE)</f>
        <v>30대</v>
      </c>
      <c r="P699" t="str">
        <f>VLOOKUP(D699,상품정보!$A$2:$E$61,2,FALSE)</f>
        <v>귀걸이</v>
      </c>
      <c r="Q699" t="str">
        <f>VLOOKUP(D699,상품정보!$A$2:$D$151,3,FALSE)</f>
        <v>액세서리</v>
      </c>
      <c r="R699" t="str">
        <f>VLOOKUP(D699,상품정보!$A$2:$D$151,4,FALSE)</f>
        <v>브랜드E</v>
      </c>
    </row>
    <row r="700" spans="1:18" x14ac:dyDescent="0.45">
      <c r="A700" t="s">
        <v>122</v>
      </c>
      <c r="B700" t="s">
        <v>1099</v>
      </c>
      <c r="C700" t="s">
        <v>2520</v>
      </c>
      <c r="D700" t="s">
        <v>2600</v>
      </c>
      <c r="E700">
        <v>4</v>
      </c>
      <c r="F700">
        <v>10900</v>
      </c>
      <c r="G700">
        <v>0</v>
      </c>
      <c r="H700">
        <v>0</v>
      </c>
      <c r="I700" t="s">
        <v>2652</v>
      </c>
      <c r="J700" s="4">
        <f t="shared" si="30"/>
        <v>43600</v>
      </c>
      <c r="K700" s="4" t="str">
        <f t="shared" si="31"/>
        <v>2024-12</v>
      </c>
      <c r="L700" s="4" t="str">
        <f t="shared" si="32"/>
        <v>화</v>
      </c>
      <c r="M700" s="2" t="str">
        <f>VLOOKUP($C700, 고객정보!$A$2:$E$151, 2, FALSE)</f>
        <v>서울</v>
      </c>
      <c r="N700" t="str">
        <f>VLOOKUP(C700,고객정보!$A$2:$D$151,4,FALSE)</f>
        <v>L2</v>
      </c>
      <c r="O700" t="str">
        <f>VLOOKUP($C700, 고객정보!$A$2:$E$151, 5, FALSE)</f>
        <v>40대</v>
      </c>
      <c r="P700" t="str">
        <f>VLOOKUP(D700,상품정보!$A$2:$E$61,2,FALSE)</f>
        <v>셔츠</v>
      </c>
      <c r="Q700" t="str">
        <f>VLOOKUP(D700,상품정보!$A$2:$D$151,3,FALSE)</f>
        <v>의류</v>
      </c>
      <c r="R700" t="str">
        <f>VLOOKUP(D700,상품정보!$A$2:$D$151,4,FALSE)</f>
        <v>브랜드E</v>
      </c>
    </row>
    <row r="701" spans="1:18" x14ac:dyDescent="0.45">
      <c r="A701" t="s">
        <v>29</v>
      </c>
      <c r="B701" t="s">
        <v>1100</v>
      </c>
      <c r="C701" t="s">
        <v>2403</v>
      </c>
      <c r="D701" t="s">
        <v>2609</v>
      </c>
      <c r="E701">
        <v>5</v>
      </c>
      <c r="F701">
        <v>58600</v>
      </c>
      <c r="G701">
        <v>1500</v>
      </c>
      <c r="H701">
        <v>0</v>
      </c>
      <c r="I701" t="s">
        <v>2652</v>
      </c>
      <c r="J701" s="4">
        <f t="shared" si="30"/>
        <v>294500</v>
      </c>
      <c r="K701" s="4" t="str">
        <f t="shared" si="31"/>
        <v>2024-07</v>
      </c>
      <c r="L701" s="4" t="str">
        <f t="shared" si="32"/>
        <v>토</v>
      </c>
      <c r="M701" s="2" t="str">
        <f>VLOOKUP($C701, 고객정보!$A$2:$E$151, 2, FALSE)</f>
        <v>수원</v>
      </c>
      <c r="N701" t="str">
        <f>VLOOKUP(C701,고객정보!$A$2:$D$151,4,FALSE)</f>
        <v>L3</v>
      </c>
      <c r="O701" t="str">
        <f>VLOOKUP($C701, 고객정보!$A$2:$E$151, 5, FALSE)</f>
        <v>30대</v>
      </c>
      <c r="P701" t="str">
        <f>VLOOKUP(D701,상품정보!$A$2:$E$61,2,FALSE)</f>
        <v>목걸이</v>
      </c>
      <c r="Q701" t="str">
        <f>VLOOKUP(D701,상품정보!$A$2:$D$151,3,FALSE)</f>
        <v>액세서리</v>
      </c>
      <c r="R701" t="str">
        <f>VLOOKUP(D701,상품정보!$A$2:$D$151,4,FALSE)</f>
        <v>브랜드F</v>
      </c>
    </row>
    <row r="702" spans="1:18" x14ac:dyDescent="0.45">
      <c r="A702" t="s">
        <v>306</v>
      </c>
      <c r="B702" t="s">
        <v>1101</v>
      </c>
      <c r="C702" t="s">
        <v>2451</v>
      </c>
      <c r="D702" t="s">
        <v>2585</v>
      </c>
      <c r="E702">
        <v>4</v>
      </c>
      <c r="F702">
        <v>14900</v>
      </c>
      <c r="G702">
        <v>500</v>
      </c>
      <c r="H702">
        <v>0</v>
      </c>
      <c r="I702" t="s">
        <v>2652</v>
      </c>
      <c r="J702" s="4">
        <f t="shared" si="30"/>
        <v>60100</v>
      </c>
      <c r="K702" s="4" t="str">
        <f t="shared" si="31"/>
        <v>2024-06</v>
      </c>
      <c r="L702" s="4" t="str">
        <f t="shared" si="32"/>
        <v>수</v>
      </c>
      <c r="M702" s="2" t="str">
        <f>VLOOKUP($C702, 고객정보!$A$2:$E$151, 2, FALSE)</f>
        <v>서울</v>
      </c>
      <c r="N702" t="str">
        <f>VLOOKUP(C702,고객정보!$A$2:$D$151,4,FALSE)</f>
        <v>L1</v>
      </c>
      <c r="O702" t="str">
        <f>VLOOKUP($C702, 고객정보!$A$2:$E$151, 5, FALSE)</f>
        <v>30대</v>
      </c>
      <c r="P702" t="str">
        <f>VLOOKUP(D702,상품정보!$A$2:$E$61,2,FALSE)</f>
        <v>반팔 티셔츠</v>
      </c>
      <c r="Q702" t="str">
        <f>VLOOKUP(D702,상품정보!$A$2:$D$151,3,FALSE)</f>
        <v>의류</v>
      </c>
      <c r="R702" t="str">
        <f>VLOOKUP(D702,상품정보!$A$2:$D$151,4,FALSE)</f>
        <v>브랜드C</v>
      </c>
    </row>
    <row r="703" spans="1:18" x14ac:dyDescent="0.45">
      <c r="A703" t="s">
        <v>329</v>
      </c>
      <c r="B703" t="s">
        <v>1102</v>
      </c>
      <c r="C703" t="s">
        <v>2477</v>
      </c>
      <c r="D703" t="s">
        <v>2565</v>
      </c>
      <c r="E703">
        <v>2</v>
      </c>
      <c r="F703">
        <v>50000</v>
      </c>
      <c r="G703">
        <v>0</v>
      </c>
      <c r="H703">
        <v>0</v>
      </c>
      <c r="I703" t="s">
        <v>2652</v>
      </c>
      <c r="J703" s="4">
        <f t="shared" si="30"/>
        <v>100000</v>
      </c>
      <c r="K703" s="4" t="str">
        <f t="shared" si="31"/>
        <v>2025-01</v>
      </c>
      <c r="L703" s="4" t="str">
        <f t="shared" si="32"/>
        <v>월</v>
      </c>
      <c r="M703" s="2" t="str">
        <f>VLOOKUP($C703, 고객정보!$A$2:$E$151, 2, FALSE)</f>
        <v>부산</v>
      </c>
      <c r="N703" t="str">
        <f>VLOOKUP(C703,고객정보!$A$2:$D$151,4,FALSE)</f>
        <v>L4</v>
      </c>
      <c r="O703" t="str">
        <f>VLOOKUP($C703, 고객정보!$A$2:$E$151, 5, FALSE)</f>
        <v>20대</v>
      </c>
      <c r="P703" t="str">
        <f>VLOOKUP(D703,상품정보!$A$2:$E$61,2,FALSE)</f>
        <v>핸드폰케이스</v>
      </c>
      <c r="Q703" t="str">
        <f>VLOOKUP(D703,상품정보!$A$2:$D$151,3,FALSE)</f>
        <v>액세서리</v>
      </c>
      <c r="R703" t="str">
        <f>VLOOKUP(D703,상품정보!$A$2:$D$151,4,FALSE)</f>
        <v>브랜드B</v>
      </c>
    </row>
    <row r="704" spans="1:18" x14ac:dyDescent="0.45">
      <c r="A704" t="s">
        <v>297</v>
      </c>
      <c r="B704" t="s">
        <v>1103</v>
      </c>
      <c r="C704" t="s">
        <v>2401</v>
      </c>
      <c r="D704" t="s">
        <v>2564</v>
      </c>
      <c r="E704">
        <v>4</v>
      </c>
      <c r="F704">
        <v>66600</v>
      </c>
      <c r="G704">
        <v>500</v>
      </c>
      <c r="H704">
        <v>0</v>
      </c>
      <c r="I704" t="s">
        <v>2652</v>
      </c>
      <c r="J704" s="4">
        <f t="shared" si="30"/>
        <v>266900</v>
      </c>
      <c r="K704" s="4" t="str">
        <f t="shared" si="31"/>
        <v>2024-11</v>
      </c>
      <c r="L704" s="4" t="str">
        <f t="shared" si="32"/>
        <v>일</v>
      </c>
      <c r="M704" s="2" t="str">
        <f>VLOOKUP($C704, 고객정보!$A$2:$E$151, 2, FALSE)</f>
        <v>대구</v>
      </c>
      <c r="N704" t="str">
        <f>VLOOKUP(C704,고객정보!$A$2:$D$151,4,FALSE)</f>
        <v>L2</v>
      </c>
      <c r="O704" t="str">
        <f>VLOOKUP($C704, 고객정보!$A$2:$E$151, 5, FALSE)</f>
        <v>30대</v>
      </c>
      <c r="P704" t="str">
        <f>VLOOKUP(D704,상품정보!$A$2:$E$61,2,FALSE)</f>
        <v>청바지</v>
      </c>
      <c r="Q704" t="str">
        <f>VLOOKUP(D704,상품정보!$A$2:$D$151,3,FALSE)</f>
        <v>의류</v>
      </c>
      <c r="R704" t="str">
        <f>VLOOKUP(D704,상품정보!$A$2:$D$151,4,FALSE)</f>
        <v>브랜드B</v>
      </c>
    </row>
    <row r="705" spans="1:18" x14ac:dyDescent="0.45">
      <c r="A705" t="s">
        <v>252</v>
      </c>
      <c r="B705" t="s">
        <v>1104</v>
      </c>
      <c r="C705" t="s">
        <v>2539</v>
      </c>
      <c r="D705" t="s">
        <v>2585</v>
      </c>
      <c r="E705">
        <v>2</v>
      </c>
      <c r="F705">
        <v>14900</v>
      </c>
      <c r="G705">
        <v>0</v>
      </c>
      <c r="H705">
        <v>0</v>
      </c>
      <c r="I705" t="s">
        <v>2652</v>
      </c>
      <c r="J705" s="4">
        <f t="shared" si="30"/>
        <v>29800</v>
      </c>
      <c r="K705" s="4" t="str">
        <f t="shared" si="31"/>
        <v>2024-02</v>
      </c>
      <c r="L705" s="4" t="str">
        <f t="shared" si="32"/>
        <v>일</v>
      </c>
      <c r="M705" s="2" t="str">
        <f>VLOOKUP($C705, 고객정보!$A$2:$E$151, 2, FALSE)</f>
        <v>서울</v>
      </c>
      <c r="N705" t="str">
        <f>VLOOKUP(C705,고객정보!$A$2:$D$151,4,FALSE)</f>
        <v>L1</v>
      </c>
      <c r="O705" t="str">
        <f>VLOOKUP($C705, 고객정보!$A$2:$E$151, 5, FALSE)</f>
        <v>50대 이상</v>
      </c>
      <c r="P705" t="str">
        <f>VLOOKUP(D705,상품정보!$A$2:$E$61,2,FALSE)</f>
        <v>반팔 티셔츠</v>
      </c>
      <c r="Q705" t="str">
        <f>VLOOKUP(D705,상품정보!$A$2:$D$151,3,FALSE)</f>
        <v>의류</v>
      </c>
      <c r="R705" t="str">
        <f>VLOOKUP(D705,상품정보!$A$2:$D$151,4,FALSE)</f>
        <v>브랜드C</v>
      </c>
    </row>
    <row r="706" spans="1:18" x14ac:dyDescent="0.45">
      <c r="A706" t="s">
        <v>322</v>
      </c>
      <c r="B706" t="s">
        <v>1105</v>
      </c>
      <c r="C706" t="s">
        <v>2527</v>
      </c>
      <c r="D706" t="s">
        <v>2560</v>
      </c>
      <c r="E706">
        <v>1</v>
      </c>
      <c r="F706">
        <v>60600</v>
      </c>
      <c r="G706">
        <v>0</v>
      </c>
      <c r="H706">
        <v>0</v>
      </c>
      <c r="I706" t="s">
        <v>2652</v>
      </c>
      <c r="J706" s="4">
        <f t="shared" si="30"/>
        <v>60600</v>
      </c>
      <c r="K706" s="4" t="str">
        <f t="shared" si="31"/>
        <v>2024-08</v>
      </c>
      <c r="L706" s="4" t="str">
        <f t="shared" si="32"/>
        <v>금</v>
      </c>
      <c r="M706" s="2" t="str">
        <f>VLOOKUP($C706, 고객정보!$A$2:$E$151, 2, FALSE)</f>
        <v>광주</v>
      </c>
      <c r="N706" t="str">
        <f>VLOOKUP(C706,고객정보!$A$2:$D$151,4,FALSE)</f>
        <v>L2</v>
      </c>
      <c r="O706" t="str">
        <f>VLOOKUP($C706, 고객정보!$A$2:$E$151, 5, FALSE)</f>
        <v>30대</v>
      </c>
      <c r="P706" t="str">
        <f>VLOOKUP(D706,상품정보!$A$2:$E$61,2,FALSE)</f>
        <v>반팔 티셔츠</v>
      </c>
      <c r="Q706" t="str">
        <f>VLOOKUP(D706,상품정보!$A$2:$D$151,3,FALSE)</f>
        <v>의류</v>
      </c>
      <c r="R706" t="str">
        <f>VLOOKUP(D706,상품정보!$A$2:$D$151,4,FALSE)</f>
        <v>브랜드F</v>
      </c>
    </row>
    <row r="707" spans="1:18" x14ac:dyDescent="0.45">
      <c r="A707" t="s">
        <v>32</v>
      </c>
      <c r="B707" t="s">
        <v>1106</v>
      </c>
      <c r="C707" t="s">
        <v>2431</v>
      </c>
      <c r="D707" t="s">
        <v>2585</v>
      </c>
      <c r="E707">
        <v>1</v>
      </c>
      <c r="F707">
        <v>14900</v>
      </c>
      <c r="G707">
        <v>0</v>
      </c>
      <c r="H707">
        <v>2100</v>
      </c>
      <c r="I707" t="s">
        <v>2613</v>
      </c>
      <c r="J707" s="4">
        <f t="shared" ref="J707:J770" si="33">E707*F707+G707-H707</f>
        <v>12800</v>
      </c>
      <c r="K707" s="4" t="str">
        <f t="shared" ref="K707:K770" si="34">LEFT(A707,7)</f>
        <v>2024-07</v>
      </c>
      <c r="L707" s="4" t="str">
        <f t="shared" ref="L707:L770" si="35">TEXT(WEEKDAY(A707),"aaa")</f>
        <v>수</v>
      </c>
      <c r="M707" s="2" t="str">
        <f>VLOOKUP($C707, 고객정보!$A$2:$E$151, 2, FALSE)</f>
        <v>광주</v>
      </c>
      <c r="N707" t="str">
        <f>VLOOKUP(C707,고객정보!$A$2:$D$151,4,FALSE)</f>
        <v>L3</v>
      </c>
      <c r="O707" t="str">
        <f>VLOOKUP($C707, 고객정보!$A$2:$E$151, 5, FALSE)</f>
        <v>40대</v>
      </c>
      <c r="P707" t="str">
        <f>VLOOKUP(D707,상품정보!$A$2:$E$61,2,FALSE)</f>
        <v>반팔 티셔츠</v>
      </c>
      <c r="Q707" t="str">
        <f>VLOOKUP(D707,상품정보!$A$2:$D$151,3,FALSE)</f>
        <v>의류</v>
      </c>
      <c r="R707" t="str">
        <f>VLOOKUP(D707,상품정보!$A$2:$D$151,4,FALSE)</f>
        <v>브랜드C</v>
      </c>
    </row>
    <row r="708" spans="1:18" x14ac:dyDescent="0.45">
      <c r="A708" t="s">
        <v>11</v>
      </c>
      <c r="B708" t="s">
        <v>1107</v>
      </c>
      <c r="C708" t="s">
        <v>2470</v>
      </c>
      <c r="D708" t="s">
        <v>2607</v>
      </c>
      <c r="E708">
        <v>5</v>
      </c>
      <c r="F708">
        <v>16000</v>
      </c>
      <c r="G708">
        <v>0</v>
      </c>
      <c r="H708">
        <v>0</v>
      </c>
      <c r="I708" t="s">
        <v>2652</v>
      </c>
      <c r="J708" s="4">
        <f t="shared" si="33"/>
        <v>80000</v>
      </c>
      <c r="K708" s="4" t="str">
        <f t="shared" si="34"/>
        <v>2024-04</v>
      </c>
      <c r="L708" s="4" t="str">
        <f t="shared" si="35"/>
        <v>일</v>
      </c>
      <c r="M708" s="2" t="str">
        <f>VLOOKUP($C708, 고객정보!$A$2:$E$151, 2, FALSE)</f>
        <v>대전</v>
      </c>
      <c r="N708" t="str">
        <f>VLOOKUP(C708,고객정보!$A$2:$D$151,4,FALSE)</f>
        <v>L5</v>
      </c>
      <c r="O708" t="str">
        <f>VLOOKUP($C708, 고객정보!$A$2:$E$151, 5, FALSE)</f>
        <v>20대</v>
      </c>
      <c r="P708" t="str">
        <f>VLOOKUP(D708,상품정보!$A$2:$E$61,2,FALSE)</f>
        <v>목걸이</v>
      </c>
      <c r="Q708" t="str">
        <f>VLOOKUP(D708,상품정보!$A$2:$D$151,3,FALSE)</f>
        <v>액세서리</v>
      </c>
      <c r="R708" t="str">
        <f>VLOOKUP(D708,상품정보!$A$2:$D$151,4,FALSE)</f>
        <v>브랜드E</v>
      </c>
    </row>
    <row r="709" spans="1:18" x14ac:dyDescent="0.45">
      <c r="A709" t="s">
        <v>260</v>
      </c>
      <c r="B709" t="s">
        <v>1108</v>
      </c>
      <c r="C709" t="s">
        <v>2443</v>
      </c>
      <c r="D709" t="s">
        <v>2552</v>
      </c>
      <c r="E709">
        <v>5</v>
      </c>
      <c r="F709">
        <v>13300</v>
      </c>
      <c r="G709">
        <v>1500</v>
      </c>
      <c r="H709">
        <v>1600</v>
      </c>
      <c r="I709" t="s">
        <v>2611</v>
      </c>
      <c r="J709" s="4">
        <f t="shared" si="33"/>
        <v>66400</v>
      </c>
      <c r="K709" s="4" t="str">
        <f t="shared" si="34"/>
        <v>2024-05</v>
      </c>
      <c r="L709" s="4" t="str">
        <f t="shared" si="35"/>
        <v>화</v>
      </c>
      <c r="M709" s="2" t="str">
        <f>VLOOKUP($C709, 고객정보!$A$2:$E$151, 2, FALSE)</f>
        <v>서울</v>
      </c>
      <c r="N709" t="str">
        <f>VLOOKUP(C709,고객정보!$A$2:$D$151,4,FALSE)</f>
        <v>L4</v>
      </c>
      <c r="O709" t="str">
        <f>VLOOKUP($C709, 고객정보!$A$2:$E$151, 5, FALSE)</f>
        <v>30대</v>
      </c>
      <c r="P709" t="str">
        <f>VLOOKUP(D709,상품정보!$A$2:$E$61,2,FALSE)</f>
        <v>셔츠</v>
      </c>
      <c r="Q709" t="str">
        <f>VLOOKUP(D709,상품정보!$A$2:$D$151,3,FALSE)</f>
        <v>의류</v>
      </c>
      <c r="R709" t="str">
        <f>VLOOKUP(D709,상품정보!$A$2:$D$151,4,FALSE)</f>
        <v>브랜드E</v>
      </c>
    </row>
    <row r="710" spans="1:18" x14ac:dyDescent="0.45">
      <c r="A710" t="s">
        <v>313</v>
      </c>
      <c r="B710" t="s">
        <v>1109</v>
      </c>
      <c r="C710" t="s">
        <v>2405</v>
      </c>
      <c r="D710" t="s">
        <v>2602</v>
      </c>
      <c r="E710">
        <v>5</v>
      </c>
      <c r="F710">
        <v>59900</v>
      </c>
      <c r="G710">
        <v>0</v>
      </c>
      <c r="H710">
        <v>0</v>
      </c>
      <c r="I710" t="s">
        <v>2652</v>
      </c>
      <c r="J710" s="4">
        <f t="shared" si="33"/>
        <v>299500</v>
      </c>
      <c r="K710" s="4" t="str">
        <f t="shared" si="34"/>
        <v>2024-06</v>
      </c>
      <c r="L710" s="4" t="str">
        <f t="shared" si="35"/>
        <v>수</v>
      </c>
      <c r="M710" s="2" t="str">
        <f>VLOOKUP($C710, 고객정보!$A$2:$E$151, 2, FALSE)</f>
        <v>부산</v>
      </c>
      <c r="N710" t="str">
        <f>VLOOKUP(C710,고객정보!$A$2:$D$151,4,FALSE)</f>
        <v>L3</v>
      </c>
      <c r="O710" t="str">
        <f>VLOOKUP($C710, 고객정보!$A$2:$E$151, 5, FALSE)</f>
        <v>40대</v>
      </c>
      <c r="P710" t="str">
        <f>VLOOKUP(D710,상품정보!$A$2:$E$61,2,FALSE)</f>
        <v>셔츠</v>
      </c>
      <c r="Q710" t="str">
        <f>VLOOKUP(D710,상품정보!$A$2:$D$151,3,FALSE)</f>
        <v>의류</v>
      </c>
      <c r="R710" t="str">
        <f>VLOOKUP(D710,상품정보!$A$2:$D$151,4,FALSE)</f>
        <v>브랜드A</v>
      </c>
    </row>
    <row r="711" spans="1:18" x14ac:dyDescent="0.45">
      <c r="A711" t="s">
        <v>330</v>
      </c>
      <c r="B711" t="s">
        <v>1110</v>
      </c>
      <c r="C711" t="s">
        <v>2494</v>
      </c>
      <c r="D711" t="s">
        <v>2560</v>
      </c>
      <c r="E711">
        <v>3</v>
      </c>
      <c r="F711">
        <v>60600</v>
      </c>
      <c r="G711">
        <v>0</v>
      </c>
      <c r="H711">
        <v>0</v>
      </c>
      <c r="I711" t="s">
        <v>2652</v>
      </c>
      <c r="J711" s="4">
        <f t="shared" si="33"/>
        <v>181800</v>
      </c>
      <c r="K711" s="4" t="str">
        <f t="shared" si="34"/>
        <v>2024-05</v>
      </c>
      <c r="L711" s="4" t="str">
        <f t="shared" si="35"/>
        <v>수</v>
      </c>
      <c r="M711" s="2" t="str">
        <f>VLOOKUP($C711, 고객정보!$A$2:$E$151, 2, FALSE)</f>
        <v>대구</v>
      </c>
      <c r="N711" t="str">
        <f>VLOOKUP(C711,고객정보!$A$2:$D$151,4,FALSE)</f>
        <v>L4</v>
      </c>
      <c r="O711" t="str">
        <f>VLOOKUP($C711, 고객정보!$A$2:$E$151, 5, FALSE)</f>
        <v>40대</v>
      </c>
      <c r="P711" t="str">
        <f>VLOOKUP(D711,상품정보!$A$2:$E$61,2,FALSE)</f>
        <v>반팔 티셔츠</v>
      </c>
      <c r="Q711" t="str">
        <f>VLOOKUP(D711,상품정보!$A$2:$D$151,3,FALSE)</f>
        <v>의류</v>
      </c>
      <c r="R711" t="str">
        <f>VLOOKUP(D711,상품정보!$A$2:$D$151,4,FALSE)</f>
        <v>브랜드F</v>
      </c>
    </row>
    <row r="712" spans="1:18" x14ac:dyDescent="0.45">
      <c r="A712" t="s">
        <v>159</v>
      </c>
      <c r="B712" t="s">
        <v>1111</v>
      </c>
      <c r="C712" t="s">
        <v>2471</v>
      </c>
      <c r="D712" t="s">
        <v>2584</v>
      </c>
      <c r="E712">
        <v>2</v>
      </c>
      <c r="F712">
        <v>59700</v>
      </c>
      <c r="G712">
        <v>1000</v>
      </c>
      <c r="H712">
        <v>400</v>
      </c>
      <c r="I712" t="s">
        <v>2614</v>
      </c>
      <c r="J712" s="4">
        <f t="shared" si="33"/>
        <v>120000</v>
      </c>
      <c r="K712" s="4" t="str">
        <f t="shared" si="34"/>
        <v>2024-12</v>
      </c>
      <c r="L712" s="4" t="str">
        <f t="shared" si="35"/>
        <v>수</v>
      </c>
      <c r="M712" s="2" t="str">
        <f>VLOOKUP($C712, 고객정보!$A$2:$E$151, 2, FALSE)</f>
        <v>서울</v>
      </c>
      <c r="N712" t="str">
        <f>VLOOKUP(C712,고객정보!$A$2:$D$151,4,FALSE)</f>
        <v>L5</v>
      </c>
      <c r="O712" t="str">
        <f>VLOOKUP($C712, 고객정보!$A$2:$E$151, 5, FALSE)</f>
        <v>40대</v>
      </c>
      <c r="P712" t="str">
        <f>VLOOKUP(D712,상품정보!$A$2:$E$61,2,FALSE)</f>
        <v>목걸이</v>
      </c>
      <c r="Q712" t="str">
        <f>VLOOKUP(D712,상품정보!$A$2:$D$151,3,FALSE)</f>
        <v>액세서리</v>
      </c>
      <c r="R712" t="str">
        <f>VLOOKUP(D712,상품정보!$A$2:$D$151,4,FALSE)</f>
        <v>브랜드B</v>
      </c>
    </row>
    <row r="713" spans="1:18" x14ac:dyDescent="0.45">
      <c r="A713" t="s">
        <v>331</v>
      </c>
      <c r="B713" t="s">
        <v>1112</v>
      </c>
      <c r="C713" t="s">
        <v>2468</v>
      </c>
      <c r="D713" t="s">
        <v>2607</v>
      </c>
      <c r="E713">
        <v>4</v>
      </c>
      <c r="F713">
        <v>16000</v>
      </c>
      <c r="G713">
        <v>0</v>
      </c>
      <c r="H713">
        <v>0</v>
      </c>
      <c r="I713" t="s">
        <v>2652</v>
      </c>
      <c r="J713" s="4">
        <f t="shared" si="33"/>
        <v>64000</v>
      </c>
      <c r="K713" s="4" t="str">
        <f t="shared" si="34"/>
        <v>2024-06</v>
      </c>
      <c r="L713" s="4" t="str">
        <f t="shared" si="35"/>
        <v>일</v>
      </c>
      <c r="M713" s="2" t="str">
        <f>VLOOKUP($C713, 고객정보!$A$2:$E$151, 2, FALSE)</f>
        <v>부산</v>
      </c>
      <c r="N713" t="str">
        <f>VLOOKUP(C713,고객정보!$A$2:$D$151,4,FALSE)</f>
        <v>L5</v>
      </c>
      <c r="O713" t="str">
        <f>VLOOKUP($C713, 고객정보!$A$2:$E$151, 5, FALSE)</f>
        <v>20대</v>
      </c>
      <c r="P713" t="str">
        <f>VLOOKUP(D713,상품정보!$A$2:$E$61,2,FALSE)</f>
        <v>목걸이</v>
      </c>
      <c r="Q713" t="str">
        <f>VLOOKUP(D713,상품정보!$A$2:$D$151,3,FALSE)</f>
        <v>액세서리</v>
      </c>
      <c r="R713" t="str">
        <f>VLOOKUP(D713,상품정보!$A$2:$D$151,4,FALSE)</f>
        <v>브랜드E</v>
      </c>
    </row>
    <row r="714" spans="1:18" x14ac:dyDescent="0.45">
      <c r="A714" t="s">
        <v>267</v>
      </c>
      <c r="B714" t="s">
        <v>1113</v>
      </c>
      <c r="C714" t="s">
        <v>2508</v>
      </c>
      <c r="D714" t="s">
        <v>2596</v>
      </c>
      <c r="E714">
        <v>5</v>
      </c>
      <c r="F714">
        <v>59700</v>
      </c>
      <c r="G714">
        <v>500</v>
      </c>
      <c r="H714">
        <v>0</v>
      </c>
      <c r="I714" t="s">
        <v>2652</v>
      </c>
      <c r="J714" s="4">
        <f t="shared" si="33"/>
        <v>299000</v>
      </c>
      <c r="K714" s="4" t="str">
        <f t="shared" si="34"/>
        <v>2024-10</v>
      </c>
      <c r="L714" s="4" t="str">
        <f t="shared" si="35"/>
        <v>화</v>
      </c>
      <c r="M714" s="2" t="str">
        <f>VLOOKUP($C714, 고객정보!$A$2:$E$151, 2, FALSE)</f>
        <v>광주</v>
      </c>
      <c r="N714" t="str">
        <f>VLOOKUP(C714,고객정보!$A$2:$D$151,4,FALSE)</f>
        <v>L1</v>
      </c>
      <c r="O714" t="str">
        <f>VLOOKUP($C714, 고객정보!$A$2:$E$151, 5, FALSE)</f>
        <v>50대 이상</v>
      </c>
      <c r="P714" t="str">
        <f>VLOOKUP(D714,상품정보!$A$2:$E$61,2,FALSE)</f>
        <v>청바지</v>
      </c>
      <c r="Q714" t="str">
        <f>VLOOKUP(D714,상품정보!$A$2:$D$151,3,FALSE)</f>
        <v>의류</v>
      </c>
      <c r="R714" t="str">
        <f>VLOOKUP(D714,상품정보!$A$2:$D$151,4,FALSE)</f>
        <v>브랜드A</v>
      </c>
    </row>
    <row r="715" spans="1:18" x14ac:dyDescent="0.45">
      <c r="A715" t="s">
        <v>332</v>
      </c>
      <c r="B715" t="s">
        <v>1114</v>
      </c>
      <c r="C715" t="s">
        <v>2536</v>
      </c>
      <c r="D715" t="s">
        <v>2601</v>
      </c>
      <c r="E715">
        <v>4</v>
      </c>
      <c r="F715">
        <v>17000</v>
      </c>
      <c r="G715">
        <v>0</v>
      </c>
      <c r="H715">
        <v>0</v>
      </c>
      <c r="I715" t="s">
        <v>2652</v>
      </c>
      <c r="J715" s="4">
        <f t="shared" si="33"/>
        <v>68000</v>
      </c>
      <c r="K715" s="4" t="str">
        <f t="shared" si="34"/>
        <v>2024-10</v>
      </c>
      <c r="L715" s="4" t="str">
        <f t="shared" si="35"/>
        <v>금</v>
      </c>
      <c r="M715" s="2" t="str">
        <f>VLOOKUP($C715, 고객정보!$A$2:$E$151, 2, FALSE)</f>
        <v>서울</v>
      </c>
      <c r="N715" t="str">
        <f>VLOOKUP(C715,고객정보!$A$2:$D$151,4,FALSE)</f>
        <v>L5</v>
      </c>
      <c r="O715" t="str">
        <f>VLOOKUP($C715, 고객정보!$A$2:$E$151, 5, FALSE)</f>
        <v>20대</v>
      </c>
      <c r="P715" t="str">
        <f>VLOOKUP(D715,상품정보!$A$2:$E$61,2,FALSE)</f>
        <v>자켓</v>
      </c>
      <c r="Q715" t="str">
        <f>VLOOKUP(D715,상품정보!$A$2:$D$151,3,FALSE)</f>
        <v>의류</v>
      </c>
      <c r="R715" t="str">
        <f>VLOOKUP(D715,상품정보!$A$2:$D$151,4,FALSE)</f>
        <v>브랜드E</v>
      </c>
    </row>
    <row r="716" spans="1:18" x14ac:dyDescent="0.45">
      <c r="A716" t="s">
        <v>244</v>
      </c>
      <c r="B716" t="s">
        <v>1115</v>
      </c>
      <c r="C716" t="s">
        <v>2534</v>
      </c>
      <c r="D716" t="s">
        <v>2596</v>
      </c>
      <c r="E716">
        <v>3</v>
      </c>
      <c r="F716">
        <v>59700</v>
      </c>
      <c r="G716">
        <v>0</v>
      </c>
      <c r="H716">
        <v>0</v>
      </c>
      <c r="I716" t="s">
        <v>2652</v>
      </c>
      <c r="J716" s="4">
        <f t="shared" si="33"/>
        <v>179100</v>
      </c>
      <c r="K716" s="4" t="str">
        <f t="shared" si="34"/>
        <v>2024-11</v>
      </c>
      <c r="L716" s="4" t="str">
        <f t="shared" si="35"/>
        <v>월</v>
      </c>
      <c r="M716" s="2" t="str">
        <f>VLOOKUP($C716, 고객정보!$A$2:$E$151, 2, FALSE)</f>
        <v>광주</v>
      </c>
      <c r="N716" t="str">
        <f>VLOOKUP(C716,고객정보!$A$2:$D$151,4,FALSE)</f>
        <v>L2</v>
      </c>
      <c r="O716" t="str">
        <f>VLOOKUP($C716, 고객정보!$A$2:$E$151, 5, FALSE)</f>
        <v>10대</v>
      </c>
      <c r="P716" t="str">
        <f>VLOOKUP(D716,상품정보!$A$2:$E$61,2,FALSE)</f>
        <v>청바지</v>
      </c>
      <c r="Q716" t="str">
        <f>VLOOKUP(D716,상품정보!$A$2:$D$151,3,FALSE)</f>
        <v>의류</v>
      </c>
      <c r="R716" t="str">
        <f>VLOOKUP(D716,상품정보!$A$2:$D$151,4,FALSE)</f>
        <v>브랜드A</v>
      </c>
    </row>
    <row r="717" spans="1:18" x14ac:dyDescent="0.45">
      <c r="A717" t="s">
        <v>313</v>
      </c>
      <c r="B717" t="s">
        <v>1116</v>
      </c>
      <c r="C717" t="s">
        <v>2418</v>
      </c>
      <c r="D717" t="s">
        <v>2577</v>
      </c>
      <c r="E717">
        <v>5</v>
      </c>
      <c r="F717">
        <v>10200</v>
      </c>
      <c r="G717">
        <v>0</v>
      </c>
      <c r="H717">
        <v>10700</v>
      </c>
      <c r="I717" t="s">
        <v>2612</v>
      </c>
      <c r="J717" s="4">
        <f t="shared" si="33"/>
        <v>40300</v>
      </c>
      <c r="K717" s="4" t="str">
        <f t="shared" si="34"/>
        <v>2024-06</v>
      </c>
      <c r="L717" s="4" t="str">
        <f t="shared" si="35"/>
        <v>수</v>
      </c>
      <c r="M717" s="2" t="str">
        <f>VLOOKUP($C717, 고객정보!$A$2:$E$151, 2, FALSE)</f>
        <v>부산</v>
      </c>
      <c r="N717" t="str">
        <f>VLOOKUP(C717,고객정보!$A$2:$D$151,4,FALSE)</f>
        <v>L5</v>
      </c>
      <c r="O717" t="str">
        <f>VLOOKUP($C717, 고객정보!$A$2:$E$151, 5, FALSE)</f>
        <v>30대</v>
      </c>
      <c r="P717" t="str">
        <f>VLOOKUP(D717,상품정보!$A$2:$E$61,2,FALSE)</f>
        <v>셔츠</v>
      </c>
      <c r="Q717" t="str">
        <f>VLOOKUP(D717,상품정보!$A$2:$D$151,3,FALSE)</f>
        <v>의류</v>
      </c>
      <c r="R717" t="str">
        <f>VLOOKUP(D717,상품정보!$A$2:$D$151,4,FALSE)</f>
        <v>브랜드C</v>
      </c>
    </row>
    <row r="718" spans="1:18" x14ac:dyDescent="0.45">
      <c r="A718" t="s">
        <v>331</v>
      </c>
      <c r="B718" t="s">
        <v>1117</v>
      </c>
      <c r="C718" t="s">
        <v>2515</v>
      </c>
      <c r="D718" t="s">
        <v>2592</v>
      </c>
      <c r="E718">
        <v>2</v>
      </c>
      <c r="F718">
        <v>72700</v>
      </c>
      <c r="G718">
        <v>1500</v>
      </c>
      <c r="H718">
        <v>1000</v>
      </c>
      <c r="I718" t="s">
        <v>2612</v>
      </c>
      <c r="J718" s="4">
        <f t="shared" si="33"/>
        <v>145900</v>
      </c>
      <c r="K718" s="4" t="str">
        <f t="shared" si="34"/>
        <v>2024-06</v>
      </c>
      <c r="L718" s="4" t="str">
        <f t="shared" si="35"/>
        <v>일</v>
      </c>
      <c r="M718" s="2" t="str">
        <f>VLOOKUP($C718, 고객정보!$A$2:$E$151, 2, FALSE)</f>
        <v>부산</v>
      </c>
      <c r="N718" t="str">
        <f>VLOOKUP(C718,고객정보!$A$2:$D$151,4,FALSE)</f>
        <v>L5</v>
      </c>
      <c r="O718" t="str">
        <f>VLOOKUP($C718, 고객정보!$A$2:$E$151, 5, FALSE)</f>
        <v>40대</v>
      </c>
      <c r="P718" t="str">
        <f>VLOOKUP(D718,상품정보!$A$2:$E$61,2,FALSE)</f>
        <v>귀걸이</v>
      </c>
      <c r="Q718" t="str">
        <f>VLOOKUP(D718,상품정보!$A$2:$D$151,3,FALSE)</f>
        <v>액세서리</v>
      </c>
      <c r="R718" t="str">
        <f>VLOOKUP(D718,상품정보!$A$2:$D$151,4,FALSE)</f>
        <v>브랜드A</v>
      </c>
    </row>
    <row r="719" spans="1:18" x14ac:dyDescent="0.45">
      <c r="A719" t="s">
        <v>153</v>
      </c>
      <c r="B719" t="s">
        <v>1118</v>
      </c>
      <c r="C719" t="s">
        <v>2538</v>
      </c>
      <c r="D719" t="s">
        <v>2604</v>
      </c>
      <c r="E719">
        <v>5</v>
      </c>
      <c r="F719">
        <v>9700</v>
      </c>
      <c r="G719">
        <v>2000</v>
      </c>
      <c r="H719">
        <v>34900</v>
      </c>
      <c r="I719" t="s">
        <v>2612</v>
      </c>
      <c r="J719" s="4">
        <f t="shared" si="33"/>
        <v>15600</v>
      </c>
      <c r="K719" s="4" t="str">
        <f t="shared" si="34"/>
        <v>2024-08</v>
      </c>
      <c r="L719" s="4" t="str">
        <f t="shared" si="35"/>
        <v>금</v>
      </c>
      <c r="M719" s="2" t="str">
        <f>VLOOKUP($C719, 고객정보!$A$2:$E$151, 2, FALSE)</f>
        <v>대구</v>
      </c>
      <c r="N719" t="str">
        <f>VLOOKUP(C719,고객정보!$A$2:$D$151,4,FALSE)</f>
        <v>L4</v>
      </c>
      <c r="O719" t="str">
        <f>VLOOKUP($C719, 고객정보!$A$2:$E$151, 5, FALSE)</f>
        <v>40대</v>
      </c>
      <c r="P719" t="str">
        <f>VLOOKUP(D719,상품정보!$A$2:$E$61,2,FALSE)</f>
        <v>반팔 티셔츠</v>
      </c>
      <c r="Q719" t="str">
        <f>VLOOKUP(D719,상품정보!$A$2:$D$151,3,FALSE)</f>
        <v>의류</v>
      </c>
      <c r="R719" t="str">
        <f>VLOOKUP(D719,상품정보!$A$2:$D$151,4,FALSE)</f>
        <v>브랜드E</v>
      </c>
    </row>
    <row r="720" spans="1:18" x14ac:dyDescent="0.45">
      <c r="A720" t="s">
        <v>331</v>
      </c>
      <c r="B720" t="s">
        <v>1119</v>
      </c>
      <c r="C720" t="s">
        <v>2509</v>
      </c>
      <c r="D720" t="s">
        <v>2610</v>
      </c>
      <c r="E720">
        <v>2</v>
      </c>
      <c r="F720">
        <v>18800</v>
      </c>
      <c r="G720">
        <v>1500</v>
      </c>
      <c r="H720">
        <v>0</v>
      </c>
      <c r="I720" t="s">
        <v>2652</v>
      </c>
      <c r="J720" s="4">
        <f t="shared" si="33"/>
        <v>39100</v>
      </c>
      <c r="K720" s="4" t="str">
        <f t="shared" si="34"/>
        <v>2024-06</v>
      </c>
      <c r="L720" s="4" t="str">
        <f t="shared" si="35"/>
        <v>일</v>
      </c>
      <c r="M720" s="2" t="str">
        <f>VLOOKUP($C720, 고객정보!$A$2:$E$151, 2, FALSE)</f>
        <v>서울</v>
      </c>
      <c r="N720" t="str">
        <f>VLOOKUP(C720,고객정보!$A$2:$D$151,4,FALSE)</f>
        <v>L4</v>
      </c>
      <c r="O720" t="str">
        <f>VLOOKUP($C720, 고객정보!$A$2:$E$151, 5, FALSE)</f>
        <v>40대</v>
      </c>
      <c r="P720" t="str">
        <f>VLOOKUP(D720,상품정보!$A$2:$E$61,2,FALSE)</f>
        <v>자켓</v>
      </c>
      <c r="Q720" t="str">
        <f>VLOOKUP(D720,상품정보!$A$2:$D$151,3,FALSE)</f>
        <v>의류</v>
      </c>
      <c r="R720" t="str">
        <f>VLOOKUP(D720,상품정보!$A$2:$D$151,4,FALSE)</f>
        <v>브랜드E</v>
      </c>
    </row>
    <row r="721" spans="1:18" x14ac:dyDescent="0.45">
      <c r="A721" t="s">
        <v>77</v>
      </c>
      <c r="B721" t="s">
        <v>1120</v>
      </c>
      <c r="C721" t="s">
        <v>2518</v>
      </c>
      <c r="D721" t="s">
        <v>2570</v>
      </c>
      <c r="E721">
        <v>4</v>
      </c>
      <c r="F721">
        <v>73900</v>
      </c>
      <c r="G721">
        <v>1000</v>
      </c>
      <c r="H721">
        <v>1400</v>
      </c>
      <c r="I721" t="s">
        <v>2613</v>
      </c>
      <c r="J721" s="4">
        <f t="shared" si="33"/>
        <v>295200</v>
      </c>
      <c r="K721" s="4" t="str">
        <f t="shared" si="34"/>
        <v>2024-01</v>
      </c>
      <c r="L721" s="4" t="str">
        <f t="shared" si="35"/>
        <v>화</v>
      </c>
      <c r="M721" s="2" t="str">
        <f>VLOOKUP($C721, 고객정보!$A$2:$E$151, 2, FALSE)</f>
        <v>부산</v>
      </c>
      <c r="N721" t="str">
        <f>VLOOKUP(C721,고객정보!$A$2:$D$151,4,FALSE)</f>
        <v>L2</v>
      </c>
      <c r="O721" t="str">
        <f>VLOOKUP($C721, 고객정보!$A$2:$E$151, 5, FALSE)</f>
        <v>40대</v>
      </c>
      <c r="P721" t="str">
        <f>VLOOKUP(D721,상품정보!$A$2:$E$61,2,FALSE)</f>
        <v>반지</v>
      </c>
      <c r="Q721" t="str">
        <f>VLOOKUP(D721,상품정보!$A$2:$D$151,3,FALSE)</f>
        <v>액세서리</v>
      </c>
      <c r="R721" t="str">
        <f>VLOOKUP(D721,상품정보!$A$2:$D$151,4,FALSE)</f>
        <v>브랜드B</v>
      </c>
    </row>
    <row r="722" spans="1:18" x14ac:dyDescent="0.45">
      <c r="A722" t="s">
        <v>187</v>
      </c>
      <c r="B722" t="s">
        <v>1121</v>
      </c>
      <c r="C722" t="s">
        <v>2406</v>
      </c>
      <c r="D722" t="s">
        <v>2592</v>
      </c>
      <c r="E722">
        <v>4</v>
      </c>
      <c r="F722">
        <v>72700</v>
      </c>
      <c r="G722">
        <v>1500</v>
      </c>
      <c r="H722">
        <v>9000</v>
      </c>
      <c r="I722" t="s">
        <v>2613</v>
      </c>
      <c r="J722" s="4">
        <f t="shared" si="33"/>
        <v>283300</v>
      </c>
      <c r="K722" s="4" t="str">
        <f t="shared" si="34"/>
        <v>2024-10</v>
      </c>
      <c r="L722" s="4" t="str">
        <f t="shared" si="35"/>
        <v>토</v>
      </c>
      <c r="M722" s="2" t="str">
        <f>VLOOKUP($C722, 고객정보!$A$2:$E$151, 2, FALSE)</f>
        <v>부산</v>
      </c>
      <c r="N722" t="str">
        <f>VLOOKUP(C722,고객정보!$A$2:$D$151,4,FALSE)</f>
        <v>L5</v>
      </c>
      <c r="O722" t="str">
        <f>VLOOKUP($C722, 고객정보!$A$2:$E$151, 5, FALSE)</f>
        <v>30대</v>
      </c>
      <c r="P722" t="str">
        <f>VLOOKUP(D722,상품정보!$A$2:$E$61,2,FALSE)</f>
        <v>귀걸이</v>
      </c>
      <c r="Q722" t="str">
        <f>VLOOKUP(D722,상품정보!$A$2:$D$151,3,FALSE)</f>
        <v>액세서리</v>
      </c>
      <c r="R722" t="str">
        <f>VLOOKUP(D722,상품정보!$A$2:$D$151,4,FALSE)</f>
        <v>브랜드A</v>
      </c>
    </row>
    <row r="723" spans="1:18" x14ac:dyDescent="0.45">
      <c r="A723" t="s">
        <v>63</v>
      </c>
      <c r="B723" t="s">
        <v>1122</v>
      </c>
      <c r="C723" t="s">
        <v>2441</v>
      </c>
      <c r="D723" t="s">
        <v>2552</v>
      </c>
      <c r="E723">
        <v>4</v>
      </c>
      <c r="F723">
        <v>13300</v>
      </c>
      <c r="G723">
        <v>0</v>
      </c>
      <c r="H723">
        <v>0</v>
      </c>
      <c r="I723" t="s">
        <v>2652</v>
      </c>
      <c r="J723" s="4">
        <f t="shared" si="33"/>
        <v>53200</v>
      </c>
      <c r="K723" s="4" t="str">
        <f t="shared" si="34"/>
        <v>2024-05</v>
      </c>
      <c r="L723" s="4" t="str">
        <f t="shared" si="35"/>
        <v>토</v>
      </c>
      <c r="M723" s="2" t="str">
        <f>VLOOKUP($C723, 고객정보!$A$2:$E$151, 2, FALSE)</f>
        <v>부산</v>
      </c>
      <c r="N723" t="str">
        <f>VLOOKUP(C723,고객정보!$A$2:$D$151,4,FALSE)</f>
        <v>L2</v>
      </c>
      <c r="O723" t="str">
        <f>VLOOKUP($C723, 고객정보!$A$2:$E$151, 5, FALSE)</f>
        <v>20대</v>
      </c>
      <c r="P723" t="str">
        <f>VLOOKUP(D723,상품정보!$A$2:$E$61,2,FALSE)</f>
        <v>셔츠</v>
      </c>
      <c r="Q723" t="str">
        <f>VLOOKUP(D723,상품정보!$A$2:$D$151,3,FALSE)</f>
        <v>의류</v>
      </c>
      <c r="R723" t="str">
        <f>VLOOKUP(D723,상품정보!$A$2:$D$151,4,FALSE)</f>
        <v>브랜드E</v>
      </c>
    </row>
    <row r="724" spans="1:18" x14ac:dyDescent="0.45">
      <c r="A724" t="s">
        <v>160</v>
      </c>
      <c r="B724" t="s">
        <v>1123</v>
      </c>
      <c r="C724" t="s">
        <v>2505</v>
      </c>
      <c r="D724" t="s">
        <v>2572</v>
      </c>
      <c r="E724">
        <v>3</v>
      </c>
      <c r="F724">
        <v>61700</v>
      </c>
      <c r="G724">
        <v>500</v>
      </c>
      <c r="H724">
        <v>0</v>
      </c>
      <c r="I724" t="s">
        <v>2652</v>
      </c>
      <c r="J724" s="4">
        <f t="shared" si="33"/>
        <v>185600</v>
      </c>
      <c r="K724" s="4" t="str">
        <f t="shared" si="34"/>
        <v>2024-11</v>
      </c>
      <c r="L724" s="4" t="str">
        <f t="shared" si="35"/>
        <v>수</v>
      </c>
      <c r="M724" s="2" t="str">
        <f>VLOOKUP($C724, 고객정보!$A$2:$E$151, 2, FALSE)</f>
        <v>대구</v>
      </c>
      <c r="N724" t="str">
        <f>VLOOKUP(C724,고객정보!$A$2:$D$151,4,FALSE)</f>
        <v>L4</v>
      </c>
      <c r="O724" t="str">
        <f>VLOOKUP($C724, 고객정보!$A$2:$E$151, 5, FALSE)</f>
        <v>40대</v>
      </c>
      <c r="P724" t="str">
        <f>VLOOKUP(D724,상품정보!$A$2:$E$61,2,FALSE)</f>
        <v>반팔 티셔츠</v>
      </c>
      <c r="Q724" t="str">
        <f>VLOOKUP(D724,상품정보!$A$2:$D$151,3,FALSE)</f>
        <v>의류</v>
      </c>
      <c r="R724" t="str">
        <f>VLOOKUP(D724,상품정보!$A$2:$D$151,4,FALSE)</f>
        <v>브랜드F</v>
      </c>
    </row>
    <row r="725" spans="1:18" x14ac:dyDescent="0.45">
      <c r="A725" t="s">
        <v>97</v>
      </c>
      <c r="B725" t="s">
        <v>1124</v>
      </c>
      <c r="C725" t="s">
        <v>2414</v>
      </c>
      <c r="D725" t="s">
        <v>2568</v>
      </c>
      <c r="E725">
        <v>4</v>
      </c>
      <c r="F725">
        <v>16800</v>
      </c>
      <c r="G725">
        <v>500</v>
      </c>
      <c r="H725">
        <v>16200</v>
      </c>
      <c r="I725" t="s">
        <v>2612</v>
      </c>
      <c r="J725" s="4">
        <f t="shared" si="33"/>
        <v>51500</v>
      </c>
      <c r="K725" s="4" t="str">
        <f t="shared" si="34"/>
        <v>2024-07</v>
      </c>
      <c r="L725" s="4" t="str">
        <f t="shared" si="35"/>
        <v>월</v>
      </c>
      <c r="M725" s="2" t="str">
        <f>VLOOKUP($C725, 고객정보!$A$2:$E$151, 2, FALSE)</f>
        <v>대구</v>
      </c>
      <c r="N725" t="str">
        <f>VLOOKUP(C725,고객정보!$A$2:$D$151,4,FALSE)</f>
        <v>L3</v>
      </c>
      <c r="O725" t="str">
        <f>VLOOKUP($C725, 고객정보!$A$2:$E$151, 5, FALSE)</f>
        <v>30대</v>
      </c>
      <c r="P725" t="str">
        <f>VLOOKUP(D725,상품정보!$A$2:$E$61,2,FALSE)</f>
        <v>청바지</v>
      </c>
      <c r="Q725" t="str">
        <f>VLOOKUP(D725,상품정보!$A$2:$D$151,3,FALSE)</f>
        <v>의류</v>
      </c>
      <c r="R725" t="str">
        <f>VLOOKUP(D725,상품정보!$A$2:$D$151,4,FALSE)</f>
        <v>브랜드C</v>
      </c>
    </row>
    <row r="726" spans="1:18" x14ac:dyDescent="0.45">
      <c r="A726" t="s">
        <v>333</v>
      </c>
      <c r="B726" t="s">
        <v>1125</v>
      </c>
      <c r="C726" t="s">
        <v>2411</v>
      </c>
      <c r="D726" t="s">
        <v>2561</v>
      </c>
      <c r="E726">
        <v>2</v>
      </c>
      <c r="F726">
        <v>63300</v>
      </c>
      <c r="G726">
        <v>500</v>
      </c>
      <c r="H726">
        <v>0</v>
      </c>
      <c r="I726" t="s">
        <v>2652</v>
      </c>
      <c r="J726" s="4">
        <f t="shared" si="33"/>
        <v>127100</v>
      </c>
      <c r="K726" s="4" t="str">
        <f t="shared" si="34"/>
        <v>2024-01</v>
      </c>
      <c r="L726" s="4" t="str">
        <f t="shared" si="35"/>
        <v>토</v>
      </c>
      <c r="M726" s="2" t="str">
        <f>VLOOKUP($C726, 고객정보!$A$2:$E$151, 2, FALSE)</f>
        <v>부산</v>
      </c>
      <c r="N726" t="str">
        <f>VLOOKUP(C726,고객정보!$A$2:$D$151,4,FALSE)</f>
        <v>L5</v>
      </c>
      <c r="O726" t="str">
        <f>VLOOKUP($C726, 고객정보!$A$2:$E$151, 5, FALSE)</f>
        <v>30대</v>
      </c>
      <c r="P726" t="str">
        <f>VLOOKUP(D726,상품정보!$A$2:$E$61,2,FALSE)</f>
        <v>귀걸이</v>
      </c>
      <c r="Q726" t="str">
        <f>VLOOKUP(D726,상품정보!$A$2:$D$151,3,FALSE)</f>
        <v>액세서리</v>
      </c>
      <c r="R726" t="str">
        <f>VLOOKUP(D726,상품정보!$A$2:$D$151,4,FALSE)</f>
        <v>브랜드B</v>
      </c>
    </row>
    <row r="727" spans="1:18" x14ac:dyDescent="0.45">
      <c r="A727" t="s">
        <v>144</v>
      </c>
      <c r="B727" t="s">
        <v>1126</v>
      </c>
      <c r="C727" t="s">
        <v>2425</v>
      </c>
      <c r="D727" t="s">
        <v>2559</v>
      </c>
      <c r="E727">
        <v>5</v>
      </c>
      <c r="F727">
        <v>5400</v>
      </c>
      <c r="G727">
        <v>500</v>
      </c>
      <c r="H727">
        <v>0</v>
      </c>
      <c r="I727" t="s">
        <v>2652</v>
      </c>
      <c r="J727" s="4">
        <f t="shared" si="33"/>
        <v>27500</v>
      </c>
      <c r="K727" s="4" t="str">
        <f t="shared" si="34"/>
        <v>2024-11</v>
      </c>
      <c r="L727" s="4" t="str">
        <f t="shared" si="35"/>
        <v>월</v>
      </c>
      <c r="M727" s="2" t="str">
        <f>VLOOKUP($C727, 고객정보!$A$2:$E$151, 2, FALSE)</f>
        <v>서울</v>
      </c>
      <c r="N727" t="str">
        <f>VLOOKUP(C727,고객정보!$A$2:$D$151,4,FALSE)</f>
        <v>L4</v>
      </c>
      <c r="O727" t="str">
        <f>VLOOKUP($C727, 고객정보!$A$2:$E$151, 5, FALSE)</f>
        <v>30대</v>
      </c>
      <c r="P727" t="str">
        <f>VLOOKUP(D727,상품정보!$A$2:$E$61,2,FALSE)</f>
        <v>반지</v>
      </c>
      <c r="Q727" t="str">
        <f>VLOOKUP(D727,상품정보!$A$2:$D$151,3,FALSE)</f>
        <v>액세서리</v>
      </c>
      <c r="R727" t="str">
        <f>VLOOKUP(D727,상품정보!$A$2:$D$151,4,FALSE)</f>
        <v>브랜드D</v>
      </c>
    </row>
    <row r="728" spans="1:18" x14ac:dyDescent="0.45">
      <c r="A728" t="s">
        <v>214</v>
      </c>
      <c r="B728" t="s">
        <v>1127</v>
      </c>
      <c r="C728" t="s">
        <v>2476</v>
      </c>
      <c r="D728" t="s">
        <v>2576</v>
      </c>
      <c r="E728">
        <v>1</v>
      </c>
      <c r="F728">
        <v>8800</v>
      </c>
      <c r="G728">
        <v>0</v>
      </c>
      <c r="H728">
        <v>0</v>
      </c>
      <c r="I728" t="s">
        <v>2652</v>
      </c>
      <c r="J728" s="4">
        <f t="shared" si="33"/>
        <v>8800</v>
      </c>
      <c r="K728" s="4" t="str">
        <f t="shared" si="34"/>
        <v>2024-04</v>
      </c>
      <c r="L728" s="4" t="str">
        <f t="shared" si="35"/>
        <v>토</v>
      </c>
      <c r="M728" s="2" t="str">
        <f>VLOOKUP($C728, 고객정보!$A$2:$E$151, 2, FALSE)</f>
        <v>서울</v>
      </c>
      <c r="N728" t="str">
        <f>VLOOKUP(C728,고객정보!$A$2:$D$151,4,FALSE)</f>
        <v>L2</v>
      </c>
      <c r="O728" t="str">
        <f>VLOOKUP($C728, 고객정보!$A$2:$E$151, 5, FALSE)</f>
        <v>10대</v>
      </c>
      <c r="P728" t="str">
        <f>VLOOKUP(D728,상품정보!$A$2:$E$61,2,FALSE)</f>
        <v>핸드폰케이스</v>
      </c>
      <c r="Q728" t="str">
        <f>VLOOKUP(D728,상품정보!$A$2:$D$151,3,FALSE)</f>
        <v>액세서리</v>
      </c>
      <c r="R728" t="str">
        <f>VLOOKUP(D728,상품정보!$A$2:$D$151,4,FALSE)</f>
        <v>브랜드D</v>
      </c>
    </row>
    <row r="729" spans="1:18" x14ac:dyDescent="0.45">
      <c r="A729" t="s">
        <v>239</v>
      </c>
      <c r="B729" t="s">
        <v>1128</v>
      </c>
      <c r="C729" t="s">
        <v>2406</v>
      </c>
      <c r="D729" t="s">
        <v>2572</v>
      </c>
      <c r="E729">
        <v>4</v>
      </c>
      <c r="F729">
        <v>61700</v>
      </c>
      <c r="G729">
        <v>1500</v>
      </c>
      <c r="H729">
        <v>12400</v>
      </c>
      <c r="I729" t="s">
        <v>2611</v>
      </c>
      <c r="J729" s="4">
        <f t="shared" si="33"/>
        <v>235900</v>
      </c>
      <c r="K729" s="4" t="str">
        <f t="shared" si="34"/>
        <v>2024-04</v>
      </c>
      <c r="L729" s="4" t="str">
        <f t="shared" si="35"/>
        <v>화</v>
      </c>
      <c r="M729" s="2" t="str">
        <f>VLOOKUP($C729, 고객정보!$A$2:$E$151, 2, FALSE)</f>
        <v>부산</v>
      </c>
      <c r="N729" t="str">
        <f>VLOOKUP(C729,고객정보!$A$2:$D$151,4,FALSE)</f>
        <v>L5</v>
      </c>
      <c r="O729" t="str">
        <f>VLOOKUP($C729, 고객정보!$A$2:$E$151, 5, FALSE)</f>
        <v>30대</v>
      </c>
      <c r="P729" t="str">
        <f>VLOOKUP(D729,상품정보!$A$2:$E$61,2,FALSE)</f>
        <v>반팔 티셔츠</v>
      </c>
      <c r="Q729" t="str">
        <f>VLOOKUP(D729,상품정보!$A$2:$D$151,3,FALSE)</f>
        <v>의류</v>
      </c>
      <c r="R729" t="str">
        <f>VLOOKUP(D729,상품정보!$A$2:$D$151,4,FALSE)</f>
        <v>브랜드F</v>
      </c>
    </row>
    <row r="730" spans="1:18" x14ac:dyDescent="0.45">
      <c r="A730" t="s">
        <v>167</v>
      </c>
      <c r="B730" t="s">
        <v>1129</v>
      </c>
      <c r="C730" t="s">
        <v>2526</v>
      </c>
      <c r="D730" t="s">
        <v>2600</v>
      </c>
      <c r="E730">
        <v>1</v>
      </c>
      <c r="F730">
        <v>10900</v>
      </c>
      <c r="G730">
        <v>0</v>
      </c>
      <c r="H730">
        <v>0</v>
      </c>
      <c r="I730" t="s">
        <v>2652</v>
      </c>
      <c r="J730" s="4">
        <f t="shared" si="33"/>
        <v>10900</v>
      </c>
      <c r="K730" s="4" t="str">
        <f t="shared" si="34"/>
        <v>2024-04</v>
      </c>
      <c r="L730" s="4" t="str">
        <f t="shared" si="35"/>
        <v>목</v>
      </c>
      <c r="M730" s="2" t="str">
        <f>VLOOKUP($C730, 고객정보!$A$2:$E$151, 2, FALSE)</f>
        <v>부산</v>
      </c>
      <c r="N730" t="str">
        <f>VLOOKUP(C730,고객정보!$A$2:$D$151,4,FALSE)</f>
        <v>L3</v>
      </c>
      <c r="O730" t="str">
        <f>VLOOKUP($C730, 고객정보!$A$2:$E$151, 5, FALSE)</f>
        <v>10대</v>
      </c>
      <c r="P730" t="str">
        <f>VLOOKUP(D730,상품정보!$A$2:$E$61,2,FALSE)</f>
        <v>셔츠</v>
      </c>
      <c r="Q730" t="str">
        <f>VLOOKUP(D730,상품정보!$A$2:$D$151,3,FALSE)</f>
        <v>의류</v>
      </c>
      <c r="R730" t="str">
        <f>VLOOKUP(D730,상품정보!$A$2:$D$151,4,FALSE)</f>
        <v>브랜드E</v>
      </c>
    </row>
    <row r="731" spans="1:18" x14ac:dyDescent="0.45">
      <c r="A731" t="s">
        <v>334</v>
      </c>
      <c r="B731" t="s">
        <v>1130</v>
      </c>
      <c r="C731" t="s">
        <v>2464</v>
      </c>
      <c r="D731" t="s">
        <v>2574</v>
      </c>
      <c r="E731">
        <v>1</v>
      </c>
      <c r="F731">
        <v>8600</v>
      </c>
      <c r="G731">
        <v>1000</v>
      </c>
      <c r="H731">
        <v>0</v>
      </c>
      <c r="I731" t="s">
        <v>2652</v>
      </c>
      <c r="J731" s="4">
        <f t="shared" si="33"/>
        <v>9600</v>
      </c>
      <c r="K731" s="4" t="str">
        <f t="shared" si="34"/>
        <v>2025-01</v>
      </c>
      <c r="L731" s="4" t="str">
        <f t="shared" si="35"/>
        <v>금</v>
      </c>
      <c r="M731" s="2" t="str">
        <f>VLOOKUP($C731, 고객정보!$A$2:$E$151, 2, FALSE)</f>
        <v>대구</v>
      </c>
      <c r="N731" t="str">
        <f>VLOOKUP(C731,고객정보!$A$2:$D$151,4,FALSE)</f>
        <v>L1</v>
      </c>
      <c r="O731" t="str">
        <f>VLOOKUP($C731, 고객정보!$A$2:$E$151, 5, FALSE)</f>
        <v>20대</v>
      </c>
      <c r="P731" t="str">
        <f>VLOOKUP(D731,상품정보!$A$2:$E$61,2,FALSE)</f>
        <v>셔츠</v>
      </c>
      <c r="Q731" t="str">
        <f>VLOOKUP(D731,상품정보!$A$2:$D$151,3,FALSE)</f>
        <v>의류</v>
      </c>
      <c r="R731" t="str">
        <f>VLOOKUP(D731,상품정보!$A$2:$D$151,4,FALSE)</f>
        <v>브랜드D</v>
      </c>
    </row>
    <row r="732" spans="1:18" x14ac:dyDescent="0.45">
      <c r="A732" t="s">
        <v>76</v>
      </c>
      <c r="B732" t="s">
        <v>1131</v>
      </c>
      <c r="C732" t="s">
        <v>2466</v>
      </c>
      <c r="D732" t="s">
        <v>2582</v>
      </c>
      <c r="E732">
        <v>2</v>
      </c>
      <c r="F732">
        <v>12500</v>
      </c>
      <c r="G732">
        <v>2000</v>
      </c>
      <c r="H732">
        <v>0</v>
      </c>
      <c r="I732" t="s">
        <v>2652</v>
      </c>
      <c r="J732" s="4">
        <f t="shared" si="33"/>
        <v>27000</v>
      </c>
      <c r="K732" s="4" t="str">
        <f t="shared" si="34"/>
        <v>2024-12</v>
      </c>
      <c r="L732" s="4" t="str">
        <f t="shared" si="35"/>
        <v>일</v>
      </c>
      <c r="M732" s="2" t="str">
        <f>VLOOKUP($C732, 고객정보!$A$2:$E$151, 2, FALSE)</f>
        <v>부산</v>
      </c>
      <c r="N732" t="str">
        <f>VLOOKUP(C732,고객정보!$A$2:$D$151,4,FALSE)</f>
        <v>L2</v>
      </c>
      <c r="O732" t="str">
        <f>VLOOKUP($C732, 고객정보!$A$2:$E$151, 5, FALSE)</f>
        <v>50대 이상</v>
      </c>
      <c r="P732" t="str">
        <f>VLOOKUP(D732,상품정보!$A$2:$E$61,2,FALSE)</f>
        <v>셔츠</v>
      </c>
      <c r="Q732" t="str">
        <f>VLOOKUP(D732,상품정보!$A$2:$D$151,3,FALSE)</f>
        <v>의류</v>
      </c>
      <c r="R732" t="str">
        <f>VLOOKUP(D732,상품정보!$A$2:$D$151,4,FALSE)</f>
        <v>브랜드D</v>
      </c>
    </row>
    <row r="733" spans="1:18" x14ac:dyDescent="0.45">
      <c r="A733" t="s">
        <v>335</v>
      </c>
      <c r="B733" t="s">
        <v>1132</v>
      </c>
      <c r="C733" t="s">
        <v>2548</v>
      </c>
      <c r="D733" t="s">
        <v>2575</v>
      </c>
      <c r="E733">
        <v>2</v>
      </c>
      <c r="F733">
        <v>7200</v>
      </c>
      <c r="G733">
        <v>0</v>
      </c>
      <c r="H733">
        <v>1500</v>
      </c>
      <c r="I733" t="s">
        <v>2612</v>
      </c>
      <c r="J733" s="4">
        <f t="shared" si="33"/>
        <v>12900</v>
      </c>
      <c r="K733" s="4" t="str">
        <f t="shared" si="34"/>
        <v>2024-10</v>
      </c>
      <c r="L733" s="4" t="str">
        <f t="shared" si="35"/>
        <v>수</v>
      </c>
      <c r="M733" s="2" t="str">
        <f>VLOOKUP($C733, 고객정보!$A$2:$E$151, 2, FALSE)</f>
        <v>수원</v>
      </c>
      <c r="N733" t="str">
        <f>VLOOKUP(C733,고객정보!$A$2:$D$151,4,FALSE)</f>
        <v>L2</v>
      </c>
      <c r="O733" t="str">
        <f>VLOOKUP($C733, 고객정보!$A$2:$E$151, 5, FALSE)</f>
        <v>50대 이상</v>
      </c>
      <c r="P733" t="str">
        <f>VLOOKUP(D733,상품정보!$A$2:$E$61,2,FALSE)</f>
        <v>반지</v>
      </c>
      <c r="Q733" t="str">
        <f>VLOOKUP(D733,상품정보!$A$2:$D$151,3,FALSE)</f>
        <v>액세서리</v>
      </c>
      <c r="R733" t="str">
        <f>VLOOKUP(D733,상품정보!$A$2:$D$151,4,FALSE)</f>
        <v>브랜드E</v>
      </c>
    </row>
    <row r="734" spans="1:18" x14ac:dyDescent="0.45">
      <c r="A734" t="s">
        <v>29</v>
      </c>
      <c r="B734" t="s">
        <v>1133</v>
      </c>
      <c r="C734" t="s">
        <v>2442</v>
      </c>
      <c r="D734" t="s">
        <v>2587</v>
      </c>
      <c r="E734">
        <v>3</v>
      </c>
      <c r="F734">
        <v>50200</v>
      </c>
      <c r="G734">
        <v>0</v>
      </c>
      <c r="H734">
        <v>0</v>
      </c>
      <c r="I734" t="s">
        <v>2652</v>
      </c>
      <c r="J734" s="4">
        <f t="shared" si="33"/>
        <v>150600</v>
      </c>
      <c r="K734" s="4" t="str">
        <f t="shared" si="34"/>
        <v>2024-07</v>
      </c>
      <c r="L734" s="4" t="str">
        <f t="shared" si="35"/>
        <v>토</v>
      </c>
      <c r="M734" s="2" t="str">
        <f>VLOOKUP($C734, 고객정보!$A$2:$E$151, 2, FALSE)</f>
        <v>부산</v>
      </c>
      <c r="N734" t="str">
        <f>VLOOKUP(C734,고객정보!$A$2:$D$151,4,FALSE)</f>
        <v>L1</v>
      </c>
      <c r="O734" t="str">
        <f>VLOOKUP($C734, 고객정보!$A$2:$E$151, 5, FALSE)</f>
        <v>40대</v>
      </c>
      <c r="P734" t="str">
        <f>VLOOKUP(D734,상품정보!$A$2:$E$61,2,FALSE)</f>
        <v>반지</v>
      </c>
      <c r="Q734" t="str">
        <f>VLOOKUP(D734,상품정보!$A$2:$D$151,3,FALSE)</f>
        <v>액세서리</v>
      </c>
      <c r="R734" t="str">
        <f>VLOOKUP(D734,상품정보!$A$2:$D$151,4,FALSE)</f>
        <v>브랜드B</v>
      </c>
    </row>
    <row r="735" spans="1:18" x14ac:dyDescent="0.45">
      <c r="A735" t="s">
        <v>336</v>
      </c>
      <c r="B735" t="s">
        <v>1134</v>
      </c>
      <c r="C735" t="s">
        <v>2434</v>
      </c>
      <c r="D735" t="s">
        <v>2561</v>
      </c>
      <c r="E735">
        <v>3</v>
      </c>
      <c r="F735">
        <v>63300</v>
      </c>
      <c r="G735">
        <v>500</v>
      </c>
      <c r="H735">
        <v>0</v>
      </c>
      <c r="I735" t="s">
        <v>2652</v>
      </c>
      <c r="J735" s="4">
        <f t="shared" si="33"/>
        <v>190400</v>
      </c>
      <c r="K735" s="4" t="str">
        <f t="shared" si="34"/>
        <v>2024-06</v>
      </c>
      <c r="L735" s="4" t="str">
        <f t="shared" si="35"/>
        <v>목</v>
      </c>
      <c r="M735" s="2" t="str">
        <f>VLOOKUP($C735, 고객정보!$A$2:$E$151, 2, FALSE)</f>
        <v>대구</v>
      </c>
      <c r="N735" t="str">
        <f>VLOOKUP(C735,고객정보!$A$2:$D$151,4,FALSE)</f>
        <v>L1</v>
      </c>
      <c r="O735" t="str">
        <f>VLOOKUP($C735, 고객정보!$A$2:$E$151, 5, FALSE)</f>
        <v>10대</v>
      </c>
      <c r="P735" t="str">
        <f>VLOOKUP(D735,상품정보!$A$2:$E$61,2,FALSE)</f>
        <v>귀걸이</v>
      </c>
      <c r="Q735" t="str">
        <f>VLOOKUP(D735,상품정보!$A$2:$D$151,3,FALSE)</f>
        <v>액세서리</v>
      </c>
      <c r="R735" t="str">
        <f>VLOOKUP(D735,상품정보!$A$2:$D$151,4,FALSE)</f>
        <v>브랜드B</v>
      </c>
    </row>
    <row r="736" spans="1:18" x14ac:dyDescent="0.45">
      <c r="A736" t="s">
        <v>226</v>
      </c>
      <c r="B736" t="s">
        <v>1135</v>
      </c>
      <c r="C736" t="s">
        <v>2482</v>
      </c>
      <c r="D736" t="s">
        <v>2599</v>
      </c>
      <c r="E736">
        <v>5</v>
      </c>
      <c r="F736">
        <v>73800</v>
      </c>
      <c r="G736">
        <v>0</v>
      </c>
      <c r="H736">
        <v>0</v>
      </c>
      <c r="I736" t="s">
        <v>2652</v>
      </c>
      <c r="J736" s="4">
        <f t="shared" si="33"/>
        <v>369000</v>
      </c>
      <c r="K736" s="4" t="str">
        <f t="shared" si="34"/>
        <v>2024-09</v>
      </c>
      <c r="L736" s="4" t="str">
        <f t="shared" si="35"/>
        <v>수</v>
      </c>
      <c r="M736" s="2" t="str">
        <f>VLOOKUP($C736, 고객정보!$A$2:$E$151, 2, FALSE)</f>
        <v>서울</v>
      </c>
      <c r="N736" t="str">
        <f>VLOOKUP(C736,고객정보!$A$2:$D$151,4,FALSE)</f>
        <v>L2</v>
      </c>
      <c r="O736" t="str">
        <f>VLOOKUP($C736, 고객정보!$A$2:$E$151, 5, FALSE)</f>
        <v>30대</v>
      </c>
      <c r="P736" t="str">
        <f>VLOOKUP(D736,상품정보!$A$2:$E$61,2,FALSE)</f>
        <v>핸드폰케이스</v>
      </c>
      <c r="Q736" t="str">
        <f>VLOOKUP(D736,상품정보!$A$2:$D$151,3,FALSE)</f>
        <v>액세서리</v>
      </c>
      <c r="R736" t="str">
        <f>VLOOKUP(D736,상품정보!$A$2:$D$151,4,FALSE)</f>
        <v>브랜드F</v>
      </c>
    </row>
    <row r="737" spans="1:18" x14ac:dyDescent="0.45">
      <c r="A737" t="s">
        <v>223</v>
      </c>
      <c r="B737" t="s">
        <v>1136</v>
      </c>
      <c r="C737" t="s">
        <v>2434</v>
      </c>
      <c r="D737" t="s">
        <v>2591</v>
      </c>
      <c r="E737">
        <v>4</v>
      </c>
      <c r="F737">
        <v>69200</v>
      </c>
      <c r="G737">
        <v>1500</v>
      </c>
      <c r="H737">
        <v>6500</v>
      </c>
      <c r="I737" t="s">
        <v>2611</v>
      </c>
      <c r="J737" s="4">
        <f t="shared" si="33"/>
        <v>271800</v>
      </c>
      <c r="K737" s="4" t="str">
        <f t="shared" si="34"/>
        <v>2025-01</v>
      </c>
      <c r="L737" s="4" t="str">
        <f t="shared" si="35"/>
        <v>금</v>
      </c>
      <c r="M737" s="2" t="str">
        <f>VLOOKUP($C737, 고객정보!$A$2:$E$151, 2, FALSE)</f>
        <v>대구</v>
      </c>
      <c r="N737" t="str">
        <f>VLOOKUP(C737,고객정보!$A$2:$D$151,4,FALSE)</f>
        <v>L1</v>
      </c>
      <c r="O737" t="str">
        <f>VLOOKUP($C737, 고객정보!$A$2:$E$151, 5, FALSE)</f>
        <v>10대</v>
      </c>
      <c r="P737" t="str">
        <f>VLOOKUP(D737,상품정보!$A$2:$E$61,2,FALSE)</f>
        <v>셔츠</v>
      </c>
      <c r="Q737" t="str">
        <f>VLOOKUP(D737,상품정보!$A$2:$D$151,3,FALSE)</f>
        <v>의류</v>
      </c>
      <c r="R737" t="str">
        <f>VLOOKUP(D737,상품정보!$A$2:$D$151,4,FALSE)</f>
        <v>브랜드F</v>
      </c>
    </row>
    <row r="738" spans="1:18" x14ac:dyDescent="0.45">
      <c r="A738" t="s">
        <v>97</v>
      </c>
      <c r="B738" t="s">
        <v>1137</v>
      </c>
      <c r="C738" t="s">
        <v>2546</v>
      </c>
      <c r="D738" t="s">
        <v>2582</v>
      </c>
      <c r="E738">
        <v>2</v>
      </c>
      <c r="F738">
        <v>12500</v>
      </c>
      <c r="G738">
        <v>0</v>
      </c>
      <c r="H738">
        <v>0</v>
      </c>
      <c r="I738" t="s">
        <v>2652</v>
      </c>
      <c r="J738" s="4">
        <f t="shared" si="33"/>
        <v>25000</v>
      </c>
      <c r="K738" s="4" t="str">
        <f t="shared" si="34"/>
        <v>2024-07</v>
      </c>
      <c r="L738" s="4" t="str">
        <f t="shared" si="35"/>
        <v>월</v>
      </c>
      <c r="M738" s="2" t="str">
        <f>VLOOKUP($C738, 고객정보!$A$2:$E$151, 2, FALSE)</f>
        <v>인천</v>
      </c>
      <c r="N738" t="str">
        <f>VLOOKUP(C738,고객정보!$A$2:$D$151,4,FALSE)</f>
        <v>L4</v>
      </c>
      <c r="O738" t="str">
        <f>VLOOKUP($C738, 고객정보!$A$2:$E$151, 5, FALSE)</f>
        <v>50대 이상</v>
      </c>
      <c r="P738" t="str">
        <f>VLOOKUP(D738,상품정보!$A$2:$E$61,2,FALSE)</f>
        <v>셔츠</v>
      </c>
      <c r="Q738" t="str">
        <f>VLOOKUP(D738,상품정보!$A$2:$D$151,3,FALSE)</f>
        <v>의류</v>
      </c>
      <c r="R738" t="str">
        <f>VLOOKUP(D738,상품정보!$A$2:$D$151,4,FALSE)</f>
        <v>브랜드D</v>
      </c>
    </row>
    <row r="739" spans="1:18" x14ac:dyDescent="0.45">
      <c r="A739" t="s">
        <v>337</v>
      </c>
      <c r="B739" t="s">
        <v>1138</v>
      </c>
      <c r="C739" t="s">
        <v>2426</v>
      </c>
      <c r="D739" t="s">
        <v>2592</v>
      </c>
      <c r="E739">
        <v>1</v>
      </c>
      <c r="F739">
        <v>72700</v>
      </c>
      <c r="G739">
        <v>0</v>
      </c>
      <c r="H739">
        <v>200</v>
      </c>
      <c r="I739" t="s">
        <v>2611</v>
      </c>
      <c r="J739" s="4">
        <f t="shared" si="33"/>
        <v>72500</v>
      </c>
      <c r="K739" s="4" t="str">
        <f t="shared" si="34"/>
        <v>2024-10</v>
      </c>
      <c r="L739" s="4" t="str">
        <f t="shared" si="35"/>
        <v>화</v>
      </c>
      <c r="M739" s="2" t="str">
        <f>VLOOKUP($C739, 고객정보!$A$2:$E$151, 2, FALSE)</f>
        <v>대전</v>
      </c>
      <c r="N739" t="str">
        <f>VLOOKUP(C739,고객정보!$A$2:$D$151,4,FALSE)</f>
        <v>L5</v>
      </c>
      <c r="O739" t="str">
        <f>VLOOKUP($C739, 고객정보!$A$2:$E$151, 5, FALSE)</f>
        <v>30대</v>
      </c>
      <c r="P739" t="str">
        <f>VLOOKUP(D739,상품정보!$A$2:$E$61,2,FALSE)</f>
        <v>귀걸이</v>
      </c>
      <c r="Q739" t="str">
        <f>VLOOKUP(D739,상품정보!$A$2:$D$151,3,FALSE)</f>
        <v>액세서리</v>
      </c>
      <c r="R739" t="str">
        <f>VLOOKUP(D739,상품정보!$A$2:$D$151,4,FALSE)</f>
        <v>브랜드A</v>
      </c>
    </row>
    <row r="740" spans="1:18" x14ac:dyDescent="0.45">
      <c r="A740" t="s">
        <v>242</v>
      </c>
      <c r="B740" t="s">
        <v>1139</v>
      </c>
      <c r="C740" t="s">
        <v>2407</v>
      </c>
      <c r="D740" t="s">
        <v>2574</v>
      </c>
      <c r="E740">
        <v>2</v>
      </c>
      <c r="F740">
        <v>8600</v>
      </c>
      <c r="G740">
        <v>2000</v>
      </c>
      <c r="H740">
        <v>0</v>
      </c>
      <c r="I740" t="s">
        <v>2652</v>
      </c>
      <c r="J740" s="4">
        <f t="shared" si="33"/>
        <v>19200</v>
      </c>
      <c r="K740" s="4" t="str">
        <f t="shared" si="34"/>
        <v>2024-01</v>
      </c>
      <c r="L740" s="4" t="str">
        <f t="shared" si="35"/>
        <v>화</v>
      </c>
      <c r="M740" s="2" t="str">
        <f>VLOOKUP($C740, 고객정보!$A$2:$E$151, 2, FALSE)</f>
        <v>서울</v>
      </c>
      <c r="N740" t="str">
        <f>VLOOKUP(C740,고객정보!$A$2:$D$151,4,FALSE)</f>
        <v>L5</v>
      </c>
      <c r="O740" t="str">
        <f>VLOOKUP($C740, 고객정보!$A$2:$E$151, 5, FALSE)</f>
        <v>30대</v>
      </c>
      <c r="P740" t="str">
        <f>VLOOKUP(D740,상품정보!$A$2:$E$61,2,FALSE)</f>
        <v>셔츠</v>
      </c>
      <c r="Q740" t="str">
        <f>VLOOKUP(D740,상품정보!$A$2:$D$151,3,FALSE)</f>
        <v>의류</v>
      </c>
      <c r="R740" t="str">
        <f>VLOOKUP(D740,상품정보!$A$2:$D$151,4,FALSE)</f>
        <v>브랜드D</v>
      </c>
    </row>
    <row r="741" spans="1:18" x14ac:dyDescent="0.45">
      <c r="A741" t="s">
        <v>338</v>
      </c>
      <c r="B741" t="s">
        <v>1140</v>
      </c>
      <c r="C741" t="s">
        <v>2482</v>
      </c>
      <c r="D741" t="s">
        <v>2562</v>
      </c>
      <c r="E741">
        <v>5</v>
      </c>
      <c r="F741">
        <v>15600</v>
      </c>
      <c r="G741">
        <v>0</v>
      </c>
      <c r="H741">
        <v>0</v>
      </c>
      <c r="I741" t="s">
        <v>2652</v>
      </c>
      <c r="J741" s="4">
        <f t="shared" si="33"/>
        <v>78000</v>
      </c>
      <c r="K741" s="4" t="str">
        <f t="shared" si="34"/>
        <v>2024-10</v>
      </c>
      <c r="L741" s="4" t="str">
        <f t="shared" si="35"/>
        <v>수</v>
      </c>
      <c r="M741" s="2" t="str">
        <f>VLOOKUP($C741, 고객정보!$A$2:$E$151, 2, FALSE)</f>
        <v>서울</v>
      </c>
      <c r="N741" t="str">
        <f>VLOOKUP(C741,고객정보!$A$2:$D$151,4,FALSE)</f>
        <v>L2</v>
      </c>
      <c r="O741" t="str">
        <f>VLOOKUP($C741, 고객정보!$A$2:$E$151, 5, FALSE)</f>
        <v>30대</v>
      </c>
      <c r="P741" t="str">
        <f>VLOOKUP(D741,상품정보!$A$2:$E$61,2,FALSE)</f>
        <v>반팔 티셔츠</v>
      </c>
      <c r="Q741" t="str">
        <f>VLOOKUP(D741,상품정보!$A$2:$D$151,3,FALSE)</f>
        <v>의류</v>
      </c>
      <c r="R741" t="str">
        <f>VLOOKUP(D741,상품정보!$A$2:$D$151,4,FALSE)</f>
        <v>브랜드E</v>
      </c>
    </row>
    <row r="742" spans="1:18" x14ac:dyDescent="0.45">
      <c r="A742" t="s">
        <v>339</v>
      </c>
      <c r="B742" t="s">
        <v>1141</v>
      </c>
      <c r="C742" t="s">
        <v>2515</v>
      </c>
      <c r="D742" t="s">
        <v>2595</v>
      </c>
      <c r="E742">
        <v>2</v>
      </c>
      <c r="F742">
        <v>12700</v>
      </c>
      <c r="G742">
        <v>500</v>
      </c>
      <c r="H742">
        <v>0</v>
      </c>
      <c r="I742" t="s">
        <v>2652</v>
      </c>
      <c r="J742" s="4">
        <f t="shared" si="33"/>
        <v>25900</v>
      </c>
      <c r="K742" s="4" t="str">
        <f t="shared" si="34"/>
        <v>2024-04</v>
      </c>
      <c r="L742" s="4" t="str">
        <f t="shared" si="35"/>
        <v>수</v>
      </c>
      <c r="M742" s="2" t="str">
        <f>VLOOKUP($C742, 고객정보!$A$2:$E$151, 2, FALSE)</f>
        <v>부산</v>
      </c>
      <c r="N742" t="str">
        <f>VLOOKUP(C742,고객정보!$A$2:$D$151,4,FALSE)</f>
        <v>L5</v>
      </c>
      <c r="O742" t="str">
        <f>VLOOKUP($C742, 고객정보!$A$2:$E$151, 5, FALSE)</f>
        <v>40대</v>
      </c>
      <c r="P742" t="str">
        <f>VLOOKUP(D742,상품정보!$A$2:$E$61,2,FALSE)</f>
        <v>반지</v>
      </c>
      <c r="Q742" t="str">
        <f>VLOOKUP(D742,상품정보!$A$2:$D$151,3,FALSE)</f>
        <v>액세서리</v>
      </c>
      <c r="R742" t="str">
        <f>VLOOKUP(D742,상품정보!$A$2:$D$151,4,FALSE)</f>
        <v>브랜드C</v>
      </c>
    </row>
    <row r="743" spans="1:18" x14ac:dyDescent="0.45">
      <c r="A743" t="s">
        <v>82</v>
      </c>
      <c r="B743" t="s">
        <v>1142</v>
      </c>
      <c r="C743" t="s">
        <v>2481</v>
      </c>
      <c r="D743" t="s">
        <v>2607</v>
      </c>
      <c r="E743">
        <v>4</v>
      </c>
      <c r="F743">
        <v>16000</v>
      </c>
      <c r="G743">
        <v>0</v>
      </c>
      <c r="H743">
        <v>0</v>
      </c>
      <c r="I743" t="s">
        <v>2652</v>
      </c>
      <c r="J743" s="4">
        <f t="shared" si="33"/>
        <v>64000</v>
      </c>
      <c r="K743" s="4" t="str">
        <f t="shared" si="34"/>
        <v>2024-10</v>
      </c>
      <c r="L743" s="4" t="str">
        <f t="shared" si="35"/>
        <v>금</v>
      </c>
      <c r="M743" s="2" t="str">
        <f>VLOOKUP($C743, 고객정보!$A$2:$E$151, 2, FALSE)</f>
        <v>부산</v>
      </c>
      <c r="N743" t="str">
        <f>VLOOKUP(C743,고객정보!$A$2:$D$151,4,FALSE)</f>
        <v>L5</v>
      </c>
      <c r="O743" t="str">
        <f>VLOOKUP($C743, 고객정보!$A$2:$E$151, 5, FALSE)</f>
        <v>20대</v>
      </c>
      <c r="P743" t="str">
        <f>VLOOKUP(D743,상품정보!$A$2:$E$61,2,FALSE)</f>
        <v>목걸이</v>
      </c>
      <c r="Q743" t="str">
        <f>VLOOKUP(D743,상품정보!$A$2:$D$151,3,FALSE)</f>
        <v>액세서리</v>
      </c>
      <c r="R743" t="str">
        <f>VLOOKUP(D743,상품정보!$A$2:$D$151,4,FALSE)</f>
        <v>브랜드E</v>
      </c>
    </row>
    <row r="744" spans="1:18" x14ac:dyDescent="0.45">
      <c r="A744" t="s">
        <v>127</v>
      </c>
      <c r="B744" t="s">
        <v>1143</v>
      </c>
      <c r="C744" t="s">
        <v>2422</v>
      </c>
      <c r="D744" t="s">
        <v>2583</v>
      </c>
      <c r="E744">
        <v>5</v>
      </c>
      <c r="F744">
        <v>6600</v>
      </c>
      <c r="G744">
        <v>500</v>
      </c>
      <c r="H744">
        <v>16700</v>
      </c>
      <c r="I744" t="s">
        <v>2613</v>
      </c>
      <c r="J744" s="4">
        <f t="shared" si="33"/>
        <v>16800</v>
      </c>
      <c r="K744" s="4" t="str">
        <f t="shared" si="34"/>
        <v>2024-12</v>
      </c>
      <c r="L744" s="4" t="str">
        <f t="shared" si="35"/>
        <v>일</v>
      </c>
      <c r="M744" s="2" t="str">
        <f>VLOOKUP($C744, 고객정보!$A$2:$E$151, 2, FALSE)</f>
        <v>광주</v>
      </c>
      <c r="N744" t="str">
        <f>VLOOKUP(C744,고객정보!$A$2:$D$151,4,FALSE)</f>
        <v>L5</v>
      </c>
      <c r="O744" t="str">
        <f>VLOOKUP($C744, 고객정보!$A$2:$E$151, 5, FALSE)</f>
        <v>30대</v>
      </c>
      <c r="P744" t="str">
        <f>VLOOKUP(D744,상품정보!$A$2:$E$61,2,FALSE)</f>
        <v>셔츠</v>
      </c>
      <c r="Q744" t="str">
        <f>VLOOKUP(D744,상품정보!$A$2:$D$151,3,FALSE)</f>
        <v>의류</v>
      </c>
      <c r="R744" t="str">
        <f>VLOOKUP(D744,상품정보!$A$2:$D$151,4,FALSE)</f>
        <v>브랜드E</v>
      </c>
    </row>
    <row r="745" spans="1:18" x14ac:dyDescent="0.45">
      <c r="A745" t="s">
        <v>146</v>
      </c>
      <c r="B745" t="s">
        <v>1144</v>
      </c>
      <c r="C745" t="s">
        <v>2450</v>
      </c>
      <c r="D745" t="s">
        <v>2605</v>
      </c>
      <c r="E745">
        <v>4</v>
      </c>
      <c r="F745">
        <v>6800</v>
      </c>
      <c r="G745">
        <v>1500</v>
      </c>
      <c r="H745">
        <v>0</v>
      </c>
      <c r="I745" t="s">
        <v>2652</v>
      </c>
      <c r="J745" s="4">
        <f t="shared" si="33"/>
        <v>28700</v>
      </c>
      <c r="K745" s="4" t="str">
        <f t="shared" si="34"/>
        <v>2025-01</v>
      </c>
      <c r="L745" s="4" t="str">
        <f t="shared" si="35"/>
        <v>일</v>
      </c>
      <c r="M745" s="2" t="str">
        <f>VLOOKUP($C745, 고객정보!$A$2:$E$151, 2, FALSE)</f>
        <v>인천</v>
      </c>
      <c r="N745" t="str">
        <f>VLOOKUP(C745,고객정보!$A$2:$D$151,4,FALSE)</f>
        <v>L5</v>
      </c>
      <c r="O745" t="str">
        <f>VLOOKUP($C745, 고객정보!$A$2:$E$151, 5, FALSE)</f>
        <v>40대</v>
      </c>
      <c r="P745" t="str">
        <f>VLOOKUP(D745,상품정보!$A$2:$E$61,2,FALSE)</f>
        <v>핸드폰케이스</v>
      </c>
      <c r="Q745" t="str">
        <f>VLOOKUP(D745,상품정보!$A$2:$D$151,3,FALSE)</f>
        <v>액세서리</v>
      </c>
      <c r="R745" t="str">
        <f>VLOOKUP(D745,상품정보!$A$2:$D$151,4,FALSE)</f>
        <v>브랜드D</v>
      </c>
    </row>
    <row r="746" spans="1:18" x14ac:dyDescent="0.45">
      <c r="A746" t="s">
        <v>291</v>
      </c>
      <c r="B746" t="s">
        <v>1145</v>
      </c>
      <c r="C746" t="s">
        <v>2510</v>
      </c>
      <c r="D746" t="s">
        <v>2581</v>
      </c>
      <c r="E746">
        <v>2</v>
      </c>
      <c r="F746">
        <v>72900</v>
      </c>
      <c r="G746">
        <v>1000</v>
      </c>
      <c r="H746">
        <v>0</v>
      </c>
      <c r="I746" t="s">
        <v>2652</v>
      </c>
      <c r="J746" s="4">
        <f t="shared" si="33"/>
        <v>146800</v>
      </c>
      <c r="K746" s="4" t="str">
        <f t="shared" si="34"/>
        <v>2025-01</v>
      </c>
      <c r="L746" s="4" t="str">
        <f t="shared" si="35"/>
        <v>금</v>
      </c>
      <c r="M746" s="2" t="str">
        <f>VLOOKUP($C746, 고객정보!$A$2:$E$151, 2, FALSE)</f>
        <v>부산</v>
      </c>
      <c r="N746" t="str">
        <f>VLOOKUP(C746,고객정보!$A$2:$D$151,4,FALSE)</f>
        <v>L3</v>
      </c>
      <c r="O746" t="str">
        <f>VLOOKUP($C746, 고객정보!$A$2:$E$151, 5, FALSE)</f>
        <v>20대</v>
      </c>
      <c r="P746" t="str">
        <f>VLOOKUP(D746,상품정보!$A$2:$E$61,2,FALSE)</f>
        <v>귀걸이</v>
      </c>
      <c r="Q746" t="str">
        <f>VLOOKUP(D746,상품정보!$A$2:$D$151,3,FALSE)</f>
        <v>액세서리</v>
      </c>
      <c r="R746" t="str">
        <f>VLOOKUP(D746,상품정보!$A$2:$D$151,4,FALSE)</f>
        <v>브랜드F</v>
      </c>
    </row>
    <row r="747" spans="1:18" x14ac:dyDescent="0.45">
      <c r="A747" t="s">
        <v>170</v>
      </c>
      <c r="B747" t="s">
        <v>1146</v>
      </c>
      <c r="C747" t="s">
        <v>2498</v>
      </c>
      <c r="D747" t="s">
        <v>2566</v>
      </c>
      <c r="E747">
        <v>2</v>
      </c>
      <c r="F747">
        <v>60600</v>
      </c>
      <c r="G747">
        <v>1500</v>
      </c>
      <c r="H747">
        <v>2700</v>
      </c>
      <c r="I747" t="s">
        <v>2611</v>
      </c>
      <c r="J747" s="4">
        <f t="shared" si="33"/>
        <v>120000</v>
      </c>
      <c r="K747" s="4" t="str">
        <f t="shared" si="34"/>
        <v>2025-01</v>
      </c>
      <c r="L747" s="4" t="str">
        <f t="shared" si="35"/>
        <v>금</v>
      </c>
      <c r="M747" s="2" t="str">
        <f>VLOOKUP($C747, 고객정보!$A$2:$E$151, 2, FALSE)</f>
        <v>서울</v>
      </c>
      <c r="N747" t="str">
        <f>VLOOKUP(C747,고객정보!$A$2:$D$151,4,FALSE)</f>
        <v>L3</v>
      </c>
      <c r="O747" t="str">
        <f>VLOOKUP($C747, 고객정보!$A$2:$E$151, 5, FALSE)</f>
        <v>30대</v>
      </c>
      <c r="P747" t="str">
        <f>VLOOKUP(D747,상품정보!$A$2:$E$61,2,FALSE)</f>
        <v>반팔 티셔츠</v>
      </c>
      <c r="Q747" t="str">
        <f>VLOOKUP(D747,상품정보!$A$2:$D$151,3,FALSE)</f>
        <v>의류</v>
      </c>
      <c r="R747" t="str">
        <f>VLOOKUP(D747,상품정보!$A$2:$D$151,4,FALSE)</f>
        <v>브랜드A</v>
      </c>
    </row>
    <row r="748" spans="1:18" x14ac:dyDescent="0.45">
      <c r="A748" t="s">
        <v>326</v>
      </c>
      <c r="B748" t="s">
        <v>1147</v>
      </c>
      <c r="C748" t="s">
        <v>2403</v>
      </c>
      <c r="D748" t="s">
        <v>2583</v>
      </c>
      <c r="E748">
        <v>2</v>
      </c>
      <c r="F748">
        <v>6600</v>
      </c>
      <c r="G748">
        <v>0</v>
      </c>
      <c r="H748">
        <v>0</v>
      </c>
      <c r="I748" t="s">
        <v>2652</v>
      </c>
      <c r="J748" s="4">
        <f t="shared" si="33"/>
        <v>13200</v>
      </c>
      <c r="K748" s="4" t="str">
        <f t="shared" si="34"/>
        <v>2024-10</v>
      </c>
      <c r="L748" s="4" t="str">
        <f t="shared" si="35"/>
        <v>금</v>
      </c>
      <c r="M748" s="2" t="str">
        <f>VLOOKUP($C748, 고객정보!$A$2:$E$151, 2, FALSE)</f>
        <v>수원</v>
      </c>
      <c r="N748" t="str">
        <f>VLOOKUP(C748,고객정보!$A$2:$D$151,4,FALSE)</f>
        <v>L3</v>
      </c>
      <c r="O748" t="str">
        <f>VLOOKUP($C748, 고객정보!$A$2:$E$151, 5, FALSE)</f>
        <v>30대</v>
      </c>
      <c r="P748" t="str">
        <f>VLOOKUP(D748,상품정보!$A$2:$E$61,2,FALSE)</f>
        <v>셔츠</v>
      </c>
      <c r="Q748" t="str">
        <f>VLOOKUP(D748,상품정보!$A$2:$D$151,3,FALSE)</f>
        <v>의류</v>
      </c>
      <c r="R748" t="str">
        <f>VLOOKUP(D748,상품정보!$A$2:$D$151,4,FALSE)</f>
        <v>브랜드E</v>
      </c>
    </row>
    <row r="749" spans="1:18" x14ac:dyDescent="0.45">
      <c r="A749" t="s">
        <v>70</v>
      </c>
      <c r="B749" t="s">
        <v>1148</v>
      </c>
      <c r="C749" t="s">
        <v>2497</v>
      </c>
      <c r="D749" t="s">
        <v>2578</v>
      </c>
      <c r="E749">
        <v>1</v>
      </c>
      <c r="F749">
        <v>78000</v>
      </c>
      <c r="G749">
        <v>0</v>
      </c>
      <c r="H749">
        <v>0</v>
      </c>
      <c r="I749" t="s">
        <v>2652</v>
      </c>
      <c r="J749" s="4">
        <f t="shared" si="33"/>
        <v>78000</v>
      </c>
      <c r="K749" s="4" t="str">
        <f t="shared" si="34"/>
        <v>2024-02</v>
      </c>
      <c r="L749" s="4" t="str">
        <f t="shared" si="35"/>
        <v>목</v>
      </c>
      <c r="M749" s="2" t="str">
        <f>VLOOKUP($C749, 고객정보!$A$2:$E$151, 2, FALSE)</f>
        <v>서울</v>
      </c>
      <c r="N749" t="str">
        <f>VLOOKUP(C749,고객정보!$A$2:$D$151,4,FALSE)</f>
        <v>L3</v>
      </c>
      <c r="O749" t="str">
        <f>VLOOKUP($C749, 고객정보!$A$2:$E$151, 5, FALSE)</f>
        <v>10대</v>
      </c>
      <c r="P749" t="str">
        <f>VLOOKUP(D749,상품정보!$A$2:$E$61,2,FALSE)</f>
        <v>귀걸이</v>
      </c>
      <c r="Q749" t="str">
        <f>VLOOKUP(D749,상품정보!$A$2:$D$151,3,FALSE)</f>
        <v>액세서리</v>
      </c>
      <c r="R749" t="str">
        <f>VLOOKUP(D749,상품정보!$A$2:$D$151,4,FALSE)</f>
        <v>브랜드B</v>
      </c>
    </row>
    <row r="750" spans="1:18" x14ac:dyDescent="0.45">
      <c r="A750" t="s">
        <v>249</v>
      </c>
      <c r="B750" t="s">
        <v>1149</v>
      </c>
      <c r="C750" t="s">
        <v>2431</v>
      </c>
      <c r="D750" t="s">
        <v>2557</v>
      </c>
      <c r="E750">
        <v>1</v>
      </c>
      <c r="F750">
        <v>77700</v>
      </c>
      <c r="G750">
        <v>1500</v>
      </c>
      <c r="H750">
        <v>1400</v>
      </c>
      <c r="I750" t="s">
        <v>2612</v>
      </c>
      <c r="J750" s="4">
        <f t="shared" si="33"/>
        <v>77800</v>
      </c>
      <c r="K750" s="4" t="str">
        <f t="shared" si="34"/>
        <v>2024-07</v>
      </c>
      <c r="L750" s="4" t="str">
        <f t="shared" si="35"/>
        <v>화</v>
      </c>
      <c r="M750" s="2" t="str">
        <f>VLOOKUP($C750, 고객정보!$A$2:$E$151, 2, FALSE)</f>
        <v>광주</v>
      </c>
      <c r="N750" t="str">
        <f>VLOOKUP(C750,고객정보!$A$2:$D$151,4,FALSE)</f>
        <v>L3</v>
      </c>
      <c r="O750" t="str">
        <f>VLOOKUP($C750, 고객정보!$A$2:$E$151, 5, FALSE)</f>
        <v>40대</v>
      </c>
      <c r="P750" t="str">
        <f>VLOOKUP(D750,상품정보!$A$2:$E$61,2,FALSE)</f>
        <v>귀걸이</v>
      </c>
      <c r="Q750" t="str">
        <f>VLOOKUP(D750,상품정보!$A$2:$D$151,3,FALSE)</f>
        <v>액세서리</v>
      </c>
      <c r="R750" t="str">
        <f>VLOOKUP(D750,상품정보!$A$2:$D$151,4,FALSE)</f>
        <v>브랜드B</v>
      </c>
    </row>
    <row r="751" spans="1:18" x14ac:dyDescent="0.45">
      <c r="A751" t="s">
        <v>252</v>
      </c>
      <c r="B751" t="s">
        <v>1150</v>
      </c>
      <c r="C751" t="s">
        <v>2430</v>
      </c>
      <c r="D751" t="s">
        <v>2569</v>
      </c>
      <c r="E751">
        <v>2</v>
      </c>
      <c r="F751">
        <v>11400</v>
      </c>
      <c r="G751">
        <v>500</v>
      </c>
      <c r="H751">
        <v>0</v>
      </c>
      <c r="I751" t="s">
        <v>2652</v>
      </c>
      <c r="J751" s="4">
        <f t="shared" si="33"/>
        <v>23300</v>
      </c>
      <c r="K751" s="4" t="str">
        <f t="shared" si="34"/>
        <v>2024-02</v>
      </c>
      <c r="L751" s="4" t="str">
        <f t="shared" si="35"/>
        <v>일</v>
      </c>
      <c r="M751" s="2" t="str">
        <f>VLOOKUP($C751, 고객정보!$A$2:$E$151, 2, FALSE)</f>
        <v>광주</v>
      </c>
      <c r="N751" t="str">
        <f>VLOOKUP(C751,고객정보!$A$2:$D$151,4,FALSE)</f>
        <v>L4</v>
      </c>
      <c r="O751" t="str">
        <f>VLOOKUP($C751, 고객정보!$A$2:$E$151, 5, FALSE)</f>
        <v>30대</v>
      </c>
      <c r="P751" t="str">
        <f>VLOOKUP(D751,상품정보!$A$2:$E$61,2,FALSE)</f>
        <v>귀걸이</v>
      </c>
      <c r="Q751" t="str">
        <f>VLOOKUP(D751,상품정보!$A$2:$D$151,3,FALSE)</f>
        <v>액세서리</v>
      </c>
      <c r="R751" t="str">
        <f>VLOOKUP(D751,상품정보!$A$2:$D$151,4,FALSE)</f>
        <v>브랜드E</v>
      </c>
    </row>
    <row r="752" spans="1:18" x14ac:dyDescent="0.45">
      <c r="A752" t="s">
        <v>248</v>
      </c>
      <c r="B752" t="s">
        <v>1151</v>
      </c>
      <c r="C752" t="s">
        <v>2474</v>
      </c>
      <c r="D752" t="s">
        <v>2594</v>
      </c>
      <c r="E752">
        <v>2</v>
      </c>
      <c r="F752">
        <v>73000</v>
      </c>
      <c r="G752">
        <v>0</v>
      </c>
      <c r="H752">
        <v>0</v>
      </c>
      <c r="I752" t="s">
        <v>2652</v>
      </c>
      <c r="J752" s="4">
        <f t="shared" si="33"/>
        <v>146000</v>
      </c>
      <c r="K752" s="4" t="str">
        <f t="shared" si="34"/>
        <v>2024-09</v>
      </c>
      <c r="L752" s="4" t="str">
        <f t="shared" si="35"/>
        <v>일</v>
      </c>
      <c r="M752" s="2" t="str">
        <f>VLOOKUP($C752, 고객정보!$A$2:$E$151, 2, FALSE)</f>
        <v>인천</v>
      </c>
      <c r="N752" t="str">
        <f>VLOOKUP(C752,고객정보!$A$2:$D$151,4,FALSE)</f>
        <v>L2</v>
      </c>
      <c r="O752" t="str">
        <f>VLOOKUP($C752, 고객정보!$A$2:$E$151, 5, FALSE)</f>
        <v>10대</v>
      </c>
      <c r="P752" t="str">
        <f>VLOOKUP(D752,상품정보!$A$2:$E$61,2,FALSE)</f>
        <v>자켓</v>
      </c>
      <c r="Q752" t="str">
        <f>VLOOKUP(D752,상품정보!$A$2:$D$151,3,FALSE)</f>
        <v>의류</v>
      </c>
      <c r="R752" t="str">
        <f>VLOOKUP(D752,상품정보!$A$2:$D$151,4,FALSE)</f>
        <v>브랜드A</v>
      </c>
    </row>
    <row r="753" spans="1:18" x14ac:dyDescent="0.45">
      <c r="A753" t="s">
        <v>188</v>
      </c>
      <c r="B753" t="s">
        <v>1152</v>
      </c>
      <c r="C753" t="s">
        <v>2462</v>
      </c>
      <c r="D753" t="s">
        <v>2599</v>
      </c>
      <c r="E753">
        <v>1</v>
      </c>
      <c r="F753">
        <v>73800</v>
      </c>
      <c r="G753">
        <v>0</v>
      </c>
      <c r="H753">
        <v>600</v>
      </c>
      <c r="I753" t="s">
        <v>2613</v>
      </c>
      <c r="J753" s="4">
        <f t="shared" si="33"/>
        <v>73200</v>
      </c>
      <c r="K753" s="4" t="str">
        <f t="shared" si="34"/>
        <v>2024-11</v>
      </c>
      <c r="L753" s="4" t="str">
        <f t="shared" si="35"/>
        <v>화</v>
      </c>
      <c r="M753" s="2" t="str">
        <f>VLOOKUP($C753, 고객정보!$A$2:$E$151, 2, FALSE)</f>
        <v>광주</v>
      </c>
      <c r="N753" t="str">
        <f>VLOOKUP(C753,고객정보!$A$2:$D$151,4,FALSE)</f>
        <v>L5</v>
      </c>
      <c r="O753" t="str">
        <f>VLOOKUP($C753, 고객정보!$A$2:$E$151, 5, FALSE)</f>
        <v>50대 이상</v>
      </c>
      <c r="P753" t="str">
        <f>VLOOKUP(D753,상품정보!$A$2:$E$61,2,FALSE)</f>
        <v>핸드폰케이스</v>
      </c>
      <c r="Q753" t="str">
        <f>VLOOKUP(D753,상품정보!$A$2:$D$151,3,FALSE)</f>
        <v>액세서리</v>
      </c>
      <c r="R753" t="str">
        <f>VLOOKUP(D753,상품정보!$A$2:$D$151,4,FALSE)</f>
        <v>브랜드F</v>
      </c>
    </row>
    <row r="754" spans="1:18" x14ac:dyDescent="0.45">
      <c r="A754" t="s">
        <v>242</v>
      </c>
      <c r="B754" t="s">
        <v>1153</v>
      </c>
      <c r="C754" t="s">
        <v>2545</v>
      </c>
      <c r="D754" t="s">
        <v>2567</v>
      </c>
      <c r="E754">
        <v>4</v>
      </c>
      <c r="F754">
        <v>58600</v>
      </c>
      <c r="G754">
        <v>500</v>
      </c>
      <c r="H754">
        <v>0</v>
      </c>
      <c r="I754" t="s">
        <v>2652</v>
      </c>
      <c r="J754" s="4">
        <f t="shared" si="33"/>
        <v>234900</v>
      </c>
      <c r="K754" s="4" t="str">
        <f t="shared" si="34"/>
        <v>2024-01</v>
      </c>
      <c r="L754" s="4" t="str">
        <f t="shared" si="35"/>
        <v>화</v>
      </c>
      <c r="M754" s="2" t="str">
        <f>VLOOKUP($C754, 고객정보!$A$2:$E$151, 2, FALSE)</f>
        <v>서울</v>
      </c>
      <c r="N754" t="str">
        <f>VLOOKUP(C754,고객정보!$A$2:$D$151,4,FALSE)</f>
        <v>L4</v>
      </c>
      <c r="O754" t="str">
        <f>VLOOKUP($C754, 고객정보!$A$2:$E$151, 5, FALSE)</f>
        <v>30대</v>
      </c>
      <c r="P754" t="str">
        <f>VLOOKUP(D754,상품정보!$A$2:$E$61,2,FALSE)</f>
        <v>귀걸이</v>
      </c>
      <c r="Q754" t="str">
        <f>VLOOKUP(D754,상품정보!$A$2:$D$151,3,FALSE)</f>
        <v>액세서리</v>
      </c>
      <c r="R754" t="str">
        <f>VLOOKUP(D754,상품정보!$A$2:$D$151,4,FALSE)</f>
        <v>브랜드B</v>
      </c>
    </row>
    <row r="755" spans="1:18" x14ac:dyDescent="0.45">
      <c r="A755" t="s">
        <v>104</v>
      </c>
      <c r="B755" t="s">
        <v>1154</v>
      </c>
      <c r="C755" t="s">
        <v>2408</v>
      </c>
      <c r="D755" t="s">
        <v>2561</v>
      </c>
      <c r="E755">
        <v>5</v>
      </c>
      <c r="F755">
        <v>63300</v>
      </c>
      <c r="G755">
        <v>0</v>
      </c>
      <c r="H755">
        <v>0</v>
      </c>
      <c r="I755" t="s">
        <v>2652</v>
      </c>
      <c r="J755" s="4">
        <f t="shared" si="33"/>
        <v>316500</v>
      </c>
      <c r="K755" s="4" t="str">
        <f t="shared" si="34"/>
        <v>2024-07</v>
      </c>
      <c r="L755" s="4" t="str">
        <f t="shared" si="35"/>
        <v>월</v>
      </c>
      <c r="M755" s="2" t="str">
        <f>VLOOKUP($C755, 고객정보!$A$2:$E$151, 2, FALSE)</f>
        <v>수원</v>
      </c>
      <c r="N755" t="str">
        <f>VLOOKUP(C755,고객정보!$A$2:$D$151,4,FALSE)</f>
        <v>L5</v>
      </c>
      <c r="O755" t="str">
        <f>VLOOKUP($C755, 고객정보!$A$2:$E$151, 5, FALSE)</f>
        <v>20대</v>
      </c>
      <c r="P755" t="str">
        <f>VLOOKUP(D755,상품정보!$A$2:$E$61,2,FALSE)</f>
        <v>귀걸이</v>
      </c>
      <c r="Q755" t="str">
        <f>VLOOKUP(D755,상품정보!$A$2:$D$151,3,FALSE)</f>
        <v>액세서리</v>
      </c>
      <c r="R755" t="str">
        <f>VLOOKUP(D755,상품정보!$A$2:$D$151,4,FALSE)</f>
        <v>브랜드B</v>
      </c>
    </row>
    <row r="756" spans="1:18" x14ac:dyDescent="0.45">
      <c r="A756" t="s">
        <v>45</v>
      </c>
      <c r="B756" t="s">
        <v>1155</v>
      </c>
      <c r="C756" t="s">
        <v>2514</v>
      </c>
      <c r="D756" t="s">
        <v>2551</v>
      </c>
      <c r="E756">
        <v>5</v>
      </c>
      <c r="F756">
        <v>66600</v>
      </c>
      <c r="G756">
        <v>0</v>
      </c>
      <c r="H756">
        <v>0</v>
      </c>
      <c r="I756" t="s">
        <v>2652</v>
      </c>
      <c r="J756" s="4">
        <f t="shared" si="33"/>
        <v>333000</v>
      </c>
      <c r="K756" s="4" t="str">
        <f t="shared" si="34"/>
        <v>2025-01</v>
      </c>
      <c r="L756" s="4" t="str">
        <f t="shared" si="35"/>
        <v>토</v>
      </c>
      <c r="M756" s="2" t="str">
        <f>VLOOKUP($C756, 고객정보!$A$2:$E$151, 2, FALSE)</f>
        <v>대구</v>
      </c>
      <c r="N756" t="str">
        <f>VLOOKUP(C756,고객정보!$A$2:$D$151,4,FALSE)</f>
        <v>L1</v>
      </c>
      <c r="O756" t="str">
        <f>VLOOKUP($C756, 고객정보!$A$2:$E$151, 5, FALSE)</f>
        <v>20대</v>
      </c>
      <c r="P756" t="str">
        <f>VLOOKUP(D756,상품정보!$A$2:$E$61,2,FALSE)</f>
        <v>반지</v>
      </c>
      <c r="Q756" t="str">
        <f>VLOOKUP(D756,상품정보!$A$2:$D$151,3,FALSE)</f>
        <v>액세서리</v>
      </c>
      <c r="R756" t="str">
        <f>VLOOKUP(D756,상품정보!$A$2:$D$151,4,FALSE)</f>
        <v>브랜드B</v>
      </c>
    </row>
    <row r="757" spans="1:18" x14ac:dyDescent="0.45">
      <c r="A757" t="s">
        <v>242</v>
      </c>
      <c r="B757" t="s">
        <v>1156</v>
      </c>
      <c r="C757" t="s">
        <v>2508</v>
      </c>
      <c r="D757" t="s">
        <v>2561</v>
      </c>
      <c r="E757">
        <v>3</v>
      </c>
      <c r="F757">
        <v>63300</v>
      </c>
      <c r="G757">
        <v>0</v>
      </c>
      <c r="H757">
        <v>500</v>
      </c>
      <c r="I757" t="s">
        <v>2614</v>
      </c>
      <c r="J757" s="4">
        <f t="shared" si="33"/>
        <v>189400</v>
      </c>
      <c r="K757" s="4" t="str">
        <f t="shared" si="34"/>
        <v>2024-01</v>
      </c>
      <c r="L757" s="4" t="str">
        <f t="shared" si="35"/>
        <v>화</v>
      </c>
      <c r="M757" s="2" t="str">
        <f>VLOOKUP($C757, 고객정보!$A$2:$E$151, 2, FALSE)</f>
        <v>광주</v>
      </c>
      <c r="N757" t="str">
        <f>VLOOKUP(C757,고객정보!$A$2:$D$151,4,FALSE)</f>
        <v>L1</v>
      </c>
      <c r="O757" t="str">
        <f>VLOOKUP($C757, 고객정보!$A$2:$E$151, 5, FALSE)</f>
        <v>50대 이상</v>
      </c>
      <c r="P757" t="str">
        <f>VLOOKUP(D757,상품정보!$A$2:$E$61,2,FALSE)</f>
        <v>귀걸이</v>
      </c>
      <c r="Q757" t="str">
        <f>VLOOKUP(D757,상품정보!$A$2:$D$151,3,FALSE)</f>
        <v>액세서리</v>
      </c>
      <c r="R757" t="str">
        <f>VLOOKUP(D757,상품정보!$A$2:$D$151,4,FALSE)</f>
        <v>브랜드B</v>
      </c>
    </row>
    <row r="758" spans="1:18" x14ac:dyDescent="0.45">
      <c r="A758" t="s">
        <v>340</v>
      </c>
      <c r="B758" t="s">
        <v>1157</v>
      </c>
      <c r="C758" t="s">
        <v>2519</v>
      </c>
      <c r="D758" t="s">
        <v>2602</v>
      </c>
      <c r="E758">
        <v>4</v>
      </c>
      <c r="F758">
        <v>59900</v>
      </c>
      <c r="G758">
        <v>1000</v>
      </c>
      <c r="H758">
        <v>0</v>
      </c>
      <c r="I758" t="s">
        <v>2652</v>
      </c>
      <c r="J758" s="4">
        <f t="shared" si="33"/>
        <v>240600</v>
      </c>
      <c r="K758" s="4" t="str">
        <f t="shared" si="34"/>
        <v>2024-04</v>
      </c>
      <c r="L758" s="4" t="str">
        <f t="shared" si="35"/>
        <v>월</v>
      </c>
      <c r="M758" s="2" t="str">
        <f>VLOOKUP($C758, 고객정보!$A$2:$E$151, 2, FALSE)</f>
        <v>서울</v>
      </c>
      <c r="N758" t="str">
        <f>VLOOKUP(C758,고객정보!$A$2:$D$151,4,FALSE)</f>
        <v>L4</v>
      </c>
      <c r="O758" t="str">
        <f>VLOOKUP($C758, 고객정보!$A$2:$E$151, 5, FALSE)</f>
        <v>20대</v>
      </c>
      <c r="P758" t="str">
        <f>VLOOKUP(D758,상품정보!$A$2:$E$61,2,FALSE)</f>
        <v>셔츠</v>
      </c>
      <c r="Q758" t="str">
        <f>VLOOKUP(D758,상품정보!$A$2:$D$151,3,FALSE)</f>
        <v>의류</v>
      </c>
      <c r="R758" t="str">
        <f>VLOOKUP(D758,상품정보!$A$2:$D$151,4,FALSE)</f>
        <v>브랜드A</v>
      </c>
    </row>
    <row r="759" spans="1:18" x14ac:dyDescent="0.45">
      <c r="A759" t="s">
        <v>264</v>
      </c>
      <c r="B759" t="s">
        <v>1158</v>
      </c>
      <c r="C759" t="s">
        <v>2438</v>
      </c>
      <c r="D759" t="s">
        <v>2582</v>
      </c>
      <c r="E759">
        <v>1</v>
      </c>
      <c r="F759">
        <v>12500</v>
      </c>
      <c r="G759">
        <v>0</v>
      </c>
      <c r="H759">
        <v>0</v>
      </c>
      <c r="I759" t="s">
        <v>2652</v>
      </c>
      <c r="J759" s="4">
        <f t="shared" si="33"/>
        <v>12500</v>
      </c>
      <c r="K759" s="4" t="str">
        <f t="shared" si="34"/>
        <v>2024-09</v>
      </c>
      <c r="L759" s="4" t="str">
        <f t="shared" si="35"/>
        <v>수</v>
      </c>
      <c r="M759" s="2" t="str">
        <f>VLOOKUP($C759, 고객정보!$A$2:$E$151, 2, FALSE)</f>
        <v>대구</v>
      </c>
      <c r="N759" t="str">
        <f>VLOOKUP(C759,고객정보!$A$2:$D$151,4,FALSE)</f>
        <v>L4</v>
      </c>
      <c r="O759" t="str">
        <f>VLOOKUP($C759, 고객정보!$A$2:$E$151, 5, FALSE)</f>
        <v>30대</v>
      </c>
      <c r="P759" t="str">
        <f>VLOOKUP(D759,상품정보!$A$2:$E$61,2,FALSE)</f>
        <v>셔츠</v>
      </c>
      <c r="Q759" t="str">
        <f>VLOOKUP(D759,상품정보!$A$2:$D$151,3,FALSE)</f>
        <v>의류</v>
      </c>
      <c r="R759" t="str">
        <f>VLOOKUP(D759,상품정보!$A$2:$D$151,4,FALSE)</f>
        <v>브랜드D</v>
      </c>
    </row>
    <row r="760" spans="1:18" x14ac:dyDescent="0.45">
      <c r="A760" t="s">
        <v>101</v>
      </c>
      <c r="B760" t="s">
        <v>1159</v>
      </c>
      <c r="C760" t="s">
        <v>2474</v>
      </c>
      <c r="D760" t="s">
        <v>2585</v>
      </c>
      <c r="E760">
        <v>2</v>
      </c>
      <c r="F760">
        <v>14900</v>
      </c>
      <c r="G760">
        <v>0</v>
      </c>
      <c r="H760">
        <v>12300</v>
      </c>
      <c r="I760" t="s">
        <v>2614</v>
      </c>
      <c r="J760" s="4">
        <f t="shared" si="33"/>
        <v>17500</v>
      </c>
      <c r="K760" s="4" t="str">
        <f t="shared" si="34"/>
        <v>2024-11</v>
      </c>
      <c r="L760" s="4" t="str">
        <f t="shared" si="35"/>
        <v>수</v>
      </c>
      <c r="M760" s="2" t="str">
        <f>VLOOKUP($C760, 고객정보!$A$2:$E$151, 2, FALSE)</f>
        <v>인천</v>
      </c>
      <c r="N760" t="str">
        <f>VLOOKUP(C760,고객정보!$A$2:$D$151,4,FALSE)</f>
        <v>L2</v>
      </c>
      <c r="O760" t="str">
        <f>VLOOKUP($C760, 고객정보!$A$2:$E$151, 5, FALSE)</f>
        <v>10대</v>
      </c>
      <c r="P760" t="str">
        <f>VLOOKUP(D760,상품정보!$A$2:$E$61,2,FALSE)</f>
        <v>반팔 티셔츠</v>
      </c>
      <c r="Q760" t="str">
        <f>VLOOKUP(D760,상품정보!$A$2:$D$151,3,FALSE)</f>
        <v>의류</v>
      </c>
      <c r="R760" t="str">
        <f>VLOOKUP(D760,상품정보!$A$2:$D$151,4,FALSE)</f>
        <v>브랜드C</v>
      </c>
    </row>
    <row r="761" spans="1:18" x14ac:dyDescent="0.45">
      <c r="A761" t="s">
        <v>197</v>
      </c>
      <c r="B761" t="s">
        <v>1160</v>
      </c>
      <c r="C761" t="s">
        <v>2513</v>
      </c>
      <c r="D761" t="s">
        <v>2605</v>
      </c>
      <c r="E761">
        <v>3</v>
      </c>
      <c r="F761">
        <v>6800</v>
      </c>
      <c r="G761">
        <v>2000</v>
      </c>
      <c r="H761">
        <v>0</v>
      </c>
      <c r="I761" t="s">
        <v>2652</v>
      </c>
      <c r="J761" s="4">
        <f t="shared" si="33"/>
        <v>22400</v>
      </c>
      <c r="K761" s="4" t="str">
        <f t="shared" si="34"/>
        <v>2024-05</v>
      </c>
      <c r="L761" s="4" t="str">
        <f t="shared" si="35"/>
        <v>목</v>
      </c>
      <c r="M761" s="2" t="str">
        <f>VLOOKUP($C761, 고객정보!$A$2:$E$151, 2, FALSE)</f>
        <v>수원</v>
      </c>
      <c r="N761" t="str">
        <f>VLOOKUP(C761,고객정보!$A$2:$D$151,4,FALSE)</f>
        <v>L5</v>
      </c>
      <c r="O761" t="str">
        <f>VLOOKUP($C761, 고객정보!$A$2:$E$151, 5, FALSE)</f>
        <v>20대</v>
      </c>
      <c r="P761" t="str">
        <f>VLOOKUP(D761,상품정보!$A$2:$E$61,2,FALSE)</f>
        <v>핸드폰케이스</v>
      </c>
      <c r="Q761" t="str">
        <f>VLOOKUP(D761,상품정보!$A$2:$D$151,3,FALSE)</f>
        <v>액세서리</v>
      </c>
      <c r="R761" t="str">
        <f>VLOOKUP(D761,상품정보!$A$2:$D$151,4,FALSE)</f>
        <v>브랜드D</v>
      </c>
    </row>
    <row r="762" spans="1:18" x14ac:dyDescent="0.45">
      <c r="A762" t="s">
        <v>262</v>
      </c>
      <c r="B762" t="s">
        <v>1161</v>
      </c>
      <c r="C762" t="s">
        <v>2533</v>
      </c>
      <c r="D762" t="s">
        <v>2553</v>
      </c>
      <c r="E762">
        <v>3</v>
      </c>
      <c r="F762">
        <v>63400</v>
      </c>
      <c r="G762">
        <v>500</v>
      </c>
      <c r="H762">
        <v>0</v>
      </c>
      <c r="I762" t="s">
        <v>2652</v>
      </c>
      <c r="J762" s="4">
        <f t="shared" si="33"/>
        <v>190700</v>
      </c>
      <c r="K762" s="4" t="str">
        <f t="shared" si="34"/>
        <v>2024-07</v>
      </c>
      <c r="L762" s="4" t="str">
        <f t="shared" si="35"/>
        <v>금</v>
      </c>
      <c r="M762" s="2" t="str">
        <f>VLOOKUP($C762, 고객정보!$A$2:$E$151, 2, FALSE)</f>
        <v>인천</v>
      </c>
      <c r="N762" t="str">
        <f>VLOOKUP(C762,고객정보!$A$2:$D$151,4,FALSE)</f>
        <v>L5</v>
      </c>
      <c r="O762" t="str">
        <f>VLOOKUP($C762, 고객정보!$A$2:$E$151, 5, FALSE)</f>
        <v>30대</v>
      </c>
      <c r="P762" t="str">
        <f>VLOOKUP(D762,상품정보!$A$2:$E$61,2,FALSE)</f>
        <v>귀걸이</v>
      </c>
      <c r="Q762" t="str">
        <f>VLOOKUP(D762,상품정보!$A$2:$D$151,3,FALSE)</f>
        <v>액세서리</v>
      </c>
      <c r="R762" t="str">
        <f>VLOOKUP(D762,상품정보!$A$2:$D$151,4,FALSE)</f>
        <v>브랜드F</v>
      </c>
    </row>
    <row r="763" spans="1:18" x14ac:dyDescent="0.45">
      <c r="A763" t="s">
        <v>76</v>
      </c>
      <c r="B763" t="s">
        <v>1162</v>
      </c>
      <c r="C763" t="s">
        <v>2413</v>
      </c>
      <c r="D763" t="s">
        <v>2563</v>
      </c>
      <c r="E763">
        <v>2</v>
      </c>
      <c r="F763">
        <v>6900</v>
      </c>
      <c r="G763">
        <v>0</v>
      </c>
      <c r="H763">
        <v>0</v>
      </c>
      <c r="I763" t="s">
        <v>2652</v>
      </c>
      <c r="J763" s="4">
        <f t="shared" si="33"/>
        <v>13800</v>
      </c>
      <c r="K763" s="4" t="str">
        <f t="shared" si="34"/>
        <v>2024-12</v>
      </c>
      <c r="L763" s="4" t="str">
        <f t="shared" si="35"/>
        <v>일</v>
      </c>
      <c r="M763" s="2" t="str">
        <f>VLOOKUP($C763, 고객정보!$A$2:$E$151, 2, FALSE)</f>
        <v>서울</v>
      </c>
      <c r="N763" t="str">
        <f>VLOOKUP(C763,고객정보!$A$2:$D$151,4,FALSE)</f>
        <v>L5</v>
      </c>
      <c r="O763" t="str">
        <f>VLOOKUP($C763, 고객정보!$A$2:$E$151, 5, FALSE)</f>
        <v>30대</v>
      </c>
      <c r="P763" t="str">
        <f>VLOOKUP(D763,상품정보!$A$2:$E$61,2,FALSE)</f>
        <v>귀걸이</v>
      </c>
      <c r="Q763" t="str">
        <f>VLOOKUP(D763,상품정보!$A$2:$D$151,3,FALSE)</f>
        <v>액세서리</v>
      </c>
      <c r="R763" t="str">
        <f>VLOOKUP(D763,상품정보!$A$2:$D$151,4,FALSE)</f>
        <v>브랜드D</v>
      </c>
    </row>
    <row r="764" spans="1:18" x14ac:dyDescent="0.45">
      <c r="A764" t="s">
        <v>323</v>
      </c>
      <c r="B764" t="s">
        <v>1163</v>
      </c>
      <c r="C764" t="s">
        <v>2402</v>
      </c>
      <c r="D764" t="s">
        <v>2600</v>
      </c>
      <c r="E764">
        <v>1</v>
      </c>
      <c r="F764">
        <v>10900</v>
      </c>
      <c r="G764">
        <v>0</v>
      </c>
      <c r="H764">
        <v>0</v>
      </c>
      <c r="I764" t="s">
        <v>2652</v>
      </c>
      <c r="J764" s="4">
        <f t="shared" si="33"/>
        <v>10900</v>
      </c>
      <c r="K764" s="4" t="str">
        <f t="shared" si="34"/>
        <v>2024-11</v>
      </c>
      <c r="L764" s="4" t="str">
        <f t="shared" si="35"/>
        <v>토</v>
      </c>
      <c r="M764" s="2" t="str">
        <f>VLOOKUP($C764, 고객정보!$A$2:$E$151, 2, FALSE)</f>
        <v>서울</v>
      </c>
      <c r="N764" t="str">
        <f>VLOOKUP(C764,고객정보!$A$2:$D$151,4,FALSE)</f>
        <v>L2</v>
      </c>
      <c r="O764" t="str">
        <f>VLOOKUP($C764, 고객정보!$A$2:$E$151, 5, FALSE)</f>
        <v>30대</v>
      </c>
      <c r="P764" t="str">
        <f>VLOOKUP(D764,상품정보!$A$2:$E$61,2,FALSE)</f>
        <v>셔츠</v>
      </c>
      <c r="Q764" t="str">
        <f>VLOOKUP(D764,상품정보!$A$2:$D$151,3,FALSE)</f>
        <v>의류</v>
      </c>
      <c r="R764" t="str">
        <f>VLOOKUP(D764,상품정보!$A$2:$D$151,4,FALSE)</f>
        <v>브랜드E</v>
      </c>
    </row>
    <row r="765" spans="1:18" x14ac:dyDescent="0.45">
      <c r="A765" t="s">
        <v>29</v>
      </c>
      <c r="B765" t="s">
        <v>1164</v>
      </c>
      <c r="C765" t="s">
        <v>2404</v>
      </c>
      <c r="D765" t="s">
        <v>2553</v>
      </c>
      <c r="E765">
        <v>4</v>
      </c>
      <c r="F765">
        <v>63400</v>
      </c>
      <c r="G765">
        <v>500</v>
      </c>
      <c r="H765">
        <v>6200</v>
      </c>
      <c r="I765" t="s">
        <v>2613</v>
      </c>
      <c r="J765" s="4">
        <f t="shared" si="33"/>
        <v>247900</v>
      </c>
      <c r="K765" s="4" t="str">
        <f t="shared" si="34"/>
        <v>2024-07</v>
      </c>
      <c r="L765" s="4" t="str">
        <f t="shared" si="35"/>
        <v>토</v>
      </c>
      <c r="M765" s="2" t="str">
        <f>VLOOKUP($C765, 고객정보!$A$2:$E$151, 2, FALSE)</f>
        <v>대구</v>
      </c>
      <c r="N765" t="str">
        <f>VLOOKUP(C765,고객정보!$A$2:$D$151,4,FALSE)</f>
        <v>L1</v>
      </c>
      <c r="O765" t="str">
        <f>VLOOKUP($C765, 고객정보!$A$2:$E$151, 5, FALSE)</f>
        <v>30대</v>
      </c>
      <c r="P765" t="str">
        <f>VLOOKUP(D765,상품정보!$A$2:$E$61,2,FALSE)</f>
        <v>귀걸이</v>
      </c>
      <c r="Q765" t="str">
        <f>VLOOKUP(D765,상품정보!$A$2:$D$151,3,FALSE)</f>
        <v>액세서리</v>
      </c>
      <c r="R765" t="str">
        <f>VLOOKUP(D765,상품정보!$A$2:$D$151,4,FALSE)</f>
        <v>브랜드F</v>
      </c>
    </row>
    <row r="766" spans="1:18" x14ac:dyDescent="0.45">
      <c r="A766" t="s">
        <v>259</v>
      </c>
      <c r="B766" t="s">
        <v>1165</v>
      </c>
      <c r="C766" t="s">
        <v>2538</v>
      </c>
      <c r="D766" t="s">
        <v>2562</v>
      </c>
      <c r="E766">
        <v>4</v>
      </c>
      <c r="F766">
        <v>15600</v>
      </c>
      <c r="G766">
        <v>500</v>
      </c>
      <c r="H766">
        <v>0</v>
      </c>
      <c r="I766" t="s">
        <v>2652</v>
      </c>
      <c r="J766" s="4">
        <f t="shared" si="33"/>
        <v>62900</v>
      </c>
      <c r="K766" s="4" t="str">
        <f t="shared" si="34"/>
        <v>2024-01</v>
      </c>
      <c r="L766" s="4" t="str">
        <f t="shared" si="35"/>
        <v>월</v>
      </c>
      <c r="M766" s="2" t="str">
        <f>VLOOKUP($C766, 고객정보!$A$2:$E$151, 2, FALSE)</f>
        <v>대구</v>
      </c>
      <c r="N766" t="str">
        <f>VLOOKUP(C766,고객정보!$A$2:$D$151,4,FALSE)</f>
        <v>L4</v>
      </c>
      <c r="O766" t="str">
        <f>VLOOKUP($C766, 고객정보!$A$2:$E$151, 5, FALSE)</f>
        <v>40대</v>
      </c>
      <c r="P766" t="str">
        <f>VLOOKUP(D766,상품정보!$A$2:$E$61,2,FALSE)</f>
        <v>반팔 티셔츠</v>
      </c>
      <c r="Q766" t="str">
        <f>VLOOKUP(D766,상품정보!$A$2:$D$151,3,FALSE)</f>
        <v>의류</v>
      </c>
      <c r="R766" t="str">
        <f>VLOOKUP(D766,상품정보!$A$2:$D$151,4,FALSE)</f>
        <v>브랜드E</v>
      </c>
    </row>
    <row r="767" spans="1:18" x14ac:dyDescent="0.45">
      <c r="A767" t="s">
        <v>148</v>
      </c>
      <c r="B767" t="s">
        <v>1166</v>
      </c>
      <c r="C767" t="s">
        <v>2435</v>
      </c>
      <c r="D767" t="s">
        <v>2606</v>
      </c>
      <c r="E767">
        <v>2</v>
      </c>
      <c r="F767">
        <v>15000</v>
      </c>
      <c r="G767">
        <v>1500</v>
      </c>
      <c r="H767">
        <v>0</v>
      </c>
      <c r="I767" t="s">
        <v>2652</v>
      </c>
      <c r="J767" s="4">
        <f t="shared" si="33"/>
        <v>31500</v>
      </c>
      <c r="K767" s="4" t="str">
        <f t="shared" si="34"/>
        <v>2024-02</v>
      </c>
      <c r="L767" s="4" t="str">
        <f t="shared" si="35"/>
        <v>월</v>
      </c>
      <c r="M767" s="2" t="str">
        <f>VLOOKUP($C767, 고객정보!$A$2:$E$151, 2, FALSE)</f>
        <v>인천</v>
      </c>
      <c r="N767" t="str">
        <f>VLOOKUP(C767,고객정보!$A$2:$D$151,4,FALSE)</f>
        <v>L5</v>
      </c>
      <c r="O767" t="str">
        <f>VLOOKUP($C767, 고객정보!$A$2:$E$151, 5, FALSE)</f>
        <v>30대</v>
      </c>
      <c r="P767" t="str">
        <f>VLOOKUP(D767,상품정보!$A$2:$E$61,2,FALSE)</f>
        <v>귀걸이</v>
      </c>
      <c r="Q767" t="str">
        <f>VLOOKUP(D767,상품정보!$A$2:$D$151,3,FALSE)</f>
        <v>액세서리</v>
      </c>
      <c r="R767" t="str">
        <f>VLOOKUP(D767,상품정보!$A$2:$D$151,4,FALSE)</f>
        <v>브랜드E</v>
      </c>
    </row>
    <row r="768" spans="1:18" x14ac:dyDescent="0.45">
      <c r="A768" t="s">
        <v>172</v>
      </c>
      <c r="B768" t="s">
        <v>1167</v>
      </c>
      <c r="C768" t="s">
        <v>2530</v>
      </c>
      <c r="D768" t="s">
        <v>2610</v>
      </c>
      <c r="E768">
        <v>4</v>
      </c>
      <c r="F768">
        <v>18800</v>
      </c>
      <c r="G768">
        <v>0</v>
      </c>
      <c r="H768">
        <v>6600</v>
      </c>
      <c r="I768" t="s">
        <v>2612</v>
      </c>
      <c r="J768" s="4">
        <f t="shared" si="33"/>
        <v>68600</v>
      </c>
      <c r="K768" s="4" t="str">
        <f t="shared" si="34"/>
        <v>2024-11</v>
      </c>
      <c r="L768" s="4" t="str">
        <f t="shared" si="35"/>
        <v>화</v>
      </c>
      <c r="M768" s="2" t="str">
        <f>VLOOKUP($C768, 고객정보!$A$2:$E$151, 2, FALSE)</f>
        <v>대전</v>
      </c>
      <c r="N768" t="str">
        <f>VLOOKUP(C768,고객정보!$A$2:$D$151,4,FALSE)</f>
        <v>L2</v>
      </c>
      <c r="O768" t="str">
        <f>VLOOKUP($C768, 고객정보!$A$2:$E$151, 5, FALSE)</f>
        <v>20대</v>
      </c>
      <c r="P768" t="str">
        <f>VLOOKUP(D768,상품정보!$A$2:$E$61,2,FALSE)</f>
        <v>자켓</v>
      </c>
      <c r="Q768" t="str">
        <f>VLOOKUP(D768,상품정보!$A$2:$D$151,3,FALSE)</f>
        <v>의류</v>
      </c>
      <c r="R768" t="str">
        <f>VLOOKUP(D768,상품정보!$A$2:$D$151,4,FALSE)</f>
        <v>브랜드E</v>
      </c>
    </row>
    <row r="769" spans="1:18" x14ac:dyDescent="0.45">
      <c r="A769" t="s">
        <v>341</v>
      </c>
      <c r="B769" t="s">
        <v>1168</v>
      </c>
      <c r="C769" t="s">
        <v>2481</v>
      </c>
      <c r="D769" t="s">
        <v>2563</v>
      </c>
      <c r="E769">
        <v>1</v>
      </c>
      <c r="F769">
        <v>6900</v>
      </c>
      <c r="G769">
        <v>1000</v>
      </c>
      <c r="H769">
        <v>300</v>
      </c>
      <c r="I769" t="s">
        <v>2614</v>
      </c>
      <c r="J769" s="4">
        <f t="shared" si="33"/>
        <v>7600</v>
      </c>
      <c r="K769" s="4" t="str">
        <f t="shared" si="34"/>
        <v>2024-09</v>
      </c>
      <c r="L769" s="4" t="str">
        <f t="shared" si="35"/>
        <v>금</v>
      </c>
      <c r="M769" s="2" t="str">
        <f>VLOOKUP($C769, 고객정보!$A$2:$E$151, 2, FALSE)</f>
        <v>부산</v>
      </c>
      <c r="N769" t="str">
        <f>VLOOKUP(C769,고객정보!$A$2:$D$151,4,FALSE)</f>
        <v>L5</v>
      </c>
      <c r="O769" t="str">
        <f>VLOOKUP($C769, 고객정보!$A$2:$E$151, 5, FALSE)</f>
        <v>20대</v>
      </c>
      <c r="P769" t="str">
        <f>VLOOKUP(D769,상품정보!$A$2:$E$61,2,FALSE)</f>
        <v>귀걸이</v>
      </c>
      <c r="Q769" t="str">
        <f>VLOOKUP(D769,상품정보!$A$2:$D$151,3,FALSE)</f>
        <v>액세서리</v>
      </c>
      <c r="R769" t="str">
        <f>VLOOKUP(D769,상품정보!$A$2:$D$151,4,FALSE)</f>
        <v>브랜드D</v>
      </c>
    </row>
    <row r="770" spans="1:18" x14ac:dyDescent="0.45">
      <c r="A770" t="s">
        <v>174</v>
      </c>
      <c r="B770" t="s">
        <v>1169</v>
      </c>
      <c r="C770" t="s">
        <v>2476</v>
      </c>
      <c r="D770" t="s">
        <v>2607</v>
      </c>
      <c r="E770">
        <v>2</v>
      </c>
      <c r="F770">
        <v>16000</v>
      </c>
      <c r="G770">
        <v>500</v>
      </c>
      <c r="H770">
        <v>0</v>
      </c>
      <c r="I770" t="s">
        <v>2652</v>
      </c>
      <c r="J770" s="4">
        <f t="shared" si="33"/>
        <v>32500</v>
      </c>
      <c r="K770" s="4" t="str">
        <f t="shared" si="34"/>
        <v>2024-12</v>
      </c>
      <c r="L770" s="4" t="str">
        <f t="shared" si="35"/>
        <v>금</v>
      </c>
      <c r="M770" s="2" t="str">
        <f>VLOOKUP($C770, 고객정보!$A$2:$E$151, 2, FALSE)</f>
        <v>서울</v>
      </c>
      <c r="N770" t="str">
        <f>VLOOKUP(C770,고객정보!$A$2:$D$151,4,FALSE)</f>
        <v>L2</v>
      </c>
      <c r="O770" t="str">
        <f>VLOOKUP($C770, 고객정보!$A$2:$E$151, 5, FALSE)</f>
        <v>10대</v>
      </c>
      <c r="P770" t="str">
        <f>VLOOKUP(D770,상품정보!$A$2:$E$61,2,FALSE)</f>
        <v>목걸이</v>
      </c>
      <c r="Q770" t="str">
        <f>VLOOKUP(D770,상품정보!$A$2:$D$151,3,FALSE)</f>
        <v>액세서리</v>
      </c>
      <c r="R770" t="str">
        <f>VLOOKUP(D770,상품정보!$A$2:$D$151,4,FALSE)</f>
        <v>브랜드E</v>
      </c>
    </row>
    <row r="771" spans="1:18" x14ac:dyDescent="0.45">
      <c r="A771" t="s">
        <v>181</v>
      </c>
      <c r="B771" t="s">
        <v>1170</v>
      </c>
      <c r="C771" t="s">
        <v>2489</v>
      </c>
      <c r="D771" t="s">
        <v>2608</v>
      </c>
      <c r="E771">
        <v>3</v>
      </c>
      <c r="F771">
        <v>10600</v>
      </c>
      <c r="G771">
        <v>500</v>
      </c>
      <c r="H771">
        <v>5700</v>
      </c>
      <c r="I771" t="s">
        <v>2614</v>
      </c>
      <c r="J771" s="4">
        <f t="shared" ref="J771:J834" si="36">E771*F771+G771-H771</f>
        <v>26600</v>
      </c>
      <c r="K771" s="4" t="str">
        <f t="shared" ref="K771:K834" si="37">LEFT(A771,7)</f>
        <v>2024-01</v>
      </c>
      <c r="L771" s="4" t="str">
        <f t="shared" ref="L771:L834" si="38">TEXT(WEEKDAY(A771),"aaa")</f>
        <v>수</v>
      </c>
      <c r="M771" s="2" t="str">
        <f>VLOOKUP($C771, 고객정보!$A$2:$E$151, 2, FALSE)</f>
        <v>서울</v>
      </c>
      <c r="N771" t="str">
        <f>VLOOKUP(C771,고객정보!$A$2:$D$151,4,FALSE)</f>
        <v>L3</v>
      </c>
      <c r="O771" t="str">
        <f>VLOOKUP($C771, 고객정보!$A$2:$E$151, 5, FALSE)</f>
        <v>10대</v>
      </c>
      <c r="P771" t="str">
        <f>VLOOKUP(D771,상품정보!$A$2:$E$61,2,FALSE)</f>
        <v>셔츠</v>
      </c>
      <c r="Q771" t="str">
        <f>VLOOKUP(D771,상품정보!$A$2:$D$151,3,FALSE)</f>
        <v>의류</v>
      </c>
      <c r="R771" t="str">
        <f>VLOOKUP(D771,상품정보!$A$2:$D$151,4,FALSE)</f>
        <v>브랜드D</v>
      </c>
    </row>
    <row r="772" spans="1:18" x14ac:dyDescent="0.45">
      <c r="A772" t="s">
        <v>196</v>
      </c>
      <c r="B772" t="s">
        <v>1171</v>
      </c>
      <c r="C772" t="s">
        <v>2532</v>
      </c>
      <c r="D772" t="s">
        <v>2579</v>
      </c>
      <c r="E772">
        <v>3</v>
      </c>
      <c r="F772">
        <v>51000</v>
      </c>
      <c r="G772">
        <v>0</v>
      </c>
      <c r="H772">
        <v>0</v>
      </c>
      <c r="I772" t="s">
        <v>2652</v>
      </c>
      <c r="J772" s="4">
        <f t="shared" si="36"/>
        <v>153000</v>
      </c>
      <c r="K772" s="4" t="str">
        <f t="shared" si="37"/>
        <v>2024-10</v>
      </c>
      <c r="L772" s="4" t="str">
        <f t="shared" si="38"/>
        <v>토</v>
      </c>
      <c r="M772" s="2" t="str">
        <f>VLOOKUP($C772, 고객정보!$A$2:$E$151, 2, FALSE)</f>
        <v>서울</v>
      </c>
      <c r="N772" t="str">
        <f>VLOOKUP(C772,고객정보!$A$2:$D$151,4,FALSE)</f>
        <v>L2</v>
      </c>
      <c r="O772" t="str">
        <f>VLOOKUP($C772, 고객정보!$A$2:$E$151, 5, FALSE)</f>
        <v>50대 이상</v>
      </c>
      <c r="P772" t="str">
        <f>VLOOKUP(D772,상품정보!$A$2:$E$61,2,FALSE)</f>
        <v>핸드폰케이스</v>
      </c>
      <c r="Q772" t="str">
        <f>VLOOKUP(D772,상품정보!$A$2:$D$151,3,FALSE)</f>
        <v>액세서리</v>
      </c>
      <c r="R772" t="str">
        <f>VLOOKUP(D772,상품정보!$A$2:$D$151,4,FALSE)</f>
        <v>브랜드F</v>
      </c>
    </row>
    <row r="773" spans="1:18" x14ac:dyDescent="0.45">
      <c r="A773" t="s">
        <v>340</v>
      </c>
      <c r="B773" t="s">
        <v>1172</v>
      </c>
      <c r="C773" t="s">
        <v>2500</v>
      </c>
      <c r="D773" t="s">
        <v>2567</v>
      </c>
      <c r="E773">
        <v>1</v>
      </c>
      <c r="F773">
        <v>58600</v>
      </c>
      <c r="G773">
        <v>1000</v>
      </c>
      <c r="H773">
        <v>2400</v>
      </c>
      <c r="I773" t="s">
        <v>2611</v>
      </c>
      <c r="J773" s="4">
        <f t="shared" si="36"/>
        <v>57200</v>
      </c>
      <c r="K773" s="4" t="str">
        <f t="shared" si="37"/>
        <v>2024-04</v>
      </c>
      <c r="L773" s="4" t="str">
        <f t="shared" si="38"/>
        <v>월</v>
      </c>
      <c r="M773" s="2" t="str">
        <f>VLOOKUP($C773, 고객정보!$A$2:$E$151, 2, FALSE)</f>
        <v>서울</v>
      </c>
      <c r="N773" t="str">
        <f>VLOOKUP(C773,고객정보!$A$2:$D$151,4,FALSE)</f>
        <v>L3</v>
      </c>
      <c r="O773" t="str">
        <f>VLOOKUP($C773, 고객정보!$A$2:$E$151, 5, FALSE)</f>
        <v>20대</v>
      </c>
      <c r="P773" t="str">
        <f>VLOOKUP(D773,상품정보!$A$2:$E$61,2,FALSE)</f>
        <v>귀걸이</v>
      </c>
      <c r="Q773" t="str">
        <f>VLOOKUP(D773,상품정보!$A$2:$D$151,3,FALSE)</f>
        <v>액세서리</v>
      </c>
      <c r="R773" t="str">
        <f>VLOOKUP(D773,상품정보!$A$2:$D$151,4,FALSE)</f>
        <v>브랜드B</v>
      </c>
    </row>
    <row r="774" spans="1:18" x14ac:dyDescent="0.45">
      <c r="A774" t="s">
        <v>201</v>
      </c>
      <c r="B774" t="s">
        <v>1173</v>
      </c>
      <c r="C774" t="s">
        <v>2426</v>
      </c>
      <c r="D774" t="s">
        <v>2551</v>
      </c>
      <c r="E774">
        <v>2</v>
      </c>
      <c r="F774">
        <v>66600</v>
      </c>
      <c r="G774">
        <v>0</v>
      </c>
      <c r="H774">
        <v>0</v>
      </c>
      <c r="I774" t="s">
        <v>2652</v>
      </c>
      <c r="J774" s="4">
        <f t="shared" si="36"/>
        <v>133200</v>
      </c>
      <c r="K774" s="4" t="str">
        <f t="shared" si="37"/>
        <v>2024-10</v>
      </c>
      <c r="L774" s="4" t="str">
        <f t="shared" si="38"/>
        <v>일</v>
      </c>
      <c r="M774" s="2" t="str">
        <f>VLOOKUP($C774, 고객정보!$A$2:$E$151, 2, FALSE)</f>
        <v>대전</v>
      </c>
      <c r="N774" t="str">
        <f>VLOOKUP(C774,고객정보!$A$2:$D$151,4,FALSE)</f>
        <v>L5</v>
      </c>
      <c r="O774" t="str">
        <f>VLOOKUP($C774, 고객정보!$A$2:$E$151, 5, FALSE)</f>
        <v>30대</v>
      </c>
      <c r="P774" t="str">
        <f>VLOOKUP(D774,상품정보!$A$2:$E$61,2,FALSE)</f>
        <v>반지</v>
      </c>
      <c r="Q774" t="str">
        <f>VLOOKUP(D774,상품정보!$A$2:$D$151,3,FALSE)</f>
        <v>액세서리</v>
      </c>
      <c r="R774" t="str">
        <f>VLOOKUP(D774,상품정보!$A$2:$D$151,4,FALSE)</f>
        <v>브랜드B</v>
      </c>
    </row>
    <row r="775" spans="1:18" x14ac:dyDescent="0.45">
      <c r="A775" t="s">
        <v>269</v>
      </c>
      <c r="B775" t="s">
        <v>1174</v>
      </c>
      <c r="C775" t="s">
        <v>2518</v>
      </c>
      <c r="D775" t="s">
        <v>2557</v>
      </c>
      <c r="E775">
        <v>4</v>
      </c>
      <c r="F775">
        <v>77700</v>
      </c>
      <c r="G775">
        <v>1500</v>
      </c>
      <c r="H775">
        <v>0</v>
      </c>
      <c r="I775" t="s">
        <v>2652</v>
      </c>
      <c r="J775" s="4">
        <f t="shared" si="36"/>
        <v>312300</v>
      </c>
      <c r="K775" s="4" t="str">
        <f t="shared" si="37"/>
        <v>2024-02</v>
      </c>
      <c r="L775" s="4" t="str">
        <f t="shared" si="38"/>
        <v>금</v>
      </c>
      <c r="M775" s="2" t="str">
        <f>VLOOKUP($C775, 고객정보!$A$2:$E$151, 2, FALSE)</f>
        <v>부산</v>
      </c>
      <c r="N775" t="str">
        <f>VLOOKUP(C775,고객정보!$A$2:$D$151,4,FALSE)</f>
        <v>L2</v>
      </c>
      <c r="O775" t="str">
        <f>VLOOKUP($C775, 고객정보!$A$2:$E$151, 5, FALSE)</f>
        <v>40대</v>
      </c>
      <c r="P775" t="str">
        <f>VLOOKUP(D775,상품정보!$A$2:$E$61,2,FALSE)</f>
        <v>귀걸이</v>
      </c>
      <c r="Q775" t="str">
        <f>VLOOKUP(D775,상품정보!$A$2:$D$151,3,FALSE)</f>
        <v>액세서리</v>
      </c>
      <c r="R775" t="str">
        <f>VLOOKUP(D775,상품정보!$A$2:$D$151,4,FALSE)</f>
        <v>브랜드B</v>
      </c>
    </row>
    <row r="776" spans="1:18" x14ac:dyDescent="0.45">
      <c r="A776" t="s">
        <v>342</v>
      </c>
      <c r="B776" t="s">
        <v>1175</v>
      </c>
      <c r="C776" t="s">
        <v>2528</v>
      </c>
      <c r="D776" t="s">
        <v>2566</v>
      </c>
      <c r="E776">
        <v>5</v>
      </c>
      <c r="F776">
        <v>60600</v>
      </c>
      <c r="G776">
        <v>500</v>
      </c>
      <c r="H776">
        <v>4600</v>
      </c>
      <c r="I776" t="s">
        <v>2611</v>
      </c>
      <c r="J776" s="4">
        <f t="shared" si="36"/>
        <v>298900</v>
      </c>
      <c r="K776" s="4" t="str">
        <f t="shared" si="37"/>
        <v>2024-05</v>
      </c>
      <c r="L776" s="4" t="str">
        <f t="shared" si="38"/>
        <v>금</v>
      </c>
      <c r="M776" s="2" t="str">
        <f>VLOOKUP($C776, 고객정보!$A$2:$E$151, 2, FALSE)</f>
        <v>광주</v>
      </c>
      <c r="N776" t="str">
        <f>VLOOKUP(C776,고객정보!$A$2:$D$151,4,FALSE)</f>
        <v>L3</v>
      </c>
      <c r="O776" t="str">
        <f>VLOOKUP($C776, 고객정보!$A$2:$E$151, 5, FALSE)</f>
        <v>10대</v>
      </c>
      <c r="P776" t="str">
        <f>VLOOKUP(D776,상품정보!$A$2:$E$61,2,FALSE)</f>
        <v>반팔 티셔츠</v>
      </c>
      <c r="Q776" t="str">
        <f>VLOOKUP(D776,상품정보!$A$2:$D$151,3,FALSE)</f>
        <v>의류</v>
      </c>
      <c r="R776" t="str">
        <f>VLOOKUP(D776,상품정보!$A$2:$D$151,4,FALSE)</f>
        <v>브랜드A</v>
      </c>
    </row>
    <row r="777" spans="1:18" x14ac:dyDescent="0.45">
      <c r="A777" t="s">
        <v>9</v>
      </c>
      <c r="B777" t="s">
        <v>1176</v>
      </c>
      <c r="C777" t="s">
        <v>2489</v>
      </c>
      <c r="D777" t="s">
        <v>2569</v>
      </c>
      <c r="E777">
        <v>4</v>
      </c>
      <c r="F777">
        <v>11400</v>
      </c>
      <c r="G777">
        <v>0</v>
      </c>
      <c r="H777">
        <v>0</v>
      </c>
      <c r="I777" t="s">
        <v>2652</v>
      </c>
      <c r="J777" s="4">
        <f t="shared" si="36"/>
        <v>45600</v>
      </c>
      <c r="K777" s="4" t="str">
        <f t="shared" si="37"/>
        <v>2024-12</v>
      </c>
      <c r="L777" s="4" t="str">
        <f t="shared" si="38"/>
        <v>목</v>
      </c>
      <c r="M777" s="2" t="str">
        <f>VLOOKUP($C777, 고객정보!$A$2:$E$151, 2, FALSE)</f>
        <v>서울</v>
      </c>
      <c r="N777" t="str">
        <f>VLOOKUP(C777,고객정보!$A$2:$D$151,4,FALSE)</f>
        <v>L3</v>
      </c>
      <c r="O777" t="str">
        <f>VLOOKUP($C777, 고객정보!$A$2:$E$151, 5, FALSE)</f>
        <v>10대</v>
      </c>
      <c r="P777" t="str">
        <f>VLOOKUP(D777,상품정보!$A$2:$E$61,2,FALSE)</f>
        <v>귀걸이</v>
      </c>
      <c r="Q777" t="str">
        <f>VLOOKUP(D777,상품정보!$A$2:$D$151,3,FALSE)</f>
        <v>액세서리</v>
      </c>
      <c r="R777" t="str">
        <f>VLOOKUP(D777,상품정보!$A$2:$D$151,4,FALSE)</f>
        <v>브랜드E</v>
      </c>
    </row>
    <row r="778" spans="1:18" x14ac:dyDescent="0.45">
      <c r="A778" t="s">
        <v>56</v>
      </c>
      <c r="B778" t="s">
        <v>1177</v>
      </c>
      <c r="C778" t="s">
        <v>2502</v>
      </c>
      <c r="D778" t="s">
        <v>2558</v>
      </c>
      <c r="E778">
        <v>4</v>
      </c>
      <c r="F778">
        <v>63700</v>
      </c>
      <c r="G778">
        <v>0</v>
      </c>
      <c r="H778">
        <v>0</v>
      </c>
      <c r="I778" t="s">
        <v>2652</v>
      </c>
      <c r="J778" s="4">
        <f t="shared" si="36"/>
        <v>254800</v>
      </c>
      <c r="K778" s="4" t="str">
        <f t="shared" si="37"/>
        <v>2025-01</v>
      </c>
      <c r="L778" s="4" t="str">
        <f t="shared" si="38"/>
        <v>화</v>
      </c>
      <c r="M778" s="2" t="str">
        <f>VLOOKUP($C778, 고객정보!$A$2:$E$151, 2, FALSE)</f>
        <v>부산</v>
      </c>
      <c r="N778" t="str">
        <f>VLOOKUP(C778,고객정보!$A$2:$D$151,4,FALSE)</f>
        <v>L4</v>
      </c>
      <c r="O778" t="str">
        <f>VLOOKUP($C778, 고객정보!$A$2:$E$151, 5, FALSE)</f>
        <v>20대</v>
      </c>
      <c r="P778" t="str">
        <f>VLOOKUP(D778,상품정보!$A$2:$E$61,2,FALSE)</f>
        <v>셔츠</v>
      </c>
      <c r="Q778" t="str">
        <f>VLOOKUP(D778,상품정보!$A$2:$D$151,3,FALSE)</f>
        <v>의류</v>
      </c>
      <c r="R778" t="str">
        <f>VLOOKUP(D778,상품정보!$A$2:$D$151,4,FALSE)</f>
        <v>브랜드A</v>
      </c>
    </row>
    <row r="779" spans="1:18" x14ac:dyDescent="0.45">
      <c r="A779" t="s">
        <v>261</v>
      </c>
      <c r="B779" t="s">
        <v>1178</v>
      </c>
      <c r="C779" t="s">
        <v>2430</v>
      </c>
      <c r="D779" t="s">
        <v>2577</v>
      </c>
      <c r="E779">
        <v>1</v>
      </c>
      <c r="F779">
        <v>10200</v>
      </c>
      <c r="G779">
        <v>500</v>
      </c>
      <c r="H779">
        <v>3700</v>
      </c>
      <c r="I779" t="s">
        <v>2612</v>
      </c>
      <c r="J779" s="4">
        <f t="shared" si="36"/>
        <v>7000</v>
      </c>
      <c r="K779" s="4" t="str">
        <f t="shared" si="37"/>
        <v>2024-09</v>
      </c>
      <c r="L779" s="4" t="str">
        <f t="shared" si="38"/>
        <v>금</v>
      </c>
      <c r="M779" s="2" t="str">
        <f>VLOOKUP($C779, 고객정보!$A$2:$E$151, 2, FALSE)</f>
        <v>광주</v>
      </c>
      <c r="N779" t="str">
        <f>VLOOKUP(C779,고객정보!$A$2:$D$151,4,FALSE)</f>
        <v>L4</v>
      </c>
      <c r="O779" t="str">
        <f>VLOOKUP($C779, 고객정보!$A$2:$E$151, 5, FALSE)</f>
        <v>30대</v>
      </c>
      <c r="P779" t="str">
        <f>VLOOKUP(D779,상품정보!$A$2:$E$61,2,FALSE)</f>
        <v>셔츠</v>
      </c>
      <c r="Q779" t="str">
        <f>VLOOKUP(D779,상품정보!$A$2:$D$151,3,FALSE)</f>
        <v>의류</v>
      </c>
      <c r="R779" t="str">
        <f>VLOOKUP(D779,상품정보!$A$2:$D$151,4,FALSE)</f>
        <v>브랜드C</v>
      </c>
    </row>
    <row r="780" spans="1:18" x14ac:dyDescent="0.45">
      <c r="A780" t="s">
        <v>109</v>
      </c>
      <c r="B780" t="s">
        <v>1179</v>
      </c>
      <c r="C780" t="s">
        <v>2412</v>
      </c>
      <c r="D780" t="s">
        <v>2596</v>
      </c>
      <c r="E780">
        <v>1</v>
      </c>
      <c r="F780">
        <v>59700</v>
      </c>
      <c r="G780">
        <v>500</v>
      </c>
      <c r="H780">
        <v>1400</v>
      </c>
      <c r="I780" t="s">
        <v>2613</v>
      </c>
      <c r="J780" s="4">
        <f t="shared" si="36"/>
        <v>58800</v>
      </c>
      <c r="K780" s="4" t="str">
        <f t="shared" si="37"/>
        <v>2024-08</v>
      </c>
      <c r="L780" s="4" t="str">
        <f t="shared" si="38"/>
        <v>일</v>
      </c>
      <c r="M780" s="2" t="str">
        <f>VLOOKUP($C780, 고객정보!$A$2:$E$151, 2, FALSE)</f>
        <v>대전</v>
      </c>
      <c r="N780" t="str">
        <f>VLOOKUP(C780,고객정보!$A$2:$D$151,4,FALSE)</f>
        <v>L4</v>
      </c>
      <c r="O780" t="str">
        <f>VLOOKUP($C780, 고객정보!$A$2:$E$151, 5, FALSE)</f>
        <v>30대</v>
      </c>
      <c r="P780" t="str">
        <f>VLOOKUP(D780,상품정보!$A$2:$E$61,2,FALSE)</f>
        <v>청바지</v>
      </c>
      <c r="Q780" t="str">
        <f>VLOOKUP(D780,상품정보!$A$2:$D$151,3,FALSE)</f>
        <v>의류</v>
      </c>
      <c r="R780" t="str">
        <f>VLOOKUP(D780,상품정보!$A$2:$D$151,4,FALSE)</f>
        <v>브랜드A</v>
      </c>
    </row>
    <row r="781" spans="1:18" x14ac:dyDescent="0.45">
      <c r="A781" t="s">
        <v>168</v>
      </c>
      <c r="B781" t="s">
        <v>1180</v>
      </c>
      <c r="C781" t="s">
        <v>2405</v>
      </c>
      <c r="D781" t="s">
        <v>2569</v>
      </c>
      <c r="E781">
        <v>1</v>
      </c>
      <c r="F781">
        <v>11400</v>
      </c>
      <c r="G781">
        <v>500</v>
      </c>
      <c r="H781">
        <v>0</v>
      </c>
      <c r="I781" t="s">
        <v>2652</v>
      </c>
      <c r="J781" s="4">
        <f t="shared" si="36"/>
        <v>11900</v>
      </c>
      <c r="K781" s="4" t="str">
        <f t="shared" si="37"/>
        <v>2024-06</v>
      </c>
      <c r="L781" s="4" t="str">
        <f t="shared" si="38"/>
        <v>일</v>
      </c>
      <c r="M781" s="2" t="str">
        <f>VLOOKUP($C781, 고객정보!$A$2:$E$151, 2, FALSE)</f>
        <v>부산</v>
      </c>
      <c r="N781" t="str">
        <f>VLOOKUP(C781,고객정보!$A$2:$D$151,4,FALSE)</f>
        <v>L3</v>
      </c>
      <c r="O781" t="str">
        <f>VLOOKUP($C781, 고객정보!$A$2:$E$151, 5, FALSE)</f>
        <v>40대</v>
      </c>
      <c r="P781" t="str">
        <f>VLOOKUP(D781,상품정보!$A$2:$E$61,2,FALSE)</f>
        <v>귀걸이</v>
      </c>
      <c r="Q781" t="str">
        <f>VLOOKUP(D781,상품정보!$A$2:$D$151,3,FALSE)</f>
        <v>액세서리</v>
      </c>
      <c r="R781" t="str">
        <f>VLOOKUP(D781,상품정보!$A$2:$D$151,4,FALSE)</f>
        <v>브랜드E</v>
      </c>
    </row>
    <row r="782" spans="1:18" x14ac:dyDescent="0.45">
      <c r="A782" t="s">
        <v>343</v>
      </c>
      <c r="B782" t="s">
        <v>1181</v>
      </c>
      <c r="C782" t="s">
        <v>2533</v>
      </c>
      <c r="D782" t="s">
        <v>2587</v>
      </c>
      <c r="E782">
        <v>3</v>
      </c>
      <c r="F782">
        <v>50200</v>
      </c>
      <c r="G782">
        <v>500</v>
      </c>
      <c r="H782">
        <v>0</v>
      </c>
      <c r="I782" t="s">
        <v>2652</v>
      </c>
      <c r="J782" s="4">
        <f t="shared" si="36"/>
        <v>151100</v>
      </c>
      <c r="K782" s="4" t="str">
        <f t="shared" si="37"/>
        <v>2024-01</v>
      </c>
      <c r="L782" s="4" t="str">
        <f t="shared" si="38"/>
        <v>화</v>
      </c>
      <c r="M782" s="2" t="str">
        <f>VLOOKUP($C782, 고객정보!$A$2:$E$151, 2, FALSE)</f>
        <v>인천</v>
      </c>
      <c r="N782" t="str">
        <f>VLOOKUP(C782,고객정보!$A$2:$D$151,4,FALSE)</f>
        <v>L5</v>
      </c>
      <c r="O782" t="str">
        <f>VLOOKUP($C782, 고객정보!$A$2:$E$151, 5, FALSE)</f>
        <v>30대</v>
      </c>
      <c r="P782" t="str">
        <f>VLOOKUP(D782,상품정보!$A$2:$E$61,2,FALSE)</f>
        <v>반지</v>
      </c>
      <c r="Q782" t="str">
        <f>VLOOKUP(D782,상품정보!$A$2:$D$151,3,FALSE)</f>
        <v>액세서리</v>
      </c>
      <c r="R782" t="str">
        <f>VLOOKUP(D782,상품정보!$A$2:$D$151,4,FALSE)</f>
        <v>브랜드B</v>
      </c>
    </row>
    <row r="783" spans="1:18" x14ac:dyDescent="0.45">
      <c r="A783" t="s">
        <v>245</v>
      </c>
      <c r="B783" t="s">
        <v>1182</v>
      </c>
      <c r="C783" t="s">
        <v>2423</v>
      </c>
      <c r="D783" t="s">
        <v>2577</v>
      </c>
      <c r="E783">
        <v>4</v>
      </c>
      <c r="F783">
        <v>10200</v>
      </c>
      <c r="G783">
        <v>0</v>
      </c>
      <c r="H783">
        <v>0</v>
      </c>
      <c r="I783" t="s">
        <v>2652</v>
      </c>
      <c r="J783" s="4">
        <f t="shared" si="36"/>
        <v>40800</v>
      </c>
      <c r="K783" s="4" t="str">
        <f t="shared" si="37"/>
        <v>2024-09</v>
      </c>
      <c r="L783" s="4" t="str">
        <f t="shared" si="38"/>
        <v>일</v>
      </c>
      <c r="M783" s="2" t="str">
        <f>VLOOKUP($C783, 고객정보!$A$2:$E$151, 2, FALSE)</f>
        <v>수원</v>
      </c>
      <c r="N783" t="str">
        <f>VLOOKUP(C783,고객정보!$A$2:$D$151,4,FALSE)</f>
        <v>L5</v>
      </c>
      <c r="O783" t="str">
        <f>VLOOKUP($C783, 고객정보!$A$2:$E$151, 5, FALSE)</f>
        <v>30대</v>
      </c>
      <c r="P783" t="str">
        <f>VLOOKUP(D783,상품정보!$A$2:$E$61,2,FALSE)</f>
        <v>셔츠</v>
      </c>
      <c r="Q783" t="str">
        <f>VLOOKUP(D783,상품정보!$A$2:$D$151,3,FALSE)</f>
        <v>의류</v>
      </c>
      <c r="R783" t="str">
        <f>VLOOKUP(D783,상품정보!$A$2:$D$151,4,FALSE)</f>
        <v>브랜드C</v>
      </c>
    </row>
    <row r="784" spans="1:18" x14ac:dyDescent="0.45">
      <c r="A784" t="s">
        <v>277</v>
      </c>
      <c r="B784" t="s">
        <v>1183</v>
      </c>
      <c r="C784" t="s">
        <v>2451</v>
      </c>
      <c r="D784" t="s">
        <v>2603</v>
      </c>
      <c r="E784">
        <v>5</v>
      </c>
      <c r="F784">
        <v>8200</v>
      </c>
      <c r="G784">
        <v>1500</v>
      </c>
      <c r="H784">
        <v>0</v>
      </c>
      <c r="I784" t="s">
        <v>2652</v>
      </c>
      <c r="J784" s="4">
        <f t="shared" si="36"/>
        <v>42500</v>
      </c>
      <c r="K784" s="4" t="str">
        <f t="shared" si="37"/>
        <v>2024-07</v>
      </c>
      <c r="L784" s="4" t="str">
        <f t="shared" si="38"/>
        <v>목</v>
      </c>
      <c r="M784" s="2" t="str">
        <f>VLOOKUP($C784, 고객정보!$A$2:$E$151, 2, FALSE)</f>
        <v>서울</v>
      </c>
      <c r="N784" t="str">
        <f>VLOOKUP(C784,고객정보!$A$2:$D$151,4,FALSE)</f>
        <v>L1</v>
      </c>
      <c r="O784" t="str">
        <f>VLOOKUP($C784, 고객정보!$A$2:$E$151, 5, FALSE)</f>
        <v>30대</v>
      </c>
      <c r="P784" t="str">
        <f>VLOOKUP(D784,상품정보!$A$2:$E$61,2,FALSE)</f>
        <v>목걸이</v>
      </c>
      <c r="Q784" t="str">
        <f>VLOOKUP(D784,상품정보!$A$2:$D$151,3,FALSE)</f>
        <v>액세서리</v>
      </c>
      <c r="R784" t="str">
        <f>VLOOKUP(D784,상품정보!$A$2:$D$151,4,FALSE)</f>
        <v>브랜드E</v>
      </c>
    </row>
    <row r="785" spans="1:18" x14ac:dyDescent="0.45">
      <c r="A785" t="s">
        <v>159</v>
      </c>
      <c r="B785" t="s">
        <v>1184</v>
      </c>
      <c r="C785" t="s">
        <v>2491</v>
      </c>
      <c r="D785" t="s">
        <v>2604</v>
      </c>
      <c r="E785">
        <v>5</v>
      </c>
      <c r="F785">
        <v>9700</v>
      </c>
      <c r="G785">
        <v>1000</v>
      </c>
      <c r="H785">
        <v>0</v>
      </c>
      <c r="I785" t="s">
        <v>2652</v>
      </c>
      <c r="J785" s="4">
        <f t="shared" si="36"/>
        <v>49500</v>
      </c>
      <c r="K785" s="4" t="str">
        <f t="shared" si="37"/>
        <v>2024-12</v>
      </c>
      <c r="L785" s="4" t="str">
        <f t="shared" si="38"/>
        <v>수</v>
      </c>
      <c r="M785" s="2" t="str">
        <f>VLOOKUP($C785, 고객정보!$A$2:$E$151, 2, FALSE)</f>
        <v>서울</v>
      </c>
      <c r="N785" t="str">
        <f>VLOOKUP(C785,고객정보!$A$2:$D$151,4,FALSE)</f>
        <v>L5</v>
      </c>
      <c r="O785" t="str">
        <f>VLOOKUP($C785, 고객정보!$A$2:$E$151, 5, FALSE)</f>
        <v>30대</v>
      </c>
      <c r="P785" t="str">
        <f>VLOOKUP(D785,상품정보!$A$2:$E$61,2,FALSE)</f>
        <v>반팔 티셔츠</v>
      </c>
      <c r="Q785" t="str">
        <f>VLOOKUP(D785,상품정보!$A$2:$D$151,3,FALSE)</f>
        <v>의류</v>
      </c>
      <c r="R785" t="str">
        <f>VLOOKUP(D785,상품정보!$A$2:$D$151,4,FALSE)</f>
        <v>브랜드E</v>
      </c>
    </row>
    <row r="786" spans="1:18" x14ac:dyDescent="0.45">
      <c r="A786" t="s">
        <v>231</v>
      </c>
      <c r="B786" t="s">
        <v>1185</v>
      </c>
      <c r="C786" t="s">
        <v>2418</v>
      </c>
      <c r="D786" t="s">
        <v>2553</v>
      </c>
      <c r="E786">
        <v>5</v>
      </c>
      <c r="F786">
        <v>63400</v>
      </c>
      <c r="G786">
        <v>0</v>
      </c>
      <c r="H786">
        <v>0</v>
      </c>
      <c r="I786" t="s">
        <v>2652</v>
      </c>
      <c r="J786" s="4">
        <f t="shared" si="36"/>
        <v>317000</v>
      </c>
      <c r="K786" s="4" t="str">
        <f t="shared" si="37"/>
        <v>2024-05</v>
      </c>
      <c r="L786" s="4" t="str">
        <f t="shared" si="38"/>
        <v>금</v>
      </c>
      <c r="M786" s="2" t="str">
        <f>VLOOKUP($C786, 고객정보!$A$2:$E$151, 2, FALSE)</f>
        <v>부산</v>
      </c>
      <c r="N786" t="str">
        <f>VLOOKUP(C786,고객정보!$A$2:$D$151,4,FALSE)</f>
        <v>L5</v>
      </c>
      <c r="O786" t="str">
        <f>VLOOKUP($C786, 고객정보!$A$2:$E$151, 5, FALSE)</f>
        <v>30대</v>
      </c>
      <c r="P786" t="str">
        <f>VLOOKUP(D786,상품정보!$A$2:$E$61,2,FALSE)</f>
        <v>귀걸이</v>
      </c>
      <c r="Q786" t="str">
        <f>VLOOKUP(D786,상품정보!$A$2:$D$151,3,FALSE)</f>
        <v>액세서리</v>
      </c>
      <c r="R786" t="str">
        <f>VLOOKUP(D786,상품정보!$A$2:$D$151,4,FALSE)</f>
        <v>브랜드F</v>
      </c>
    </row>
    <row r="787" spans="1:18" x14ac:dyDescent="0.45">
      <c r="A787" t="s">
        <v>148</v>
      </c>
      <c r="B787" t="s">
        <v>1186</v>
      </c>
      <c r="C787" t="s">
        <v>2427</v>
      </c>
      <c r="D787" t="s">
        <v>2588</v>
      </c>
      <c r="E787">
        <v>1</v>
      </c>
      <c r="F787">
        <v>7700</v>
      </c>
      <c r="G787">
        <v>0</v>
      </c>
      <c r="H787">
        <v>2000</v>
      </c>
      <c r="I787" t="s">
        <v>2612</v>
      </c>
      <c r="J787" s="4">
        <f t="shared" si="36"/>
        <v>5700</v>
      </c>
      <c r="K787" s="4" t="str">
        <f t="shared" si="37"/>
        <v>2024-02</v>
      </c>
      <c r="L787" s="4" t="str">
        <f t="shared" si="38"/>
        <v>월</v>
      </c>
      <c r="M787" s="2" t="str">
        <f>VLOOKUP($C787, 고객정보!$A$2:$E$151, 2, FALSE)</f>
        <v>부산</v>
      </c>
      <c r="N787" t="str">
        <f>VLOOKUP(C787,고객정보!$A$2:$D$151,4,FALSE)</f>
        <v>L4</v>
      </c>
      <c r="O787" t="str">
        <f>VLOOKUP($C787, 고객정보!$A$2:$E$151, 5, FALSE)</f>
        <v>20대</v>
      </c>
      <c r="P787" t="str">
        <f>VLOOKUP(D787,상품정보!$A$2:$E$61,2,FALSE)</f>
        <v>귀걸이</v>
      </c>
      <c r="Q787" t="str">
        <f>VLOOKUP(D787,상품정보!$A$2:$D$151,3,FALSE)</f>
        <v>액세서리</v>
      </c>
      <c r="R787" t="str">
        <f>VLOOKUP(D787,상품정보!$A$2:$D$151,4,FALSE)</f>
        <v>브랜드D</v>
      </c>
    </row>
    <row r="788" spans="1:18" x14ac:dyDescent="0.45">
      <c r="A788" t="s">
        <v>283</v>
      </c>
      <c r="B788" t="s">
        <v>1187</v>
      </c>
      <c r="C788" t="s">
        <v>2425</v>
      </c>
      <c r="D788" t="s">
        <v>2573</v>
      </c>
      <c r="E788">
        <v>4</v>
      </c>
      <c r="F788">
        <v>6400</v>
      </c>
      <c r="G788">
        <v>0</v>
      </c>
      <c r="H788">
        <v>0</v>
      </c>
      <c r="I788" t="s">
        <v>2652</v>
      </c>
      <c r="J788" s="4">
        <f t="shared" si="36"/>
        <v>25600</v>
      </c>
      <c r="K788" s="4" t="str">
        <f t="shared" si="37"/>
        <v>2024-12</v>
      </c>
      <c r="L788" s="4" t="str">
        <f t="shared" si="38"/>
        <v>월</v>
      </c>
      <c r="M788" s="2" t="str">
        <f>VLOOKUP($C788, 고객정보!$A$2:$E$151, 2, FALSE)</f>
        <v>서울</v>
      </c>
      <c r="N788" t="str">
        <f>VLOOKUP(C788,고객정보!$A$2:$D$151,4,FALSE)</f>
        <v>L4</v>
      </c>
      <c r="O788" t="str">
        <f>VLOOKUP($C788, 고객정보!$A$2:$E$151, 5, FALSE)</f>
        <v>30대</v>
      </c>
      <c r="P788" t="str">
        <f>VLOOKUP(D788,상품정보!$A$2:$E$61,2,FALSE)</f>
        <v>귀걸이</v>
      </c>
      <c r="Q788" t="str">
        <f>VLOOKUP(D788,상품정보!$A$2:$D$151,3,FALSE)</f>
        <v>액세서리</v>
      </c>
      <c r="R788" t="str">
        <f>VLOOKUP(D788,상품정보!$A$2:$D$151,4,FALSE)</f>
        <v>브랜드E</v>
      </c>
    </row>
    <row r="789" spans="1:18" x14ac:dyDescent="0.45">
      <c r="A789" t="s">
        <v>132</v>
      </c>
      <c r="B789" t="s">
        <v>1188</v>
      </c>
      <c r="C789" t="s">
        <v>2477</v>
      </c>
      <c r="D789" t="s">
        <v>2574</v>
      </c>
      <c r="E789">
        <v>4</v>
      </c>
      <c r="F789">
        <v>8600</v>
      </c>
      <c r="G789">
        <v>0</v>
      </c>
      <c r="H789">
        <v>0</v>
      </c>
      <c r="I789" t="s">
        <v>2652</v>
      </c>
      <c r="J789" s="4">
        <f t="shared" si="36"/>
        <v>34400</v>
      </c>
      <c r="K789" s="4" t="str">
        <f t="shared" si="37"/>
        <v>2024-06</v>
      </c>
      <c r="L789" s="4" t="str">
        <f t="shared" si="38"/>
        <v>화</v>
      </c>
      <c r="M789" s="2" t="str">
        <f>VLOOKUP($C789, 고객정보!$A$2:$E$151, 2, FALSE)</f>
        <v>부산</v>
      </c>
      <c r="N789" t="str">
        <f>VLOOKUP(C789,고객정보!$A$2:$D$151,4,FALSE)</f>
        <v>L4</v>
      </c>
      <c r="O789" t="str">
        <f>VLOOKUP($C789, 고객정보!$A$2:$E$151, 5, FALSE)</f>
        <v>20대</v>
      </c>
      <c r="P789" t="str">
        <f>VLOOKUP(D789,상품정보!$A$2:$E$61,2,FALSE)</f>
        <v>셔츠</v>
      </c>
      <c r="Q789" t="str">
        <f>VLOOKUP(D789,상품정보!$A$2:$D$151,3,FALSE)</f>
        <v>의류</v>
      </c>
      <c r="R789" t="str">
        <f>VLOOKUP(D789,상품정보!$A$2:$D$151,4,FALSE)</f>
        <v>브랜드D</v>
      </c>
    </row>
    <row r="790" spans="1:18" x14ac:dyDescent="0.45">
      <c r="A790" t="s">
        <v>344</v>
      </c>
      <c r="B790" t="s">
        <v>1189</v>
      </c>
      <c r="C790" t="s">
        <v>2415</v>
      </c>
      <c r="D790" t="s">
        <v>2591</v>
      </c>
      <c r="E790">
        <v>1</v>
      </c>
      <c r="F790">
        <v>69200</v>
      </c>
      <c r="G790">
        <v>0</v>
      </c>
      <c r="H790">
        <v>0</v>
      </c>
      <c r="I790" t="s">
        <v>2652</v>
      </c>
      <c r="J790" s="4">
        <f t="shared" si="36"/>
        <v>69200</v>
      </c>
      <c r="K790" s="4" t="str">
        <f t="shared" si="37"/>
        <v>2024-01</v>
      </c>
      <c r="L790" s="4" t="str">
        <f t="shared" si="38"/>
        <v>수</v>
      </c>
      <c r="M790" s="2" t="str">
        <f>VLOOKUP($C790, 고객정보!$A$2:$E$151, 2, FALSE)</f>
        <v>광주</v>
      </c>
      <c r="N790" t="str">
        <f>VLOOKUP(C790,고객정보!$A$2:$D$151,4,FALSE)</f>
        <v>L3</v>
      </c>
      <c r="O790" t="str">
        <f>VLOOKUP($C790, 고객정보!$A$2:$E$151, 5, FALSE)</f>
        <v>30대</v>
      </c>
      <c r="P790" t="str">
        <f>VLOOKUP(D790,상품정보!$A$2:$E$61,2,FALSE)</f>
        <v>셔츠</v>
      </c>
      <c r="Q790" t="str">
        <f>VLOOKUP(D790,상품정보!$A$2:$D$151,3,FALSE)</f>
        <v>의류</v>
      </c>
      <c r="R790" t="str">
        <f>VLOOKUP(D790,상품정보!$A$2:$D$151,4,FALSE)</f>
        <v>브랜드F</v>
      </c>
    </row>
    <row r="791" spans="1:18" x14ac:dyDescent="0.45">
      <c r="A791" t="s">
        <v>223</v>
      </c>
      <c r="B791" t="s">
        <v>1190</v>
      </c>
      <c r="C791" t="s">
        <v>2479</v>
      </c>
      <c r="D791" t="s">
        <v>2556</v>
      </c>
      <c r="E791">
        <v>3</v>
      </c>
      <c r="F791">
        <v>70100</v>
      </c>
      <c r="G791">
        <v>0</v>
      </c>
      <c r="H791">
        <v>200</v>
      </c>
      <c r="I791" t="s">
        <v>2613</v>
      </c>
      <c r="J791" s="4">
        <f t="shared" si="36"/>
        <v>210100</v>
      </c>
      <c r="K791" s="4" t="str">
        <f t="shared" si="37"/>
        <v>2025-01</v>
      </c>
      <c r="L791" s="4" t="str">
        <f t="shared" si="38"/>
        <v>금</v>
      </c>
      <c r="M791" s="2" t="str">
        <f>VLOOKUP($C791, 고객정보!$A$2:$E$151, 2, FALSE)</f>
        <v>부산</v>
      </c>
      <c r="N791" t="str">
        <f>VLOOKUP(C791,고객정보!$A$2:$D$151,4,FALSE)</f>
        <v>L2</v>
      </c>
      <c r="O791" t="str">
        <f>VLOOKUP($C791, 고객정보!$A$2:$E$151, 5, FALSE)</f>
        <v>10대</v>
      </c>
      <c r="P791" t="str">
        <f>VLOOKUP(D791,상품정보!$A$2:$E$61,2,FALSE)</f>
        <v>핸드폰케이스</v>
      </c>
      <c r="Q791" t="str">
        <f>VLOOKUP(D791,상품정보!$A$2:$D$151,3,FALSE)</f>
        <v>액세서리</v>
      </c>
      <c r="R791" t="str">
        <f>VLOOKUP(D791,상품정보!$A$2:$D$151,4,FALSE)</f>
        <v>브랜드F</v>
      </c>
    </row>
    <row r="792" spans="1:18" x14ac:dyDescent="0.45">
      <c r="A792" t="s">
        <v>165</v>
      </c>
      <c r="B792" t="s">
        <v>1191</v>
      </c>
      <c r="C792" t="s">
        <v>2423</v>
      </c>
      <c r="D792" t="s">
        <v>2591</v>
      </c>
      <c r="E792">
        <v>2</v>
      </c>
      <c r="F792">
        <v>69200</v>
      </c>
      <c r="G792">
        <v>0</v>
      </c>
      <c r="H792">
        <v>0</v>
      </c>
      <c r="I792" t="s">
        <v>2652</v>
      </c>
      <c r="J792" s="4">
        <f t="shared" si="36"/>
        <v>138400</v>
      </c>
      <c r="K792" s="4" t="str">
        <f t="shared" si="37"/>
        <v>2024-02</v>
      </c>
      <c r="L792" s="4" t="str">
        <f t="shared" si="38"/>
        <v>수</v>
      </c>
      <c r="M792" s="2" t="str">
        <f>VLOOKUP($C792, 고객정보!$A$2:$E$151, 2, FALSE)</f>
        <v>수원</v>
      </c>
      <c r="N792" t="str">
        <f>VLOOKUP(C792,고객정보!$A$2:$D$151,4,FALSE)</f>
        <v>L5</v>
      </c>
      <c r="O792" t="str">
        <f>VLOOKUP($C792, 고객정보!$A$2:$E$151, 5, FALSE)</f>
        <v>30대</v>
      </c>
      <c r="P792" t="str">
        <f>VLOOKUP(D792,상품정보!$A$2:$E$61,2,FALSE)</f>
        <v>셔츠</v>
      </c>
      <c r="Q792" t="str">
        <f>VLOOKUP(D792,상품정보!$A$2:$D$151,3,FALSE)</f>
        <v>의류</v>
      </c>
      <c r="R792" t="str">
        <f>VLOOKUP(D792,상품정보!$A$2:$D$151,4,FALSE)</f>
        <v>브랜드F</v>
      </c>
    </row>
    <row r="793" spans="1:18" x14ac:dyDescent="0.45">
      <c r="A793" t="s">
        <v>187</v>
      </c>
      <c r="B793" t="s">
        <v>1192</v>
      </c>
      <c r="C793" t="s">
        <v>2543</v>
      </c>
      <c r="D793" t="s">
        <v>2609</v>
      </c>
      <c r="E793">
        <v>4</v>
      </c>
      <c r="F793">
        <v>58600</v>
      </c>
      <c r="G793">
        <v>1500</v>
      </c>
      <c r="H793">
        <v>0</v>
      </c>
      <c r="I793" t="s">
        <v>2652</v>
      </c>
      <c r="J793" s="4">
        <f t="shared" si="36"/>
        <v>235900</v>
      </c>
      <c r="K793" s="4" t="str">
        <f t="shared" si="37"/>
        <v>2024-10</v>
      </c>
      <c r="L793" s="4" t="str">
        <f t="shared" si="38"/>
        <v>토</v>
      </c>
      <c r="M793" s="2" t="str">
        <f>VLOOKUP($C793, 고객정보!$A$2:$E$151, 2, FALSE)</f>
        <v>대구</v>
      </c>
      <c r="N793" t="str">
        <f>VLOOKUP(C793,고객정보!$A$2:$D$151,4,FALSE)</f>
        <v>L2</v>
      </c>
      <c r="O793" t="str">
        <f>VLOOKUP($C793, 고객정보!$A$2:$E$151, 5, FALSE)</f>
        <v>10대</v>
      </c>
      <c r="P793" t="str">
        <f>VLOOKUP(D793,상품정보!$A$2:$E$61,2,FALSE)</f>
        <v>목걸이</v>
      </c>
      <c r="Q793" t="str">
        <f>VLOOKUP(D793,상품정보!$A$2:$D$151,3,FALSE)</f>
        <v>액세서리</v>
      </c>
      <c r="R793" t="str">
        <f>VLOOKUP(D793,상품정보!$A$2:$D$151,4,FALSE)</f>
        <v>브랜드F</v>
      </c>
    </row>
    <row r="794" spans="1:18" x14ac:dyDescent="0.45">
      <c r="A794" t="s">
        <v>17</v>
      </c>
      <c r="B794" t="s">
        <v>1193</v>
      </c>
      <c r="C794" t="s">
        <v>2463</v>
      </c>
      <c r="D794" t="s">
        <v>2554</v>
      </c>
      <c r="E794">
        <v>4</v>
      </c>
      <c r="F794">
        <v>12100</v>
      </c>
      <c r="G794">
        <v>0</v>
      </c>
      <c r="H794">
        <v>0</v>
      </c>
      <c r="I794" t="s">
        <v>2652</v>
      </c>
      <c r="J794" s="4">
        <f t="shared" si="36"/>
        <v>48400</v>
      </c>
      <c r="K794" s="4" t="str">
        <f t="shared" si="37"/>
        <v>2024-02</v>
      </c>
      <c r="L794" s="4" t="str">
        <f t="shared" si="38"/>
        <v>목</v>
      </c>
      <c r="M794" s="2" t="str">
        <f>VLOOKUP($C794, 고객정보!$A$2:$E$151, 2, FALSE)</f>
        <v>대구</v>
      </c>
      <c r="N794" t="str">
        <f>VLOOKUP(C794,고객정보!$A$2:$D$151,4,FALSE)</f>
        <v>L4</v>
      </c>
      <c r="O794" t="str">
        <f>VLOOKUP($C794, 고객정보!$A$2:$E$151, 5, FALSE)</f>
        <v>20대</v>
      </c>
      <c r="P794" t="str">
        <f>VLOOKUP(D794,상품정보!$A$2:$E$61,2,FALSE)</f>
        <v>귀걸이</v>
      </c>
      <c r="Q794" t="str">
        <f>VLOOKUP(D794,상품정보!$A$2:$D$151,3,FALSE)</f>
        <v>액세서리</v>
      </c>
      <c r="R794" t="str">
        <f>VLOOKUP(D794,상품정보!$A$2:$D$151,4,FALSE)</f>
        <v>브랜드D</v>
      </c>
    </row>
    <row r="795" spans="1:18" x14ac:dyDescent="0.45">
      <c r="A795" t="s">
        <v>41</v>
      </c>
      <c r="B795" t="s">
        <v>1194</v>
      </c>
      <c r="C795" t="s">
        <v>2480</v>
      </c>
      <c r="D795" t="s">
        <v>2553</v>
      </c>
      <c r="E795">
        <v>3</v>
      </c>
      <c r="F795">
        <v>63400</v>
      </c>
      <c r="G795">
        <v>0</v>
      </c>
      <c r="H795">
        <v>0</v>
      </c>
      <c r="I795" t="s">
        <v>2652</v>
      </c>
      <c r="J795" s="4">
        <f t="shared" si="36"/>
        <v>190200</v>
      </c>
      <c r="K795" s="4" t="str">
        <f t="shared" si="37"/>
        <v>2024-10</v>
      </c>
      <c r="L795" s="4" t="str">
        <f t="shared" si="38"/>
        <v>목</v>
      </c>
      <c r="M795" s="2" t="str">
        <f>VLOOKUP($C795, 고객정보!$A$2:$E$151, 2, FALSE)</f>
        <v>서울</v>
      </c>
      <c r="N795" t="str">
        <f>VLOOKUP(C795,고객정보!$A$2:$D$151,4,FALSE)</f>
        <v>L1</v>
      </c>
      <c r="O795" t="str">
        <f>VLOOKUP($C795, 고객정보!$A$2:$E$151, 5, FALSE)</f>
        <v>20대</v>
      </c>
      <c r="P795" t="str">
        <f>VLOOKUP(D795,상품정보!$A$2:$E$61,2,FALSE)</f>
        <v>귀걸이</v>
      </c>
      <c r="Q795" t="str">
        <f>VLOOKUP(D795,상품정보!$A$2:$D$151,3,FALSE)</f>
        <v>액세서리</v>
      </c>
      <c r="R795" t="str">
        <f>VLOOKUP(D795,상품정보!$A$2:$D$151,4,FALSE)</f>
        <v>브랜드F</v>
      </c>
    </row>
    <row r="796" spans="1:18" x14ac:dyDescent="0.45">
      <c r="A796" t="s">
        <v>345</v>
      </c>
      <c r="B796" t="s">
        <v>1195</v>
      </c>
      <c r="C796" t="s">
        <v>2411</v>
      </c>
      <c r="D796" t="s">
        <v>2560</v>
      </c>
      <c r="E796">
        <v>5</v>
      </c>
      <c r="F796">
        <v>60600</v>
      </c>
      <c r="G796">
        <v>1500</v>
      </c>
      <c r="H796">
        <v>0</v>
      </c>
      <c r="I796" t="s">
        <v>2652</v>
      </c>
      <c r="J796" s="4">
        <f t="shared" si="36"/>
        <v>304500</v>
      </c>
      <c r="K796" s="4" t="str">
        <f t="shared" si="37"/>
        <v>2024-06</v>
      </c>
      <c r="L796" s="4" t="str">
        <f t="shared" si="38"/>
        <v>토</v>
      </c>
      <c r="M796" s="2" t="str">
        <f>VLOOKUP($C796, 고객정보!$A$2:$E$151, 2, FALSE)</f>
        <v>부산</v>
      </c>
      <c r="N796" t="str">
        <f>VLOOKUP(C796,고객정보!$A$2:$D$151,4,FALSE)</f>
        <v>L5</v>
      </c>
      <c r="O796" t="str">
        <f>VLOOKUP($C796, 고객정보!$A$2:$E$151, 5, FALSE)</f>
        <v>30대</v>
      </c>
      <c r="P796" t="str">
        <f>VLOOKUP(D796,상품정보!$A$2:$E$61,2,FALSE)</f>
        <v>반팔 티셔츠</v>
      </c>
      <c r="Q796" t="str">
        <f>VLOOKUP(D796,상품정보!$A$2:$D$151,3,FALSE)</f>
        <v>의류</v>
      </c>
      <c r="R796" t="str">
        <f>VLOOKUP(D796,상품정보!$A$2:$D$151,4,FALSE)</f>
        <v>브랜드F</v>
      </c>
    </row>
    <row r="797" spans="1:18" x14ac:dyDescent="0.45">
      <c r="A797" t="s">
        <v>249</v>
      </c>
      <c r="B797" t="s">
        <v>1196</v>
      </c>
      <c r="C797" t="s">
        <v>2496</v>
      </c>
      <c r="D797" t="s">
        <v>2594</v>
      </c>
      <c r="E797">
        <v>3</v>
      </c>
      <c r="F797">
        <v>73000</v>
      </c>
      <c r="G797">
        <v>1000</v>
      </c>
      <c r="H797">
        <v>5600</v>
      </c>
      <c r="I797" t="s">
        <v>2614</v>
      </c>
      <c r="J797" s="4">
        <f t="shared" si="36"/>
        <v>214400</v>
      </c>
      <c r="K797" s="4" t="str">
        <f t="shared" si="37"/>
        <v>2024-07</v>
      </c>
      <c r="L797" s="4" t="str">
        <f t="shared" si="38"/>
        <v>화</v>
      </c>
      <c r="M797" s="2" t="str">
        <f>VLOOKUP($C797, 고객정보!$A$2:$E$151, 2, FALSE)</f>
        <v>서울</v>
      </c>
      <c r="N797" t="str">
        <f>VLOOKUP(C797,고객정보!$A$2:$D$151,4,FALSE)</f>
        <v>L3</v>
      </c>
      <c r="O797" t="str">
        <f>VLOOKUP($C797, 고객정보!$A$2:$E$151, 5, FALSE)</f>
        <v>50대 이상</v>
      </c>
      <c r="P797" t="str">
        <f>VLOOKUP(D797,상품정보!$A$2:$E$61,2,FALSE)</f>
        <v>자켓</v>
      </c>
      <c r="Q797" t="str">
        <f>VLOOKUP(D797,상품정보!$A$2:$D$151,3,FALSE)</f>
        <v>의류</v>
      </c>
      <c r="R797" t="str">
        <f>VLOOKUP(D797,상품정보!$A$2:$D$151,4,FALSE)</f>
        <v>브랜드A</v>
      </c>
    </row>
    <row r="798" spans="1:18" x14ac:dyDescent="0.45">
      <c r="A798" t="s">
        <v>329</v>
      </c>
      <c r="B798" t="s">
        <v>1197</v>
      </c>
      <c r="C798" t="s">
        <v>2549</v>
      </c>
      <c r="D798" t="s">
        <v>2587</v>
      </c>
      <c r="E798">
        <v>1</v>
      </c>
      <c r="F798">
        <v>50200</v>
      </c>
      <c r="G798">
        <v>500</v>
      </c>
      <c r="H798">
        <v>2000</v>
      </c>
      <c r="I798" t="s">
        <v>2611</v>
      </c>
      <c r="J798" s="4">
        <f t="shared" si="36"/>
        <v>48700</v>
      </c>
      <c r="K798" s="4" t="str">
        <f t="shared" si="37"/>
        <v>2025-01</v>
      </c>
      <c r="L798" s="4" t="str">
        <f t="shared" si="38"/>
        <v>월</v>
      </c>
      <c r="M798" s="2" t="str">
        <f>VLOOKUP($C798, 고객정보!$A$2:$E$151, 2, FALSE)</f>
        <v>서울</v>
      </c>
      <c r="N798" t="str">
        <f>VLOOKUP(C798,고객정보!$A$2:$D$151,4,FALSE)</f>
        <v>L2</v>
      </c>
      <c r="O798" t="str">
        <f>VLOOKUP($C798, 고객정보!$A$2:$E$151, 5, FALSE)</f>
        <v>40대</v>
      </c>
      <c r="P798" t="str">
        <f>VLOOKUP(D798,상품정보!$A$2:$E$61,2,FALSE)</f>
        <v>반지</v>
      </c>
      <c r="Q798" t="str">
        <f>VLOOKUP(D798,상품정보!$A$2:$D$151,3,FALSE)</f>
        <v>액세서리</v>
      </c>
      <c r="R798" t="str">
        <f>VLOOKUP(D798,상품정보!$A$2:$D$151,4,FALSE)</f>
        <v>브랜드B</v>
      </c>
    </row>
    <row r="799" spans="1:18" x14ac:dyDescent="0.45">
      <c r="A799" t="s">
        <v>227</v>
      </c>
      <c r="B799" t="s">
        <v>1198</v>
      </c>
      <c r="C799" t="s">
        <v>2406</v>
      </c>
      <c r="D799" t="s">
        <v>2590</v>
      </c>
      <c r="E799">
        <v>2</v>
      </c>
      <c r="F799">
        <v>68900</v>
      </c>
      <c r="G799">
        <v>0</v>
      </c>
      <c r="H799">
        <v>0</v>
      </c>
      <c r="I799" t="s">
        <v>2652</v>
      </c>
      <c r="J799" s="4">
        <f t="shared" si="36"/>
        <v>137800</v>
      </c>
      <c r="K799" s="4" t="str">
        <f t="shared" si="37"/>
        <v>2024-10</v>
      </c>
      <c r="L799" s="4" t="str">
        <f t="shared" si="38"/>
        <v>토</v>
      </c>
      <c r="M799" s="2" t="str">
        <f>VLOOKUP($C799, 고객정보!$A$2:$E$151, 2, FALSE)</f>
        <v>부산</v>
      </c>
      <c r="N799" t="str">
        <f>VLOOKUP(C799,고객정보!$A$2:$D$151,4,FALSE)</f>
        <v>L5</v>
      </c>
      <c r="O799" t="str">
        <f>VLOOKUP($C799, 고객정보!$A$2:$E$151, 5, FALSE)</f>
        <v>30대</v>
      </c>
      <c r="P799" t="str">
        <f>VLOOKUP(D799,상품정보!$A$2:$E$61,2,FALSE)</f>
        <v>반팔 티셔츠</v>
      </c>
      <c r="Q799" t="str">
        <f>VLOOKUP(D799,상품정보!$A$2:$D$151,3,FALSE)</f>
        <v>의류</v>
      </c>
      <c r="R799" t="str">
        <f>VLOOKUP(D799,상품정보!$A$2:$D$151,4,FALSE)</f>
        <v>브랜드A</v>
      </c>
    </row>
    <row r="800" spans="1:18" x14ac:dyDescent="0.45">
      <c r="A800" t="s">
        <v>265</v>
      </c>
      <c r="B800" t="s">
        <v>1199</v>
      </c>
      <c r="C800" t="s">
        <v>2468</v>
      </c>
      <c r="D800" t="s">
        <v>2566</v>
      </c>
      <c r="E800">
        <v>4</v>
      </c>
      <c r="F800">
        <v>60600</v>
      </c>
      <c r="G800">
        <v>500</v>
      </c>
      <c r="H800">
        <v>0</v>
      </c>
      <c r="I800" t="s">
        <v>2652</v>
      </c>
      <c r="J800" s="4">
        <f t="shared" si="36"/>
        <v>242900</v>
      </c>
      <c r="K800" s="4" t="str">
        <f t="shared" si="37"/>
        <v>2024-03</v>
      </c>
      <c r="L800" s="4" t="str">
        <f t="shared" si="38"/>
        <v>수</v>
      </c>
      <c r="M800" s="2" t="str">
        <f>VLOOKUP($C800, 고객정보!$A$2:$E$151, 2, FALSE)</f>
        <v>부산</v>
      </c>
      <c r="N800" t="str">
        <f>VLOOKUP(C800,고객정보!$A$2:$D$151,4,FALSE)</f>
        <v>L5</v>
      </c>
      <c r="O800" t="str">
        <f>VLOOKUP($C800, 고객정보!$A$2:$E$151, 5, FALSE)</f>
        <v>20대</v>
      </c>
      <c r="P800" t="str">
        <f>VLOOKUP(D800,상품정보!$A$2:$E$61,2,FALSE)</f>
        <v>반팔 티셔츠</v>
      </c>
      <c r="Q800" t="str">
        <f>VLOOKUP(D800,상품정보!$A$2:$D$151,3,FALSE)</f>
        <v>의류</v>
      </c>
      <c r="R800" t="str">
        <f>VLOOKUP(D800,상품정보!$A$2:$D$151,4,FALSE)</f>
        <v>브랜드A</v>
      </c>
    </row>
    <row r="801" spans="1:18" x14ac:dyDescent="0.45">
      <c r="A801" t="s">
        <v>164</v>
      </c>
      <c r="B801" t="s">
        <v>1200</v>
      </c>
      <c r="C801" t="s">
        <v>2430</v>
      </c>
      <c r="D801" t="s">
        <v>2565</v>
      </c>
      <c r="E801">
        <v>3</v>
      </c>
      <c r="F801">
        <v>50000</v>
      </c>
      <c r="G801">
        <v>1500</v>
      </c>
      <c r="H801">
        <v>5200</v>
      </c>
      <c r="I801" t="s">
        <v>2612</v>
      </c>
      <c r="J801" s="4">
        <f t="shared" si="36"/>
        <v>146300</v>
      </c>
      <c r="K801" s="4" t="str">
        <f t="shared" si="37"/>
        <v>2024-05</v>
      </c>
      <c r="L801" s="4" t="str">
        <f t="shared" si="38"/>
        <v>금</v>
      </c>
      <c r="M801" s="2" t="str">
        <f>VLOOKUP($C801, 고객정보!$A$2:$E$151, 2, FALSE)</f>
        <v>광주</v>
      </c>
      <c r="N801" t="str">
        <f>VLOOKUP(C801,고객정보!$A$2:$D$151,4,FALSE)</f>
        <v>L4</v>
      </c>
      <c r="O801" t="str">
        <f>VLOOKUP($C801, 고객정보!$A$2:$E$151, 5, FALSE)</f>
        <v>30대</v>
      </c>
      <c r="P801" t="str">
        <f>VLOOKUP(D801,상품정보!$A$2:$E$61,2,FALSE)</f>
        <v>핸드폰케이스</v>
      </c>
      <c r="Q801" t="str">
        <f>VLOOKUP(D801,상품정보!$A$2:$D$151,3,FALSE)</f>
        <v>액세서리</v>
      </c>
      <c r="R801" t="str">
        <f>VLOOKUP(D801,상품정보!$A$2:$D$151,4,FALSE)</f>
        <v>브랜드B</v>
      </c>
    </row>
    <row r="802" spans="1:18" x14ac:dyDescent="0.45">
      <c r="A802" t="s">
        <v>73</v>
      </c>
      <c r="B802" t="s">
        <v>1201</v>
      </c>
      <c r="C802" t="s">
        <v>2534</v>
      </c>
      <c r="D802" t="s">
        <v>2573</v>
      </c>
      <c r="E802">
        <v>1</v>
      </c>
      <c r="F802">
        <v>6400</v>
      </c>
      <c r="G802">
        <v>500</v>
      </c>
      <c r="H802">
        <v>500</v>
      </c>
      <c r="I802" t="s">
        <v>2612</v>
      </c>
      <c r="J802" s="4">
        <f t="shared" si="36"/>
        <v>6400</v>
      </c>
      <c r="K802" s="4" t="str">
        <f t="shared" si="37"/>
        <v>2024-03</v>
      </c>
      <c r="L802" s="4" t="str">
        <f t="shared" si="38"/>
        <v>화</v>
      </c>
      <c r="M802" s="2" t="str">
        <f>VLOOKUP($C802, 고객정보!$A$2:$E$151, 2, FALSE)</f>
        <v>광주</v>
      </c>
      <c r="N802" t="str">
        <f>VLOOKUP(C802,고객정보!$A$2:$D$151,4,FALSE)</f>
        <v>L2</v>
      </c>
      <c r="O802" t="str">
        <f>VLOOKUP($C802, 고객정보!$A$2:$E$151, 5, FALSE)</f>
        <v>10대</v>
      </c>
      <c r="P802" t="str">
        <f>VLOOKUP(D802,상품정보!$A$2:$E$61,2,FALSE)</f>
        <v>귀걸이</v>
      </c>
      <c r="Q802" t="str">
        <f>VLOOKUP(D802,상품정보!$A$2:$D$151,3,FALSE)</f>
        <v>액세서리</v>
      </c>
      <c r="R802" t="str">
        <f>VLOOKUP(D802,상품정보!$A$2:$D$151,4,FALSE)</f>
        <v>브랜드E</v>
      </c>
    </row>
    <row r="803" spans="1:18" x14ac:dyDescent="0.45">
      <c r="A803" t="s">
        <v>331</v>
      </c>
      <c r="B803" t="s">
        <v>1202</v>
      </c>
      <c r="C803" t="s">
        <v>2485</v>
      </c>
      <c r="D803" t="s">
        <v>2565</v>
      </c>
      <c r="E803">
        <v>4</v>
      </c>
      <c r="F803">
        <v>50000</v>
      </c>
      <c r="G803">
        <v>500</v>
      </c>
      <c r="H803">
        <v>0</v>
      </c>
      <c r="I803" t="s">
        <v>2652</v>
      </c>
      <c r="J803" s="4">
        <f t="shared" si="36"/>
        <v>200500</v>
      </c>
      <c r="K803" s="4" t="str">
        <f t="shared" si="37"/>
        <v>2024-06</v>
      </c>
      <c r="L803" s="4" t="str">
        <f t="shared" si="38"/>
        <v>일</v>
      </c>
      <c r="M803" s="2" t="str">
        <f>VLOOKUP($C803, 고객정보!$A$2:$E$151, 2, FALSE)</f>
        <v>서울</v>
      </c>
      <c r="N803" t="str">
        <f>VLOOKUP(C803,고객정보!$A$2:$D$151,4,FALSE)</f>
        <v>L4</v>
      </c>
      <c r="O803" t="str">
        <f>VLOOKUP($C803, 고객정보!$A$2:$E$151, 5, FALSE)</f>
        <v>40대</v>
      </c>
      <c r="P803" t="str">
        <f>VLOOKUP(D803,상품정보!$A$2:$E$61,2,FALSE)</f>
        <v>핸드폰케이스</v>
      </c>
      <c r="Q803" t="str">
        <f>VLOOKUP(D803,상품정보!$A$2:$D$151,3,FALSE)</f>
        <v>액세서리</v>
      </c>
      <c r="R803" t="str">
        <f>VLOOKUP(D803,상품정보!$A$2:$D$151,4,FALSE)</f>
        <v>브랜드B</v>
      </c>
    </row>
    <row r="804" spans="1:18" x14ac:dyDescent="0.45">
      <c r="A804" t="s">
        <v>180</v>
      </c>
      <c r="B804" t="s">
        <v>1203</v>
      </c>
      <c r="C804" t="s">
        <v>2545</v>
      </c>
      <c r="D804" t="s">
        <v>2577</v>
      </c>
      <c r="E804">
        <v>1</v>
      </c>
      <c r="F804">
        <v>10200</v>
      </c>
      <c r="G804">
        <v>500</v>
      </c>
      <c r="H804">
        <v>0</v>
      </c>
      <c r="I804" t="s">
        <v>2652</v>
      </c>
      <c r="J804" s="4">
        <f t="shared" si="36"/>
        <v>10700</v>
      </c>
      <c r="K804" s="4" t="str">
        <f t="shared" si="37"/>
        <v>2024-07</v>
      </c>
      <c r="L804" s="4" t="str">
        <f t="shared" si="38"/>
        <v>수</v>
      </c>
      <c r="M804" s="2" t="str">
        <f>VLOOKUP($C804, 고객정보!$A$2:$E$151, 2, FALSE)</f>
        <v>서울</v>
      </c>
      <c r="N804" t="str">
        <f>VLOOKUP(C804,고객정보!$A$2:$D$151,4,FALSE)</f>
        <v>L4</v>
      </c>
      <c r="O804" t="str">
        <f>VLOOKUP($C804, 고객정보!$A$2:$E$151, 5, FALSE)</f>
        <v>30대</v>
      </c>
      <c r="P804" t="str">
        <f>VLOOKUP(D804,상품정보!$A$2:$E$61,2,FALSE)</f>
        <v>셔츠</v>
      </c>
      <c r="Q804" t="str">
        <f>VLOOKUP(D804,상품정보!$A$2:$D$151,3,FALSE)</f>
        <v>의류</v>
      </c>
      <c r="R804" t="str">
        <f>VLOOKUP(D804,상품정보!$A$2:$D$151,4,FALSE)</f>
        <v>브랜드C</v>
      </c>
    </row>
    <row r="805" spans="1:18" x14ac:dyDescent="0.45">
      <c r="A805" t="s">
        <v>346</v>
      </c>
      <c r="B805" t="s">
        <v>1204</v>
      </c>
      <c r="C805" t="s">
        <v>2531</v>
      </c>
      <c r="D805" t="s">
        <v>2585</v>
      </c>
      <c r="E805">
        <v>4</v>
      </c>
      <c r="F805">
        <v>14900</v>
      </c>
      <c r="G805">
        <v>0</v>
      </c>
      <c r="H805">
        <v>0</v>
      </c>
      <c r="I805" t="s">
        <v>2652</v>
      </c>
      <c r="J805" s="4">
        <f t="shared" si="36"/>
        <v>59600</v>
      </c>
      <c r="K805" s="4" t="str">
        <f t="shared" si="37"/>
        <v>2024-10</v>
      </c>
      <c r="L805" s="4" t="str">
        <f t="shared" si="38"/>
        <v>목</v>
      </c>
      <c r="M805" s="2" t="str">
        <f>VLOOKUP($C805, 고객정보!$A$2:$E$151, 2, FALSE)</f>
        <v>서울</v>
      </c>
      <c r="N805" t="str">
        <f>VLOOKUP(C805,고객정보!$A$2:$D$151,4,FALSE)</f>
        <v>L4</v>
      </c>
      <c r="O805" t="str">
        <f>VLOOKUP($C805, 고객정보!$A$2:$E$151, 5, FALSE)</f>
        <v>40대</v>
      </c>
      <c r="P805" t="str">
        <f>VLOOKUP(D805,상품정보!$A$2:$E$61,2,FALSE)</f>
        <v>반팔 티셔츠</v>
      </c>
      <c r="Q805" t="str">
        <f>VLOOKUP(D805,상품정보!$A$2:$D$151,3,FALSE)</f>
        <v>의류</v>
      </c>
      <c r="R805" t="str">
        <f>VLOOKUP(D805,상품정보!$A$2:$D$151,4,FALSE)</f>
        <v>브랜드C</v>
      </c>
    </row>
    <row r="806" spans="1:18" x14ac:dyDescent="0.45">
      <c r="A806" t="s">
        <v>303</v>
      </c>
      <c r="B806" t="s">
        <v>1205</v>
      </c>
      <c r="C806" t="s">
        <v>2486</v>
      </c>
      <c r="D806" t="s">
        <v>2581</v>
      </c>
      <c r="E806">
        <v>1</v>
      </c>
      <c r="F806">
        <v>72900</v>
      </c>
      <c r="G806">
        <v>2000</v>
      </c>
      <c r="H806">
        <v>0</v>
      </c>
      <c r="I806" t="s">
        <v>2652</v>
      </c>
      <c r="J806" s="4">
        <f t="shared" si="36"/>
        <v>74900</v>
      </c>
      <c r="K806" s="4" t="str">
        <f t="shared" si="37"/>
        <v>2024-03</v>
      </c>
      <c r="L806" s="4" t="str">
        <f t="shared" si="38"/>
        <v>일</v>
      </c>
      <c r="M806" s="2" t="str">
        <f>VLOOKUP($C806, 고객정보!$A$2:$E$151, 2, FALSE)</f>
        <v>수원</v>
      </c>
      <c r="N806" t="str">
        <f>VLOOKUP(C806,고객정보!$A$2:$D$151,4,FALSE)</f>
        <v>L1</v>
      </c>
      <c r="O806" t="str">
        <f>VLOOKUP($C806, 고객정보!$A$2:$E$151, 5, FALSE)</f>
        <v>40대</v>
      </c>
      <c r="P806" t="str">
        <f>VLOOKUP(D806,상품정보!$A$2:$E$61,2,FALSE)</f>
        <v>귀걸이</v>
      </c>
      <c r="Q806" t="str">
        <f>VLOOKUP(D806,상품정보!$A$2:$D$151,3,FALSE)</f>
        <v>액세서리</v>
      </c>
      <c r="R806" t="str">
        <f>VLOOKUP(D806,상품정보!$A$2:$D$151,4,FALSE)</f>
        <v>브랜드F</v>
      </c>
    </row>
    <row r="807" spans="1:18" x14ac:dyDescent="0.45">
      <c r="A807" t="s">
        <v>347</v>
      </c>
      <c r="B807" t="s">
        <v>1206</v>
      </c>
      <c r="C807" t="s">
        <v>2471</v>
      </c>
      <c r="D807" t="s">
        <v>2594</v>
      </c>
      <c r="E807">
        <v>4</v>
      </c>
      <c r="F807">
        <v>73000</v>
      </c>
      <c r="G807">
        <v>1000</v>
      </c>
      <c r="H807">
        <v>14100</v>
      </c>
      <c r="I807" t="s">
        <v>2613</v>
      </c>
      <c r="J807" s="4">
        <f t="shared" si="36"/>
        <v>278900</v>
      </c>
      <c r="K807" s="4" t="str">
        <f t="shared" si="37"/>
        <v>2024-06</v>
      </c>
      <c r="L807" s="4" t="str">
        <f t="shared" si="38"/>
        <v>수</v>
      </c>
      <c r="M807" s="2" t="str">
        <f>VLOOKUP($C807, 고객정보!$A$2:$E$151, 2, FALSE)</f>
        <v>서울</v>
      </c>
      <c r="N807" t="str">
        <f>VLOOKUP(C807,고객정보!$A$2:$D$151,4,FALSE)</f>
        <v>L5</v>
      </c>
      <c r="O807" t="str">
        <f>VLOOKUP($C807, 고객정보!$A$2:$E$151, 5, FALSE)</f>
        <v>40대</v>
      </c>
      <c r="P807" t="str">
        <f>VLOOKUP(D807,상품정보!$A$2:$E$61,2,FALSE)</f>
        <v>자켓</v>
      </c>
      <c r="Q807" t="str">
        <f>VLOOKUP(D807,상품정보!$A$2:$D$151,3,FALSE)</f>
        <v>의류</v>
      </c>
      <c r="R807" t="str">
        <f>VLOOKUP(D807,상품정보!$A$2:$D$151,4,FALSE)</f>
        <v>브랜드A</v>
      </c>
    </row>
    <row r="808" spans="1:18" x14ac:dyDescent="0.45">
      <c r="A808" t="s">
        <v>281</v>
      </c>
      <c r="B808" t="s">
        <v>1207</v>
      </c>
      <c r="C808" t="s">
        <v>2418</v>
      </c>
      <c r="D808" t="s">
        <v>2570</v>
      </c>
      <c r="E808">
        <v>3</v>
      </c>
      <c r="F808">
        <v>73900</v>
      </c>
      <c r="G808">
        <v>0</v>
      </c>
      <c r="H808">
        <v>3500</v>
      </c>
      <c r="I808" t="s">
        <v>2613</v>
      </c>
      <c r="J808" s="4">
        <f t="shared" si="36"/>
        <v>218200</v>
      </c>
      <c r="K808" s="4" t="str">
        <f t="shared" si="37"/>
        <v>2024-08</v>
      </c>
      <c r="L808" s="4" t="str">
        <f t="shared" si="38"/>
        <v>화</v>
      </c>
      <c r="M808" s="2" t="str">
        <f>VLOOKUP($C808, 고객정보!$A$2:$E$151, 2, FALSE)</f>
        <v>부산</v>
      </c>
      <c r="N808" t="str">
        <f>VLOOKUP(C808,고객정보!$A$2:$D$151,4,FALSE)</f>
        <v>L5</v>
      </c>
      <c r="O808" t="str">
        <f>VLOOKUP($C808, 고객정보!$A$2:$E$151, 5, FALSE)</f>
        <v>30대</v>
      </c>
      <c r="P808" t="str">
        <f>VLOOKUP(D808,상품정보!$A$2:$E$61,2,FALSE)</f>
        <v>반지</v>
      </c>
      <c r="Q808" t="str">
        <f>VLOOKUP(D808,상품정보!$A$2:$D$151,3,FALSE)</f>
        <v>액세서리</v>
      </c>
      <c r="R808" t="str">
        <f>VLOOKUP(D808,상품정보!$A$2:$D$151,4,FALSE)</f>
        <v>브랜드B</v>
      </c>
    </row>
    <row r="809" spans="1:18" x14ac:dyDescent="0.45">
      <c r="A809" t="s">
        <v>303</v>
      </c>
      <c r="B809" t="s">
        <v>1208</v>
      </c>
      <c r="C809" t="s">
        <v>2526</v>
      </c>
      <c r="D809" t="s">
        <v>2609</v>
      </c>
      <c r="E809">
        <v>5</v>
      </c>
      <c r="F809">
        <v>58600</v>
      </c>
      <c r="G809">
        <v>0</v>
      </c>
      <c r="H809">
        <v>14400</v>
      </c>
      <c r="I809" t="s">
        <v>2612</v>
      </c>
      <c r="J809" s="4">
        <f t="shared" si="36"/>
        <v>278600</v>
      </c>
      <c r="K809" s="4" t="str">
        <f t="shared" si="37"/>
        <v>2024-03</v>
      </c>
      <c r="L809" s="4" t="str">
        <f t="shared" si="38"/>
        <v>일</v>
      </c>
      <c r="M809" s="2" t="str">
        <f>VLOOKUP($C809, 고객정보!$A$2:$E$151, 2, FALSE)</f>
        <v>부산</v>
      </c>
      <c r="N809" t="str">
        <f>VLOOKUP(C809,고객정보!$A$2:$D$151,4,FALSE)</f>
        <v>L3</v>
      </c>
      <c r="O809" t="str">
        <f>VLOOKUP($C809, 고객정보!$A$2:$E$151, 5, FALSE)</f>
        <v>10대</v>
      </c>
      <c r="P809" t="str">
        <f>VLOOKUP(D809,상품정보!$A$2:$E$61,2,FALSE)</f>
        <v>목걸이</v>
      </c>
      <c r="Q809" t="str">
        <f>VLOOKUP(D809,상품정보!$A$2:$D$151,3,FALSE)</f>
        <v>액세서리</v>
      </c>
      <c r="R809" t="str">
        <f>VLOOKUP(D809,상품정보!$A$2:$D$151,4,FALSE)</f>
        <v>브랜드F</v>
      </c>
    </row>
    <row r="810" spans="1:18" x14ac:dyDescent="0.45">
      <c r="A810" t="s">
        <v>224</v>
      </c>
      <c r="B810" t="s">
        <v>1209</v>
      </c>
      <c r="C810" t="s">
        <v>2528</v>
      </c>
      <c r="D810" t="s">
        <v>2597</v>
      </c>
      <c r="E810">
        <v>5</v>
      </c>
      <c r="F810">
        <v>65300</v>
      </c>
      <c r="G810">
        <v>0</v>
      </c>
      <c r="H810">
        <v>0</v>
      </c>
      <c r="I810" t="s">
        <v>2652</v>
      </c>
      <c r="J810" s="4">
        <f t="shared" si="36"/>
        <v>326500</v>
      </c>
      <c r="K810" s="4" t="str">
        <f t="shared" si="37"/>
        <v>2024-12</v>
      </c>
      <c r="L810" s="4" t="str">
        <f t="shared" si="38"/>
        <v>토</v>
      </c>
      <c r="M810" s="2" t="str">
        <f>VLOOKUP($C810, 고객정보!$A$2:$E$151, 2, FALSE)</f>
        <v>광주</v>
      </c>
      <c r="N810" t="str">
        <f>VLOOKUP(C810,고객정보!$A$2:$D$151,4,FALSE)</f>
        <v>L3</v>
      </c>
      <c r="O810" t="str">
        <f>VLOOKUP($C810, 고객정보!$A$2:$E$151, 5, FALSE)</f>
        <v>10대</v>
      </c>
      <c r="P810" t="str">
        <f>VLOOKUP(D810,상품정보!$A$2:$E$61,2,FALSE)</f>
        <v>반지</v>
      </c>
      <c r="Q810" t="str">
        <f>VLOOKUP(D810,상품정보!$A$2:$D$151,3,FALSE)</f>
        <v>액세서리</v>
      </c>
      <c r="R810" t="str">
        <f>VLOOKUP(D810,상품정보!$A$2:$D$151,4,FALSE)</f>
        <v>브랜드F</v>
      </c>
    </row>
    <row r="811" spans="1:18" x14ac:dyDescent="0.45">
      <c r="A811" t="s">
        <v>266</v>
      </c>
      <c r="B811" t="s">
        <v>1210</v>
      </c>
      <c r="C811" t="s">
        <v>2448</v>
      </c>
      <c r="D811" t="s">
        <v>2608</v>
      </c>
      <c r="E811">
        <v>3</v>
      </c>
      <c r="F811">
        <v>10600</v>
      </c>
      <c r="G811">
        <v>500</v>
      </c>
      <c r="H811">
        <v>0</v>
      </c>
      <c r="I811" t="s">
        <v>2652</v>
      </c>
      <c r="J811" s="4">
        <f t="shared" si="36"/>
        <v>32300</v>
      </c>
      <c r="K811" s="4" t="str">
        <f t="shared" si="37"/>
        <v>2024-03</v>
      </c>
      <c r="L811" s="4" t="str">
        <f t="shared" si="38"/>
        <v>일</v>
      </c>
      <c r="M811" s="2" t="str">
        <f>VLOOKUP($C811, 고객정보!$A$2:$E$151, 2, FALSE)</f>
        <v>광주</v>
      </c>
      <c r="N811" t="str">
        <f>VLOOKUP(C811,고객정보!$A$2:$D$151,4,FALSE)</f>
        <v>L3</v>
      </c>
      <c r="O811" t="str">
        <f>VLOOKUP($C811, 고객정보!$A$2:$E$151, 5, FALSE)</f>
        <v>50대 이상</v>
      </c>
      <c r="P811" t="str">
        <f>VLOOKUP(D811,상품정보!$A$2:$E$61,2,FALSE)</f>
        <v>셔츠</v>
      </c>
      <c r="Q811" t="str">
        <f>VLOOKUP(D811,상품정보!$A$2:$D$151,3,FALSE)</f>
        <v>의류</v>
      </c>
      <c r="R811" t="str">
        <f>VLOOKUP(D811,상품정보!$A$2:$D$151,4,FALSE)</f>
        <v>브랜드D</v>
      </c>
    </row>
    <row r="812" spans="1:18" x14ac:dyDescent="0.45">
      <c r="A812" t="s">
        <v>119</v>
      </c>
      <c r="B812" t="s">
        <v>1211</v>
      </c>
      <c r="C812" t="s">
        <v>2533</v>
      </c>
      <c r="D812" t="s">
        <v>2597</v>
      </c>
      <c r="E812">
        <v>3</v>
      </c>
      <c r="F812">
        <v>65300</v>
      </c>
      <c r="G812">
        <v>0</v>
      </c>
      <c r="H812">
        <v>3800</v>
      </c>
      <c r="I812" t="s">
        <v>2613</v>
      </c>
      <c r="J812" s="4">
        <f t="shared" si="36"/>
        <v>192100</v>
      </c>
      <c r="K812" s="4" t="str">
        <f t="shared" si="37"/>
        <v>2025-01</v>
      </c>
      <c r="L812" s="4" t="str">
        <f t="shared" si="38"/>
        <v>토</v>
      </c>
      <c r="M812" s="2" t="str">
        <f>VLOOKUP($C812, 고객정보!$A$2:$E$151, 2, FALSE)</f>
        <v>인천</v>
      </c>
      <c r="N812" t="str">
        <f>VLOOKUP(C812,고객정보!$A$2:$D$151,4,FALSE)</f>
        <v>L5</v>
      </c>
      <c r="O812" t="str">
        <f>VLOOKUP($C812, 고객정보!$A$2:$E$151, 5, FALSE)</f>
        <v>30대</v>
      </c>
      <c r="P812" t="str">
        <f>VLOOKUP(D812,상품정보!$A$2:$E$61,2,FALSE)</f>
        <v>반지</v>
      </c>
      <c r="Q812" t="str">
        <f>VLOOKUP(D812,상품정보!$A$2:$D$151,3,FALSE)</f>
        <v>액세서리</v>
      </c>
      <c r="R812" t="str">
        <f>VLOOKUP(D812,상품정보!$A$2:$D$151,4,FALSE)</f>
        <v>브랜드F</v>
      </c>
    </row>
    <row r="813" spans="1:18" x14ac:dyDescent="0.45">
      <c r="A813" t="s">
        <v>345</v>
      </c>
      <c r="B813" t="s">
        <v>1212</v>
      </c>
      <c r="C813" t="s">
        <v>2510</v>
      </c>
      <c r="D813" t="s">
        <v>2563</v>
      </c>
      <c r="E813">
        <v>2</v>
      </c>
      <c r="F813">
        <v>6900</v>
      </c>
      <c r="G813">
        <v>1500</v>
      </c>
      <c r="H813">
        <v>800</v>
      </c>
      <c r="I813" t="s">
        <v>2612</v>
      </c>
      <c r="J813" s="4">
        <f t="shared" si="36"/>
        <v>14500</v>
      </c>
      <c r="K813" s="4" t="str">
        <f t="shared" si="37"/>
        <v>2024-06</v>
      </c>
      <c r="L813" s="4" t="str">
        <f t="shared" si="38"/>
        <v>토</v>
      </c>
      <c r="M813" s="2" t="str">
        <f>VLOOKUP($C813, 고객정보!$A$2:$E$151, 2, FALSE)</f>
        <v>부산</v>
      </c>
      <c r="N813" t="str">
        <f>VLOOKUP(C813,고객정보!$A$2:$D$151,4,FALSE)</f>
        <v>L3</v>
      </c>
      <c r="O813" t="str">
        <f>VLOOKUP($C813, 고객정보!$A$2:$E$151, 5, FALSE)</f>
        <v>20대</v>
      </c>
      <c r="P813" t="str">
        <f>VLOOKUP(D813,상품정보!$A$2:$E$61,2,FALSE)</f>
        <v>귀걸이</v>
      </c>
      <c r="Q813" t="str">
        <f>VLOOKUP(D813,상품정보!$A$2:$D$151,3,FALSE)</f>
        <v>액세서리</v>
      </c>
      <c r="R813" t="str">
        <f>VLOOKUP(D813,상품정보!$A$2:$D$151,4,FALSE)</f>
        <v>브랜드D</v>
      </c>
    </row>
    <row r="814" spans="1:18" x14ac:dyDescent="0.45">
      <c r="A814" t="s">
        <v>99</v>
      </c>
      <c r="B814" t="s">
        <v>1213</v>
      </c>
      <c r="C814" t="s">
        <v>2538</v>
      </c>
      <c r="D814" t="s">
        <v>2565</v>
      </c>
      <c r="E814">
        <v>4</v>
      </c>
      <c r="F814">
        <v>50000</v>
      </c>
      <c r="G814">
        <v>0</v>
      </c>
      <c r="H814">
        <v>0</v>
      </c>
      <c r="I814" t="s">
        <v>2652</v>
      </c>
      <c r="J814" s="4">
        <f t="shared" si="36"/>
        <v>200000</v>
      </c>
      <c r="K814" s="4" t="str">
        <f t="shared" si="37"/>
        <v>2024-07</v>
      </c>
      <c r="L814" s="4" t="str">
        <f t="shared" si="38"/>
        <v>금</v>
      </c>
      <c r="M814" s="2" t="str">
        <f>VLOOKUP($C814, 고객정보!$A$2:$E$151, 2, FALSE)</f>
        <v>대구</v>
      </c>
      <c r="N814" t="str">
        <f>VLOOKUP(C814,고객정보!$A$2:$D$151,4,FALSE)</f>
        <v>L4</v>
      </c>
      <c r="O814" t="str">
        <f>VLOOKUP($C814, 고객정보!$A$2:$E$151, 5, FALSE)</f>
        <v>40대</v>
      </c>
      <c r="P814" t="str">
        <f>VLOOKUP(D814,상품정보!$A$2:$E$61,2,FALSE)</f>
        <v>핸드폰케이스</v>
      </c>
      <c r="Q814" t="str">
        <f>VLOOKUP(D814,상품정보!$A$2:$D$151,3,FALSE)</f>
        <v>액세서리</v>
      </c>
      <c r="R814" t="str">
        <f>VLOOKUP(D814,상품정보!$A$2:$D$151,4,FALSE)</f>
        <v>브랜드B</v>
      </c>
    </row>
    <row r="815" spans="1:18" x14ac:dyDescent="0.45">
      <c r="A815" t="s">
        <v>348</v>
      </c>
      <c r="B815" t="s">
        <v>1214</v>
      </c>
      <c r="C815" t="s">
        <v>2504</v>
      </c>
      <c r="D815" t="s">
        <v>2568</v>
      </c>
      <c r="E815">
        <v>5</v>
      </c>
      <c r="F815">
        <v>16800</v>
      </c>
      <c r="G815">
        <v>0</v>
      </c>
      <c r="H815">
        <v>9800</v>
      </c>
      <c r="I815" t="s">
        <v>2612</v>
      </c>
      <c r="J815" s="4">
        <f t="shared" si="36"/>
        <v>74200</v>
      </c>
      <c r="K815" s="4" t="str">
        <f t="shared" si="37"/>
        <v>2024-04</v>
      </c>
      <c r="L815" s="4" t="str">
        <f t="shared" si="38"/>
        <v>금</v>
      </c>
      <c r="M815" s="2" t="str">
        <f>VLOOKUP($C815, 고객정보!$A$2:$E$151, 2, FALSE)</f>
        <v>서울</v>
      </c>
      <c r="N815" t="str">
        <f>VLOOKUP(C815,고객정보!$A$2:$D$151,4,FALSE)</f>
        <v>L1</v>
      </c>
      <c r="O815" t="str">
        <f>VLOOKUP($C815, 고객정보!$A$2:$E$151, 5, FALSE)</f>
        <v>40대</v>
      </c>
      <c r="P815" t="str">
        <f>VLOOKUP(D815,상품정보!$A$2:$E$61,2,FALSE)</f>
        <v>청바지</v>
      </c>
      <c r="Q815" t="str">
        <f>VLOOKUP(D815,상품정보!$A$2:$D$151,3,FALSE)</f>
        <v>의류</v>
      </c>
      <c r="R815" t="str">
        <f>VLOOKUP(D815,상품정보!$A$2:$D$151,4,FALSE)</f>
        <v>브랜드C</v>
      </c>
    </row>
    <row r="816" spans="1:18" x14ac:dyDescent="0.45">
      <c r="A816" t="s">
        <v>12</v>
      </c>
      <c r="B816" t="s">
        <v>1215</v>
      </c>
      <c r="C816" t="s">
        <v>2403</v>
      </c>
      <c r="D816" t="s">
        <v>2604</v>
      </c>
      <c r="E816">
        <v>5</v>
      </c>
      <c r="F816">
        <v>9700</v>
      </c>
      <c r="G816">
        <v>500</v>
      </c>
      <c r="H816">
        <v>25100</v>
      </c>
      <c r="I816" t="s">
        <v>2612</v>
      </c>
      <c r="J816" s="4">
        <f t="shared" si="36"/>
        <v>23900</v>
      </c>
      <c r="K816" s="4" t="str">
        <f t="shared" si="37"/>
        <v>2024-01</v>
      </c>
      <c r="L816" s="4" t="str">
        <f t="shared" si="38"/>
        <v>일</v>
      </c>
      <c r="M816" s="2" t="str">
        <f>VLOOKUP($C816, 고객정보!$A$2:$E$151, 2, FALSE)</f>
        <v>수원</v>
      </c>
      <c r="N816" t="str">
        <f>VLOOKUP(C816,고객정보!$A$2:$D$151,4,FALSE)</f>
        <v>L3</v>
      </c>
      <c r="O816" t="str">
        <f>VLOOKUP($C816, 고객정보!$A$2:$E$151, 5, FALSE)</f>
        <v>30대</v>
      </c>
      <c r="P816" t="str">
        <f>VLOOKUP(D816,상품정보!$A$2:$E$61,2,FALSE)</f>
        <v>반팔 티셔츠</v>
      </c>
      <c r="Q816" t="str">
        <f>VLOOKUP(D816,상품정보!$A$2:$D$151,3,FALSE)</f>
        <v>의류</v>
      </c>
      <c r="R816" t="str">
        <f>VLOOKUP(D816,상품정보!$A$2:$D$151,4,FALSE)</f>
        <v>브랜드E</v>
      </c>
    </row>
    <row r="817" spans="1:18" x14ac:dyDescent="0.45">
      <c r="A817" t="s">
        <v>199</v>
      </c>
      <c r="B817" t="s">
        <v>1216</v>
      </c>
      <c r="C817" t="s">
        <v>2507</v>
      </c>
      <c r="D817" t="s">
        <v>2588</v>
      </c>
      <c r="E817">
        <v>2</v>
      </c>
      <c r="F817">
        <v>7700</v>
      </c>
      <c r="G817">
        <v>0</v>
      </c>
      <c r="H817">
        <v>0</v>
      </c>
      <c r="I817" t="s">
        <v>2652</v>
      </c>
      <c r="J817" s="4">
        <f t="shared" si="36"/>
        <v>15400</v>
      </c>
      <c r="K817" s="4" t="str">
        <f t="shared" si="37"/>
        <v>2024-08</v>
      </c>
      <c r="L817" s="4" t="str">
        <f t="shared" si="38"/>
        <v>월</v>
      </c>
      <c r="M817" s="2" t="str">
        <f>VLOOKUP($C817, 고객정보!$A$2:$E$151, 2, FALSE)</f>
        <v>대전</v>
      </c>
      <c r="N817" t="str">
        <f>VLOOKUP(C817,고객정보!$A$2:$D$151,4,FALSE)</f>
        <v>L2</v>
      </c>
      <c r="O817" t="str">
        <f>VLOOKUP($C817, 고객정보!$A$2:$E$151, 5, FALSE)</f>
        <v>40대</v>
      </c>
      <c r="P817" t="str">
        <f>VLOOKUP(D817,상품정보!$A$2:$E$61,2,FALSE)</f>
        <v>귀걸이</v>
      </c>
      <c r="Q817" t="str">
        <f>VLOOKUP(D817,상품정보!$A$2:$D$151,3,FALSE)</f>
        <v>액세서리</v>
      </c>
      <c r="R817" t="str">
        <f>VLOOKUP(D817,상품정보!$A$2:$D$151,4,FALSE)</f>
        <v>브랜드D</v>
      </c>
    </row>
    <row r="818" spans="1:18" x14ac:dyDescent="0.45">
      <c r="A818" t="s">
        <v>220</v>
      </c>
      <c r="B818" t="s">
        <v>1217</v>
      </c>
      <c r="C818" t="s">
        <v>2417</v>
      </c>
      <c r="D818" t="s">
        <v>2569</v>
      </c>
      <c r="E818">
        <v>1</v>
      </c>
      <c r="F818">
        <v>11400</v>
      </c>
      <c r="G818">
        <v>0</v>
      </c>
      <c r="H818">
        <v>0</v>
      </c>
      <c r="I818" t="s">
        <v>2652</v>
      </c>
      <c r="J818" s="4">
        <f t="shared" si="36"/>
        <v>11400</v>
      </c>
      <c r="K818" s="4" t="str">
        <f t="shared" si="37"/>
        <v>2024-07</v>
      </c>
      <c r="L818" s="4" t="str">
        <f t="shared" si="38"/>
        <v>일</v>
      </c>
      <c r="M818" s="2" t="str">
        <f>VLOOKUP($C818, 고객정보!$A$2:$E$151, 2, FALSE)</f>
        <v>인천</v>
      </c>
      <c r="N818" t="str">
        <f>VLOOKUP(C818,고객정보!$A$2:$D$151,4,FALSE)</f>
        <v>L1</v>
      </c>
      <c r="O818" t="str">
        <f>VLOOKUP($C818, 고객정보!$A$2:$E$151, 5, FALSE)</f>
        <v>30대</v>
      </c>
      <c r="P818" t="str">
        <f>VLOOKUP(D818,상품정보!$A$2:$E$61,2,FALSE)</f>
        <v>귀걸이</v>
      </c>
      <c r="Q818" t="str">
        <f>VLOOKUP(D818,상품정보!$A$2:$D$151,3,FALSE)</f>
        <v>액세서리</v>
      </c>
      <c r="R818" t="str">
        <f>VLOOKUP(D818,상품정보!$A$2:$D$151,4,FALSE)</f>
        <v>브랜드E</v>
      </c>
    </row>
    <row r="819" spans="1:18" x14ac:dyDescent="0.45">
      <c r="A819" t="s">
        <v>342</v>
      </c>
      <c r="B819" t="s">
        <v>1218</v>
      </c>
      <c r="C819" t="s">
        <v>2530</v>
      </c>
      <c r="D819" t="s">
        <v>2552</v>
      </c>
      <c r="E819">
        <v>3</v>
      </c>
      <c r="F819">
        <v>13300</v>
      </c>
      <c r="G819">
        <v>0</v>
      </c>
      <c r="H819">
        <v>0</v>
      </c>
      <c r="I819" t="s">
        <v>2652</v>
      </c>
      <c r="J819" s="4">
        <f t="shared" si="36"/>
        <v>39900</v>
      </c>
      <c r="K819" s="4" t="str">
        <f t="shared" si="37"/>
        <v>2024-05</v>
      </c>
      <c r="L819" s="4" t="str">
        <f t="shared" si="38"/>
        <v>금</v>
      </c>
      <c r="M819" s="2" t="str">
        <f>VLOOKUP($C819, 고객정보!$A$2:$E$151, 2, FALSE)</f>
        <v>대전</v>
      </c>
      <c r="N819" t="str">
        <f>VLOOKUP(C819,고객정보!$A$2:$D$151,4,FALSE)</f>
        <v>L2</v>
      </c>
      <c r="O819" t="str">
        <f>VLOOKUP($C819, 고객정보!$A$2:$E$151, 5, FALSE)</f>
        <v>20대</v>
      </c>
      <c r="P819" t="str">
        <f>VLOOKUP(D819,상품정보!$A$2:$E$61,2,FALSE)</f>
        <v>셔츠</v>
      </c>
      <c r="Q819" t="str">
        <f>VLOOKUP(D819,상품정보!$A$2:$D$151,3,FALSE)</f>
        <v>의류</v>
      </c>
      <c r="R819" t="str">
        <f>VLOOKUP(D819,상품정보!$A$2:$D$151,4,FALSE)</f>
        <v>브랜드E</v>
      </c>
    </row>
    <row r="820" spans="1:18" x14ac:dyDescent="0.45">
      <c r="A820" t="s">
        <v>349</v>
      </c>
      <c r="B820" t="s">
        <v>1219</v>
      </c>
      <c r="C820" t="s">
        <v>2531</v>
      </c>
      <c r="D820" t="s">
        <v>2567</v>
      </c>
      <c r="E820">
        <v>2</v>
      </c>
      <c r="F820">
        <v>58600</v>
      </c>
      <c r="G820">
        <v>0</v>
      </c>
      <c r="H820">
        <v>0</v>
      </c>
      <c r="I820" t="s">
        <v>2652</v>
      </c>
      <c r="J820" s="4">
        <f t="shared" si="36"/>
        <v>117200</v>
      </c>
      <c r="K820" s="4" t="str">
        <f t="shared" si="37"/>
        <v>2025-01</v>
      </c>
      <c r="L820" s="4" t="str">
        <f t="shared" si="38"/>
        <v>수</v>
      </c>
      <c r="M820" s="2" t="str">
        <f>VLOOKUP($C820, 고객정보!$A$2:$E$151, 2, FALSE)</f>
        <v>서울</v>
      </c>
      <c r="N820" t="str">
        <f>VLOOKUP(C820,고객정보!$A$2:$D$151,4,FALSE)</f>
        <v>L4</v>
      </c>
      <c r="O820" t="str">
        <f>VLOOKUP($C820, 고객정보!$A$2:$E$151, 5, FALSE)</f>
        <v>40대</v>
      </c>
      <c r="P820" t="str">
        <f>VLOOKUP(D820,상품정보!$A$2:$E$61,2,FALSE)</f>
        <v>귀걸이</v>
      </c>
      <c r="Q820" t="str">
        <f>VLOOKUP(D820,상품정보!$A$2:$D$151,3,FALSE)</f>
        <v>액세서리</v>
      </c>
      <c r="R820" t="str">
        <f>VLOOKUP(D820,상품정보!$A$2:$D$151,4,FALSE)</f>
        <v>브랜드B</v>
      </c>
    </row>
    <row r="821" spans="1:18" x14ac:dyDescent="0.45">
      <c r="A821" t="s">
        <v>184</v>
      </c>
      <c r="B821" t="s">
        <v>1220</v>
      </c>
      <c r="C821" t="s">
        <v>2409</v>
      </c>
      <c r="D821" t="s">
        <v>2577</v>
      </c>
      <c r="E821">
        <v>4</v>
      </c>
      <c r="F821">
        <v>10200</v>
      </c>
      <c r="G821">
        <v>0</v>
      </c>
      <c r="H821">
        <v>0</v>
      </c>
      <c r="I821" t="s">
        <v>2652</v>
      </c>
      <c r="J821" s="4">
        <f t="shared" si="36"/>
        <v>40800</v>
      </c>
      <c r="K821" s="4" t="str">
        <f t="shared" si="37"/>
        <v>2024-02</v>
      </c>
      <c r="L821" s="4" t="str">
        <f t="shared" si="38"/>
        <v>수</v>
      </c>
      <c r="M821" s="2" t="str">
        <f>VLOOKUP($C821, 고객정보!$A$2:$E$151, 2, FALSE)</f>
        <v>서울</v>
      </c>
      <c r="N821" t="str">
        <f>VLOOKUP(C821,고객정보!$A$2:$D$151,4,FALSE)</f>
        <v>L3</v>
      </c>
      <c r="O821" t="str">
        <f>VLOOKUP($C821, 고객정보!$A$2:$E$151, 5, FALSE)</f>
        <v>50대 이상</v>
      </c>
      <c r="P821" t="str">
        <f>VLOOKUP(D821,상품정보!$A$2:$E$61,2,FALSE)</f>
        <v>셔츠</v>
      </c>
      <c r="Q821" t="str">
        <f>VLOOKUP(D821,상품정보!$A$2:$D$151,3,FALSE)</f>
        <v>의류</v>
      </c>
      <c r="R821" t="str">
        <f>VLOOKUP(D821,상품정보!$A$2:$D$151,4,FALSE)</f>
        <v>브랜드C</v>
      </c>
    </row>
    <row r="822" spans="1:18" x14ac:dyDescent="0.45">
      <c r="A822" t="s">
        <v>276</v>
      </c>
      <c r="B822" t="s">
        <v>1221</v>
      </c>
      <c r="C822" t="s">
        <v>2457</v>
      </c>
      <c r="D822" t="s">
        <v>2560</v>
      </c>
      <c r="E822">
        <v>4</v>
      </c>
      <c r="F822">
        <v>60600</v>
      </c>
      <c r="G822">
        <v>1500</v>
      </c>
      <c r="H822">
        <v>7600</v>
      </c>
      <c r="I822" t="s">
        <v>2614</v>
      </c>
      <c r="J822" s="4">
        <f t="shared" si="36"/>
        <v>236300</v>
      </c>
      <c r="K822" s="4" t="str">
        <f t="shared" si="37"/>
        <v>2024-10</v>
      </c>
      <c r="L822" s="4" t="str">
        <f t="shared" si="38"/>
        <v>금</v>
      </c>
      <c r="M822" s="2" t="str">
        <f>VLOOKUP($C822, 고객정보!$A$2:$E$151, 2, FALSE)</f>
        <v>인천</v>
      </c>
      <c r="N822" t="str">
        <f>VLOOKUP(C822,고객정보!$A$2:$D$151,4,FALSE)</f>
        <v>L4</v>
      </c>
      <c r="O822" t="str">
        <f>VLOOKUP($C822, 고객정보!$A$2:$E$151, 5, FALSE)</f>
        <v>50대 이상</v>
      </c>
      <c r="P822" t="str">
        <f>VLOOKUP(D822,상품정보!$A$2:$E$61,2,FALSE)</f>
        <v>반팔 티셔츠</v>
      </c>
      <c r="Q822" t="str">
        <f>VLOOKUP(D822,상품정보!$A$2:$D$151,3,FALSE)</f>
        <v>의류</v>
      </c>
      <c r="R822" t="str">
        <f>VLOOKUP(D822,상품정보!$A$2:$D$151,4,FALSE)</f>
        <v>브랜드F</v>
      </c>
    </row>
    <row r="823" spans="1:18" x14ac:dyDescent="0.45">
      <c r="A823" t="s">
        <v>174</v>
      </c>
      <c r="B823" t="s">
        <v>1222</v>
      </c>
      <c r="C823" t="s">
        <v>2461</v>
      </c>
      <c r="D823" t="s">
        <v>2561</v>
      </c>
      <c r="E823">
        <v>5</v>
      </c>
      <c r="F823">
        <v>63300</v>
      </c>
      <c r="G823">
        <v>1000</v>
      </c>
      <c r="H823">
        <v>0</v>
      </c>
      <c r="I823" t="s">
        <v>2652</v>
      </c>
      <c r="J823" s="4">
        <f t="shared" si="36"/>
        <v>317500</v>
      </c>
      <c r="K823" s="4" t="str">
        <f t="shared" si="37"/>
        <v>2024-12</v>
      </c>
      <c r="L823" s="4" t="str">
        <f t="shared" si="38"/>
        <v>금</v>
      </c>
      <c r="M823" s="2" t="str">
        <f>VLOOKUP($C823, 고객정보!$A$2:$E$151, 2, FALSE)</f>
        <v>부산</v>
      </c>
      <c r="N823" t="str">
        <f>VLOOKUP(C823,고객정보!$A$2:$D$151,4,FALSE)</f>
        <v>L2</v>
      </c>
      <c r="O823" t="str">
        <f>VLOOKUP($C823, 고객정보!$A$2:$E$151, 5, FALSE)</f>
        <v>40대</v>
      </c>
      <c r="P823" t="str">
        <f>VLOOKUP(D823,상품정보!$A$2:$E$61,2,FALSE)</f>
        <v>귀걸이</v>
      </c>
      <c r="Q823" t="str">
        <f>VLOOKUP(D823,상품정보!$A$2:$D$151,3,FALSE)</f>
        <v>액세서리</v>
      </c>
      <c r="R823" t="str">
        <f>VLOOKUP(D823,상품정보!$A$2:$D$151,4,FALSE)</f>
        <v>브랜드B</v>
      </c>
    </row>
    <row r="824" spans="1:18" x14ac:dyDescent="0.45">
      <c r="A824" t="s">
        <v>180</v>
      </c>
      <c r="B824" t="s">
        <v>1223</v>
      </c>
      <c r="C824" t="s">
        <v>2537</v>
      </c>
      <c r="D824" t="s">
        <v>2561</v>
      </c>
      <c r="E824">
        <v>1</v>
      </c>
      <c r="F824">
        <v>63300</v>
      </c>
      <c r="G824">
        <v>1000</v>
      </c>
      <c r="H824">
        <v>0</v>
      </c>
      <c r="I824" t="s">
        <v>2652</v>
      </c>
      <c r="J824" s="4">
        <f t="shared" si="36"/>
        <v>64300</v>
      </c>
      <c r="K824" s="4" t="str">
        <f t="shared" si="37"/>
        <v>2024-07</v>
      </c>
      <c r="L824" s="4" t="str">
        <f t="shared" si="38"/>
        <v>수</v>
      </c>
      <c r="M824" s="2" t="str">
        <f>VLOOKUP($C824, 고객정보!$A$2:$E$151, 2, FALSE)</f>
        <v>광주</v>
      </c>
      <c r="N824" t="str">
        <f>VLOOKUP(C824,고객정보!$A$2:$D$151,4,FALSE)</f>
        <v>L2</v>
      </c>
      <c r="O824" t="str">
        <f>VLOOKUP($C824, 고객정보!$A$2:$E$151, 5, FALSE)</f>
        <v>40대</v>
      </c>
      <c r="P824" t="str">
        <f>VLOOKUP(D824,상품정보!$A$2:$E$61,2,FALSE)</f>
        <v>귀걸이</v>
      </c>
      <c r="Q824" t="str">
        <f>VLOOKUP(D824,상품정보!$A$2:$D$151,3,FALSE)</f>
        <v>액세서리</v>
      </c>
      <c r="R824" t="str">
        <f>VLOOKUP(D824,상품정보!$A$2:$D$151,4,FALSE)</f>
        <v>브랜드B</v>
      </c>
    </row>
    <row r="825" spans="1:18" x14ac:dyDescent="0.45">
      <c r="A825" t="s">
        <v>67</v>
      </c>
      <c r="B825" t="s">
        <v>1224</v>
      </c>
      <c r="C825" t="s">
        <v>2436</v>
      </c>
      <c r="D825" t="s">
        <v>2560</v>
      </c>
      <c r="E825">
        <v>1</v>
      </c>
      <c r="F825">
        <v>60600</v>
      </c>
      <c r="G825">
        <v>0</v>
      </c>
      <c r="H825">
        <v>0</v>
      </c>
      <c r="I825" t="s">
        <v>2652</v>
      </c>
      <c r="J825" s="4">
        <f t="shared" si="36"/>
        <v>60600</v>
      </c>
      <c r="K825" s="4" t="str">
        <f t="shared" si="37"/>
        <v>2024-02</v>
      </c>
      <c r="L825" s="4" t="str">
        <f t="shared" si="38"/>
        <v>일</v>
      </c>
      <c r="M825" s="2" t="str">
        <f>VLOOKUP($C825, 고객정보!$A$2:$E$151, 2, FALSE)</f>
        <v>인천</v>
      </c>
      <c r="N825" t="str">
        <f>VLOOKUP(C825,고객정보!$A$2:$D$151,4,FALSE)</f>
        <v>L4</v>
      </c>
      <c r="O825" t="str">
        <f>VLOOKUP($C825, 고객정보!$A$2:$E$151, 5, FALSE)</f>
        <v>10대</v>
      </c>
      <c r="P825" t="str">
        <f>VLOOKUP(D825,상품정보!$A$2:$E$61,2,FALSE)</f>
        <v>반팔 티셔츠</v>
      </c>
      <c r="Q825" t="str">
        <f>VLOOKUP(D825,상품정보!$A$2:$D$151,3,FALSE)</f>
        <v>의류</v>
      </c>
      <c r="R825" t="str">
        <f>VLOOKUP(D825,상품정보!$A$2:$D$151,4,FALSE)</f>
        <v>브랜드F</v>
      </c>
    </row>
    <row r="826" spans="1:18" x14ac:dyDescent="0.45">
      <c r="A826" t="s">
        <v>73</v>
      </c>
      <c r="B826" t="s">
        <v>1225</v>
      </c>
      <c r="C826" t="s">
        <v>2427</v>
      </c>
      <c r="D826" t="s">
        <v>2567</v>
      </c>
      <c r="E826">
        <v>3</v>
      </c>
      <c r="F826">
        <v>58600</v>
      </c>
      <c r="G826">
        <v>1000</v>
      </c>
      <c r="H826">
        <v>0</v>
      </c>
      <c r="I826" t="s">
        <v>2652</v>
      </c>
      <c r="J826" s="4">
        <f t="shared" si="36"/>
        <v>176800</v>
      </c>
      <c r="K826" s="4" t="str">
        <f t="shared" si="37"/>
        <v>2024-03</v>
      </c>
      <c r="L826" s="4" t="str">
        <f t="shared" si="38"/>
        <v>화</v>
      </c>
      <c r="M826" s="2" t="str">
        <f>VLOOKUP($C826, 고객정보!$A$2:$E$151, 2, FALSE)</f>
        <v>부산</v>
      </c>
      <c r="N826" t="str">
        <f>VLOOKUP(C826,고객정보!$A$2:$D$151,4,FALSE)</f>
        <v>L4</v>
      </c>
      <c r="O826" t="str">
        <f>VLOOKUP($C826, 고객정보!$A$2:$E$151, 5, FALSE)</f>
        <v>20대</v>
      </c>
      <c r="P826" t="str">
        <f>VLOOKUP(D826,상품정보!$A$2:$E$61,2,FALSE)</f>
        <v>귀걸이</v>
      </c>
      <c r="Q826" t="str">
        <f>VLOOKUP(D826,상품정보!$A$2:$D$151,3,FALSE)</f>
        <v>액세서리</v>
      </c>
      <c r="R826" t="str">
        <f>VLOOKUP(D826,상품정보!$A$2:$D$151,4,FALSE)</f>
        <v>브랜드B</v>
      </c>
    </row>
    <row r="827" spans="1:18" x14ac:dyDescent="0.45">
      <c r="A827" t="s">
        <v>350</v>
      </c>
      <c r="B827" t="s">
        <v>1226</v>
      </c>
      <c r="C827" t="s">
        <v>2473</v>
      </c>
      <c r="D827" t="s">
        <v>2563</v>
      </c>
      <c r="E827">
        <v>4</v>
      </c>
      <c r="F827">
        <v>6900</v>
      </c>
      <c r="G827">
        <v>0</v>
      </c>
      <c r="H827">
        <v>1400</v>
      </c>
      <c r="I827" t="s">
        <v>2613</v>
      </c>
      <c r="J827" s="4">
        <f t="shared" si="36"/>
        <v>26200</v>
      </c>
      <c r="K827" s="4" t="str">
        <f t="shared" si="37"/>
        <v>2025-01</v>
      </c>
      <c r="L827" s="4" t="str">
        <f t="shared" si="38"/>
        <v>월</v>
      </c>
      <c r="M827" s="2" t="str">
        <f>VLOOKUP($C827, 고객정보!$A$2:$E$151, 2, FALSE)</f>
        <v>수원</v>
      </c>
      <c r="N827" t="str">
        <f>VLOOKUP(C827,고객정보!$A$2:$D$151,4,FALSE)</f>
        <v>L3</v>
      </c>
      <c r="O827" t="str">
        <f>VLOOKUP($C827, 고객정보!$A$2:$E$151, 5, FALSE)</f>
        <v>50대 이상</v>
      </c>
      <c r="P827" t="str">
        <f>VLOOKUP(D827,상품정보!$A$2:$E$61,2,FALSE)</f>
        <v>귀걸이</v>
      </c>
      <c r="Q827" t="str">
        <f>VLOOKUP(D827,상품정보!$A$2:$D$151,3,FALSE)</f>
        <v>액세서리</v>
      </c>
      <c r="R827" t="str">
        <f>VLOOKUP(D827,상품정보!$A$2:$D$151,4,FALSE)</f>
        <v>브랜드D</v>
      </c>
    </row>
    <row r="828" spans="1:18" x14ac:dyDescent="0.45">
      <c r="A828" t="s">
        <v>307</v>
      </c>
      <c r="B828" t="s">
        <v>1227</v>
      </c>
      <c r="C828" t="s">
        <v>2481</v>
      </c>
      <c r="D828" t="s">
        <v>2577</v>
      </c>
      <c r="E828">
        <v>4</v>
      </c>
      <c r="F828">
        <v>10200</v>
      </c>
      <c r="G828">
        <v>2000</v>
      </c>
      <c r="H828">
        <v>0</v>
      </c>
      <c r="I828" t="s">
        <v>2652</v>
      </c>
      <c r="J828" s="4">
        <f t="shared" si="36"/>
        <v>42800</v>
      </c>
      <c r="K828" s="4" t="str">
        <f t="shared" si="37"/>
        <v>2024-02</v>
      </c>
      <c r="L828" s="4" t="str">
        <f t="shared" si="38"/>
        <v>토</v>
      </c>
      <c r="M828" s="2" t="str">
        <f>VLOOKUP($C828, 고객정보!$A$2:$E$151, 2, FALSE)</f>
        <v>부산</v>
      </c>
      <c r="N828" t="str">
        <f>VLOOKUP(C828,고객정보!$A$2:$D$151,4,FALSE)</f>
        <v>L5</v>
      </c>
      <c r="O828" t="str">
        <f>VLOOKUP($C828, 고객정보!$A$2:$E$151, 5, FALSE)</f>
        <v>20대</v>
      </c>
      <c r="P828" t="str">
        <f>VLOOKUP(D828,상품정보!$A$2:$E$61,2,FALSE)</f>
        <v>셔츠</v>
      </c>
      <c r="Q828" t="str">
        <f>VLOOKUP(D828,상품정보!$A$2:$D$151,3,FALSE)</f>
        <v>의류</v>
      </c>
      <c r="R828" t="str">
        <f>VLOOKUP(D828,상품정보!$A$2:$D$151,4,FALSE)</f>
        <v>브랜드C</v>
      </c>
    </row>
    <row r="829" spans="1:18" x14ac:dyDescent="0.45">
      <c r="A829" t="s">
        <v>235</v>
      </c>
      <c r="B829" t="s">
        <v>1228</v>
      </c>
      <c r="C829" t="s">
        <v>2435</v>
      </c>
      <c r="D829" t="s">
        <v>2591</v>
      </c>
      <c r="E829">
        <v>3</v>
      </c>
      <c r="F829">
        <v>69200</v>
      </c>
      <c r="G829">
        <v>1000</v>
      </c>
      <c r="H829">
        <v>0</v>
      </c>
      <c r="I829" t="s">
        <v>2652</v>
      </c>
      <c r="J829" s="4">
        <f t="shared" si="36"/>
        <v>208600</v>
      </c>
      <c r="K829" s="4" t="str">
        <f t="shared" si="37"/>
        <v>2024-04</v>
      </c>
      <c r="L829" s="4" t="str">
        <f t="shared" si="38"/>
        <v>화</v>
      </c>
      <c r="M829" s="2" t="str">
        <f>VLOOKUP($C829, 고객정보!$A$2:$E$151, 2, FALSE)</f>
        <v>인천</v>
      </c>
      <c r="N829" t="str">
        <f>VLOOKUP(C829,고객정보!$A$2:$D$151,4,FALSE)</f>
        <v>L5</v>
      </c>
      <c r="O829" t="str">
        <f>VLOOKUP($C829, 고객정보!$A$2:$E$151, 5, FALSE)</f>
        <v>30대</v>
      </c>
      <c r="P829" t="str">
        <f>VLOOKUP(D829,상품정보!$A$2:$E$61,2,FALSE)</f>
        <v>셔츠</v>
      </c>
      <c r="Q829" t="str">
        <f>VLOOKUP(D829,상품정보!$A$2:$D$151,3,FALSE)</f>
        <v>의류</v>
      </c>
      <c r="R829" t="str">
        <f>VLOOKUP(D829,상품정보!$A$2:$D$151,4,FALSE)</f>
        <v>브랜드F</v>
      </c>
    </row>
    <row r="830" spans="1:18" x14ac:dyDescent="0.45">
      <c r="A830" t="s">
        <v>187</v>
      </c>
      <c r="B830" t="s">
        <v>1229</v>
      </c>
      <c r="C830" t="s">
        <v>2484</v>
      </c>
      <c r="D830" t="s">
        <v>2574</v>
      </c>
      <c r="E830">
        <v>5</v>
      </c>
      <c r="F830">
        <v>8600</v>
      </c>
      <c r="G830">
        <v>1000</v>
      </c>
      <c r="H830">
        <v>8100</v>
      </c>
      <c r="I830" t="s">
        <v>2611</v>
      </c>
      <c r="J830" s="4">
        <f t="shared" si="36"/>
        <v>35900</v>
      </c>
      <c r="K830" s="4" t="str">
        <f t="shared" si="37"/>
        <v>2024-10</v>
      </c>
      <c r="L830" s="4" t="str">
        <f t="shared" si="38"/>
        <v>토</v>
      </c>
      <c r="M830" s="2" t="str">
        <f>VLOOKUP($C830, 고객정보!$A$2:$E$151, 2, FALSE)</f>
        <v>부산</v>
      </c>
      <c r="N830" t="str">
        <f>VLOOKUP(C830,고객정보!$A$2:$D$151,4,FALSE)</f>
        <v>L5</v>
      </c>
      <c r="O830" t="str">
        <f>VLOOKUP($C830, 고객정보!$A$2:$E$151, 5, FALSE)</f>
        <v>20대</v>
      </c>
      <c r="P830" t="str">
        <f>VLOOKUP(D830,상품정보!$A$2:$E$61,2,FALSE)</f>
        <v>셔츠</v>
      </c>
      <c r="Q830" t="str">
        <f>VLOOKUP(D830,상품정보!$A$2:$D$151,3,FALSE)</f>
        <v>의류</v>
      </c>
      <c r="R830" t="str">
        <f>VLOOKUP(D830,상품정보!$A$2:$D$151,4,FALSE)</f>
        <v>브랜드D</v>
      </c>
    </row>
    <row r="831" spans="1:18" x14ac:dyDescent="0.45">
      <c r="A831" t="s">
        <v>235</v>
      </c>
      <c r="B831" t="s">
        <v>1230</v>
      </c>
      <c r="C831" t="s">
        <v>2465</v>
      </c>
      <c r="D831" t="s">
        <v>2606</v>
      </c>
      <c r="E831">
        <v>5</v>
      </c>
      <c r="F831">
        <v>15000</v>
      </c>
      <c r="G831">
        <v>2000</v>
      </c>
      <c r="H831">
        <v>0</v>
      </c>
      <c r="I831" t="s">
        <v>2652</v>
      </c>
      <c r="J831" s="4">
        <f t="shared" si="36"/>
        <v>77000</v>
      </c>
      <c r="K831" s="4" t="str">
        <f t="shared" si="37"/>
        <v>2024-04</v>
      </c>
      <c r="L831" s="4" t="str">
        <f t="shared" si="38"/>
        <v>화</v>
      </c>
      <c r="M831" s="2" t="str">
        <f>VLOOKUP($C831, 고객정보!$A$2:$E$151, 2, FALSE)</f>
        <v>서울</v>
      </c>
      <c r="N831" t="str">
        <f>VLOOKUP(C831,고객정보!$A$2:$D$151,4,FALSE)</f>
        <v>L1</v>
      </c>
      <c r="O831" t="str">
        <f>VLOOKUP($C831, 고객정보!$A$2:$E$151, 5, FALSE)</f>
        <v>20대</v>
      </c>
      <c r="P831" t="str">
        <f>VLOOKUP(D831,상품정보!$A$2:$E$61,2,FALSE)</f>
        <v>귀걸이</v>
      </c>
      <c r="Q831" t="str">
        <f>VLOOKUP(D831,상품정보!$A$2:$D$151,3,FALSE)</f>
        <v>액세서리</v>
      </c>
      <c r="R831" t="str">
        <f>VLOOKUP(D831,상품정보!$A$2:$D$151,4,FALSE)</f>
        <v>브랜드E</v>
      </c>
    </row>
    <row r="832" spans="1:18" x14ac:dyDescent="0.45">
      <c r="A832" t="s">
        <v>129</v>
      </c>
      <c r="B832" t="s">
        <v>1231</v>
      </c>
      <c r="C832" t="s">
        <v>2457</v>
      </c>
      <c r="D832" t="s">
        <v>2599</v>
      </c>
      <c r="E832">
        <v>4</v>
      </c>
      <c r="F832">
        <v>73800</v>
      </c>
      <c r="G832">
        <v>0</v>
      </c>
      <c r="H832">
        <v>0</v>
      </c>
      <c r="I832" t="s">
        <v>2652</v>
      </c>
      <c r="J832" s="4">
        <f t="shared" si="36"/>
        <v>295200</v>
      </c>
      <c r="K832" s="4" t="str">
        <f t="shared" si="37"/>
        <v>2024-08</v>
      </c>
      <c r="L832" s="4" t="str">
        <f t="shared" si="38"/>
        <v>일</v>
      </c>
      <c r="M832" s="2" t="str">
        <f>VLOOKUP($C832, 고객정보!$A$2:$E$151, 2, FALSE)</f>
        <v>인천</v>
      </c>
      <c r="N832" t="str">
        <f>VLOOKUP(C832,고객정보!$A$2:$D$151,4,FALSE)</f>
        <v>L4</v>
      </c>
      <c r="O832" t="str">
        <f>VLOOKUP($C832, 고객정보!$A$2:$E$151, 5, FALSE)</f>
        <v>50대 이상</v>
      </c>
      <c r="P832" t="str">
        <f>VLOOKUP(D832,상품정보!$A$2:$E$61,2,FALSE)</f>
        <v>핸드폰케이스</v>
      </c>
      <c r="Q832" t="str">
        <f>VLOOKUP(D832,상품정보!$A$2:$D$151,3,FALSE)</f>
        <v>액세서리</v>
      </c>
      <c r="R832" t="str">
        <f>VLOOKUP(D832,상품정보!$A$2:$D$151,4,FALSE)</f>
        <v>브랜드F</v>
      </c>
    </row>
    <row r="833" spans="1:18" x14ac:dyDescent="0.45">
      <c r="A833" t="s">
        <v>103</v>
      </c>
      <c r="B833" t="s">
        <v>1232</v>
      </c>
      <c r="C833" t="s">
        <v>2519</v>
      </c>
      <c r="D833" t="s">
        <v>2573</v>
      </c>
      <c r="E833">
        <v>3</v>
      </c>
      <c r="F833">
        <v>6400</v>
      </c>
      <c r="G833">
        <v>2000</v>
      </c>
      <c r="H833">
        <v>0</v>
      </c>
      <c r="I833" t="s">
        <v>2652</v>
      </c>
      <c r="J833" s="4">
        <f t="shared" si="36"/>
        <v>21200</v>
      </c>
      <c r="K833" s="4" t="str">
        <f t="shared" si="37"/>
        <v>2024-01</v>
      </c>
      <c r="L833" s="4" t="str">
        <f t="shared" si="38"/>
        <v>토</v>
      </c>
      <c r="M833" s="2" t="str">
        <f>VLOOKUP($C833, 고객정보!$A$2:$E$151, 2, FALSE)</f>
        <v>서울</v>
      </c>
      <c r="N833" t="str">
        <f>VLOOKUP(C833,고객정보!$A$2:$D$151,4,FALSE)</f>
        <v>L4</v>
      </c>
      <c r="O833" t="str">
        <f>VLOOKUP($C833, 고객정보!$A$2:$E$151, 5, FALSE)</f>
        <v>20대</v>
      </c>
      <c r="P833" t="str">
        <f>VLOOKUP(D833,상품정보!$A$2:$E$61,2,FALSE)</f>
        <v>귀걸이</v>
      </c>
      <c r="Q833" t="str">
        <f>VLOOKUP(D833,상품정보!$A$2:$D$151,3,FALSE)</f>
        <v>액세서리</v>
      </c>
      <c r="R833" t="str">
        <f>VLOOKUP(D833,상품정보!$A$2:$D$151,4,FALSE)</f>
        <v>브랜드E</v>
      </c>
    </row>
    <row r="834" spans="1:18" x14ac:dyDescent="0.45">
      <c r="A834" t="s">
        <v>141</v>
      </c>
      <c r="B834" t="s">
        <v>1233</v>
      </c>
      <c r="C834" t="s">
        <v>2545</v>
      </c>
      <c r="D834" t="s">
        <v>2591</v>
      </c>
      <c r="E834">
        <v>3</v>
      </c>
      <c r="F834">
        <v>69200</v>
      </c>
      <c r="G834">
        <v>2000</v>
      </c>
      <c r="H834">
        <v>0</v>
      </c>
      <c r="I834" t="s">
        <v>2652</v>
      </c>
      <c r="J834" s="4">
        <f t="shared" si="36"/>
        <v>209600</v>
      </c>
      <c r="K834" s="4" t="str">
        <f t="shared" si="37"/>
        <v>2024-07</v>
      </c>
      <c r="L834" s="4" t="str">
        <f t="shared" si="38"/>
        <v>수</v>
      </c>
      <c r="M834" s="2" t="str">
        <f>VLOOKUP($C834, 고객정보!$A$2:$E$151, 2, FALSE)</f>
        <v>서울</v>
      </c>
      <c r="N834" t="str">
        <f>VLOOKUP(C834,고객정보!$A$2:$D$151,4,FALSE)</f>
        <v>L4</v>
      </c>
      <c r="O834" t="str">
        <f>VLOOKUP($C834, 고객정보!$A$2:$E$151, 5, FALSE)</f>
        <v>30대</v>
      </c>
      <c r="P834" t="str">
        <f>VLOOKUP(D834,상품정보!$A$2:$E$61,2,FALSE)</f>
        <v>셔츠</v>
      </c>
      <c r="Q834" t="str">
        <f>VLOOKUP(D834,상품정보!$A$2:$D$151,3,FALSE)</f>
        <v>의류</v>
      </c>
      <c r="R834" t="str">
        <f>VLOOKUP(D834,상품정보!$A$2:$D$151,4,FALSE)</f>
        <v>브랜드F</v>
      </c>
    </row>
    <row r="835" spans="1:18" x14ac:dyDescent="0.45">
      <c r="A835" t="s">
        <v>202</v>
      </c>
      <c r="B835" t="s">
        <v>1234</v>
      </c>
      <c r="C835" t="s">
        <v>2444</v>
      </c>
      <c r="D835" t="s">
        <v>2580</v>
      </c>
      <c r="E835">
        <v>2</v>
      </c>
      <c r="F835">
        <v>77800</v>
      </c>
      <c r="G835">
        <v>2000</v>
      </c>
      <c r="H835">
        <v>0</v>
      </c>
      <c r="I835" t="s">
        <v>2652</v>
      </c>
      <c r="J835" s="4">
        <f t="shared" ref="J835:J898" si="39">E835*F835+G835-H835</f>
        <v>157600</v>
      </c>
      <c r="K835" s="4" t="str">
        <f t="shared" ref="K835:K898" si="40">LEFT(A835,7)</f>
        <v>2024-06</v>
      </c>
      <c r="L835" s="4" t="str">
        <f t="shared" ref="L835:L898" si="41">TEXT(WEEKDAY(A835),"aaa")</f>
        <v>목</v>
      </c>
      <c r="M835" s="2" t="str">
        <f>VLOOKUP($C835, 고객정보!$A$2:$E$151, 2, FALSE)</f>
        <v>서울</v>
      </c>
      <c r="N835" t="str">
        <f>VLOOKUP(C835,고객정보!$A$2:$D$151,4,FALSE)</f>
        <v>L4</v>
      </c>
      <c r="O835" t="str">
        <f>VLOOKUP($C835, 고객정보!$A$2:$E$151, 5, FALSE)</f>
        <v>40대</v>
      </c>
      <c r="P835" t="str">
        <f>VLOOKUP(D835,상품정보!$A$2:$E$61,2,FALSE)</f>
        <v>청바지</v>
      </c>
      <c r="Q835" t="str">
        <f>VLOOKUP(D835,상품정보!$A$2:$D$151,3,FALSE)</f>
        <v>의류</v>
      </c>
      <c r="R835" t="str">
        <f>VLOOKUP(D835,상품정보!$A$2:$D$151,4,FALSE)</f>
        <v>브랜드A</v>
      </c>
    </row>
    <row r="836" spans="1:18" x14ac:dyDescent="0.45">
      <c r="A836" t="s">
        <v>238</v>
      </c>
      <c r="B836" t="s">
        <v>1235</v>
      </c>
      <c r="C836" t="s">
        <v>2488</v>
      </c>
      <c r="D836" t="s">
        <v>2558</v>
      </c>
      <c r="E836">
        <v>4</v>
      </c>
      <c r="F836">
        <v>63700</v>
      </c>
      <c r="G836">
        <v>1500</v>
      </c>
      <c r="H836">
        <v>0</v>
      </c>
      <c r="I836" t="s">
        <v>2652</v>
      </c>
      <c r="J836" s="4">
        <f t="shared" si="39"/>
        <v>256300</v>
      </c>
      <c r="K836" s="4" t="str">
        <f t="shared" si="40"/>
        <v>2024-04</v>
      </c>
      <c r="L836" s="4" t="str">
        <f t="shared" si="41"/>
        <v>월</v>
      </c>
      <c r="M836" s="2" t="str">
        <f>VLOOKUP($C836, 고객정보!$A$2:$E$151, 2, FALSE)</f>
        <v>서울</v>
      </c>
      <c r="N836" t="str">
        <f>VLOOKUP(C836,고객정보!$A$2:$D$151,4,FALSE)</f>
        <v>L3</v>
      </c>
      <c r="O836" t="str">
        <f>VLOOKUP($C836, 고객정보!$A$2:$E$151, 5, FALSE)</f>
        <v>40대</v>
      </c>
      <c r="P836" t="str">
        <f>VLOOKUP(D836,상품정보!$A$2:$E$61,2,FALSE)</f>
        <v>셔츠</v>
      </c>
      <c r="Q836" t="str">
        <f>VLOOKUP(D836,상품정보!$A$2:$D$151,3,FALSE)</f>
        <v>의류</v>
      </c>
      <c r="R836" t="str">
        <f>VLOOKUP(D836,상품정보!$A$2:$D$151,4,FALSE)</f>
        <v>브랜드A</v>
      </c>
    </row>
    <row r="837" spans="1:18" x14ac:dyDescent="0.45">
      <c r="A837" t="s">
        <v>124</v>
      </c>
      <c r="B837" t="s">
        <v>1236</v>
      </c>
      <c r="C837" t="s">
        <v>2468</v>
      </c>
      <c r="D837" t="s">
        <v>2608</v>
      </c>
      <c r="E837">
        <v>3</v>
      </c>
      <c r="F837">
        <v>10600</v>
      </c>
      <c r="G837">
        <v>0</v>
      </c>
      <c r="H837">
        <v>0</v>
      </c>
      <c r="I837" t="s">
        <v>2652</v>
      </c>
      <c r="J837" s="4">
        <f t="shared" si="39"/>
        <v>31800</v>
      </c>
      <c r="K837" s="4" t="str">
        <f t="shared" si="40"/>
        <v>2024-08</v>
      </c>
      <c r="L837" s="4" t="str">
        <f t="shared" si="41"/>
        <v>토</v>
      </c>
      <c r="M837" s="2" t="str">
        <f>VLOOKUP($C837, 고객정보!$A$2:$E$151, 2, FALSE)</f>
        <v>부산</v>
      </c>
      <c r="N837" t="str">
        <f>VLOOKUP(C837,고객정보!$A$2:$D$151,4,FALSE)</f>
        <v>L5</v>
      </c>
      <c r="O837" t="str">
        <f>VLOOKUP($C837, 고객정보!$A$2:$E$151, 5, FALSE)</f>
        <v>20대</v>
      </c>
      <c r="P837" t="str">
        <f>VLOOKUP(D837,상품정보!$A$2:$E$61,2,FALSE)</f>
        <v>셔츠</v>
      </c>
      <c r="Q837" t="str">
        <f>VLOOKUP(D837,상품정보!$A$2:$D$151,3,FALSE)</f>
        <v>의류</v>
      </c>
      <c r="R837" t="str">
        <f>VLOOKUP(D837,상품정보!$A$2:$D$151,4,FALSE)</f>
        <v>브랜드D</v>
      </c>
    </row>
    <row r="838" spans="1:18" x14ac:dyDescent="0.45">
      <c r="A838" t="s">
        <v>313</v>
      </c>
      <c r="B838" t="s">
        <v>1237</v>
      </c>
      <c r="C838" t="s">
        <v>2454</v>
      </c>
      <c r="D838" t="s">
        <v>2556</v>
      </c>
      <c r="E838">
        <v>4</v>
      </c>
      <c r="F838">
        <v>70100</v>
      </c>
      <c r="G838">
        <v>0</v>
      </c>
      <c r="H838">
        <v>3200</v>
      </c>
      <c r="I838" t="s">
        <v>2611</v>
      </c>
      <c r="J838" s="4">
        <f t="shared" si="39"/>
        <v>277200</v>
      </c>
      <c r="K838" s="4" t="str">
        <f t="shared" si="40"/>
        <v>2024-06</v>
      </c>
      <c r="L838" s="4" t="str">
        <f t="shared" si="41"/>
        <v>수</v>
      </c>
      <c r="M838" s="2" t="str">
        <f>VLOOKUP($C838, 고객정보!$A$2:$E$151, 2, FALSE)</f>
        <v>부산</v>
      </c>
      <c r="N838" t="str">
        <f>VLOOKUP(C838,고객정보!$A$2:$D$151,4,FALSE)</f>
        <v>L3</v>
      </c>
      <c r="O838" t="str">
        <f>VLOOKUP($C838, 고객정보!$A$2:$E$151, 5, FALSE)</f>
        <v>40대</v>
      </c>
      <c r="P838" t="str">
        <f>VLOOKUP(D838,상품정보!$A$2:$E$61,2,FALSE)</f>
        <v>핸드폰케이스</v>
      </c>
      <c r="Q838" t="str">
        <f>VLOOKUP(D838,상품정보!$A$2:$D$151,3,FALSE)</f>
        <v>액세서리</v>
      </c>
      <c r="R838" t="str">
        <f>VLOOKUP(D838,상품정보!$A$2:$D$151,4,FALSE)</f>
        <v>브랜드F</v>
      </c>
    </row>
    <row r="839" spans="1:18" x14ac:dyDescent="0.45">
      <c r="A839" t="s">
        <v>351</v>
      </c>
      <c r="B839" t="s">
        <v>1238</v>
      </c>
      <c r="C839" t="s">
        <v>2416</v>
      </c>
      <c r="D839" t="s">
        <v>2600</v>
      </c>
      <c r="E839">
        <v>1</v>
      </c>
      <c r="F839">
        <v>10900</v>
      </c>
      <c r="G839">
        <v>1500</v>
      </c>
      <c r="H839">
        <v>0</v>
      </c>
      <c r="I839" t="s">
        <v>2652</v>
      </c>
      <c r="J839" s="4">
        <f t="shared" si="39"/>
        <v>12400</v>
      </c>
      <c r="K839" s="4" t="str">
        <f t="shared" si="40"/>
        <v>2024-12</v>
      </c>
      <c r="L839" s="4" t="str">
        <f t="shared" si="41"/>
        <v>일</v>
      </c>
      <c r="M839" s="2" t="str">
        <f>VLOOKUP($C839, 고객정보!$A$2:$E$151, 2, FALSE)</f>
        <v>대구</v>
      </c>
      <c r="N839" t="str">
        <f>VLOOKUP(C839,고객정보!$A$2:$D$151,4,FALSE)</f>
        <v>L3</v>
      </c>
      <c r="O839" t="str">
        <f>VLOOKUP($C839, 고객정보!$A$2:$E$151, 5, FALSE)</f>
        <v>40대</v>
      </c>
      <c r="P839" t="str">
        <f>VLOOKUP(D839,상품정보!$A$2:$E$61,2,FALSE)</f>
        <v>셔츠</v>
      </c>
      <c r="Q839" t="str">
        <f>VLOOKUP(D839,상품정보!$A$2:$D$151,3,FALSE)</f>
        <v>의류</v>
      </c>
      <c r="R839" t="str">
        <f>VLOOKUP(D839,상품정보!$A$2:$D$151,4,FALSE)</f>
        <v>브랜드E</v>
      </c>
    </row>
    <row r="840" spans="1:18" x14ac:dyDescent="0.45">
      <c r="A840" t="s">
        <v>160</v>
      </c>
      <c r="B840" t="s">
        <v>1239</v>
      </c>
      <c r="C840" t="s">
        <v>2504</v>
      </c>
      <c r="D840" t="s">
        <v>2551</v>
      </c>
      <c r="E840">
        <v>3</v>
      </c>
      <c r="F840">
        <v>66600</v>
      </c>
      <c r="G840">
        <v>0</v>
      </c>
      <c r="H840">
        <v>0</v>
      </c>
      <c r="I840" t="s">
        <v>2652</v>
      </c>
      <c r="J840" s="4">
        <f t="shared" si="39"/>
        <v>199800</v>
      </c>
      <c r="K840" s="4" t="str">
        <f t="shared" si="40"/>
        <v>2024-11</v>
      </c>
      <c r="L840" s="4" t="str">
        <f t="shared" si="41"/>
        <v>수</v>
      </c>
      <c r="M840" s="2" t="str">
        <f>VLOOKUP($C840, 고객정보!$A$2:$E$151, 2, FALSE)</f>
        <v>서울</v>
      </c>
      <c r="N840" t="str">
        <f>VLOOKUP(C840,고객정보!$A$2:$D$151,4,FALSE)</f>
        <v>L1</v>
      </c>
      <c r="O840" t="str">
        <f>VLOOKUP($C840, 고객정보!$A$2:$E$151, 5, FALSE)</f>
        <v>40대</v>
      </c>
      <c r="P840" t="str">
        <f>VLOOKUP(D840,상품정보!$A$2:$E$61,2,FALSE)</f>
        <v>반지</v>
      </c>
      <c r="Q840" t="str">
        <f>VLOOKUP(D840,상품정보!$A$2:$D$151,3,FALSE)</f>
        <v>액세서리</v>
      </c>
      <c r="R840" t="str">
        <f>VLOOKUP(D840,상품정보!$A$2:$D$151,4,FALSE)</f>
        <v>브랜드B</v>
      </c>
    </row>
    <row r="841" spans="1:18" x14ac:dyDescent="0.45">
      <c r="A841" t="s">
        <v>255</v>
      </c>
      <c r="B841" t="s">
        <v>1240</v>
      </c>
      <c r="C841" t="s">
        <v>2438</v>
      </c>
      <c r="D841" t="s">
        <v>2579</v>
      </c>
      <c r="E841">
        <v>2</v>
      </c>
      <c r="F841">
        <v>51000</v>
      </c>
      <c r="G841">
        <v>1000</v>
      </c>
      <c r="H841">
        <v>0</v>
      </c>
      <c r="I841" t="s">
        <v>2652</v>
      </c>
      <c r="J841" s="4">
        <f t="shared" si="39"/>
        <v>103000</v>
      </c>
      <c r="K841" s="4" t="str">
        <f t="shared" si="40"/>
        <v>2025-01</v>
      </c>
      <c r="L841" s="4" t="str">
        <f t="shared" si="41"/>
        <v>화</v>
      </c>
      <c r="M841" s="2" t="str">
        <f>VLOOKUP($C841, 고객정보!$A$2:$E$151, 2, FALSE)</f>
        <v>대구</v>
      </c>
      <c r="N841" t="str">
        <f>VLOOKUP(C841,고객정보!$A$2:$D$151,4,FALSE)</f>
        <v>L4</v>
      </c>
      <c r="O841" t="str">
        <f>VLOOKUP($C841, 고객정보!$A$2:$E$151, 5, FALSE)</f>
        <v>30대</v>
      </c>
      <c r="P841" t="str">
        <f>VLOOKUP(D841,상품정보!$A$2:$E$61,2,FALSE)</f>
        <v>핸드폰케이스</v>
      </c>
      <c r="Q841" t="str">
        <f>VLOOKUP(D841,상품정보!$A$2:$D$151,3,FALSE)</f>
        <v>액세서리</v>
      </c>
      <c r="R841" t="str">
        <f>VLOOKUP(D841,상품정보!$A$2:$D$151,4,FALSE)</f>
        <v>브랜드F</v>
      </c>
    </row>
    <row r="842" spans="1:18" x14ac:dyDescent="0.45">
      <c r="A842" t="s">
        <v>335</v>
      </c>
      <c r="B842" t="s">
        <v>1241</v>
      </c>
      <c r="C842" t="s">
        <v>2422</v>
      </c>
      <c r="D842" t="s">
        <v>2578</v>
      </c>
      <c r="E842">
        <v>2</v>
      </c>
      <c r="F842">
        <v>78000</v>
      </c>
      <c r="G842">
        <v>1000</v>
      </c>
      <c r="H842">
        <v>0</v>
      </c>
      <c r="I842" t="s">
        <v>2652</v>
      </c>
      <c r="J842" s="4">
        <f t="shared" si="39"/>
        <v>157000</v>
      </c>
      <c r="K842" s="4" t="str">
        <f t="shared" si="40"/>
        <v>2024-10</v>
      </c>
      <c r="L842" s="4" t="str">
        <f t="shared" si="41"/>
        <v>수</v>
      </c>
      <c r="M842" s="2" t="str">
        <f>VLOOKUP($C842, 고객정보!$A$2:$E$151, 2, FALSE)</f>
        <v>광주</v>
      </c>
      <c r="N842" t="str">
        <f>VLOOKUP(C842,고객정보!$A$2:$D$151,4,FALSE)</f>
        <v>L5</v>
      </c>
      <c r="O842" t="str">
        <f>VLOOKUP($C842, 고객정보!$A$2:$E$151, 5, FALSE)</f>
        <v>30대</v>
      </c>
      <c r="P842" t="str">
        <f>VLOOKUP(D842,상품정보!$A$2:$E$61,2,FALSE)</f>
        <v>귀걸이</v>
      </c>
      <c r="Q842" t="str">
        <f>VLOOKUP(D842,상품정보!$A$2:$D$151,3,FALSE)</f>
        <v>액세서리</v>
      </c>
      <c r="R842" t="str">
        <f>VLOOKUP(D842,상품정보!$A$2:$D$151,4,FALSE)</f>
        <v>브랜드B</v>
      </c>
    </row>
    <row r="843" spans="1:18" x14ac:dyDescent="0.45">
      <c r="A843" t="s">
        <v>133</v>
      </c>
      <c r="B843" t="s">
        <v>1242</v>
      </c>
      <c r="C843" t="s">
        <v>2432</v>
      </c>
      <c r="D843" t="s">
        <v>2558</v>
      </c>
      <c r="E843">
        <v>5</v>
      </c>
      <c r="F843">
        <v>63700</v>
      </c>
      <c r="G843">
        <v>0</v>
      </c>
      <c r="H843">
        <v>0</v>
      </c>
      <c r="I843" t="s">
        <v>2652</v>
      </c>
      <c r="J843" s="4">
        <f t="shared" si="39"/>
        <v>318500</v>
      </c>
      <c r="K843" s="4" t="str">
        <f t="shared" si="40"/>
        <v>2024-08</v>
      </c>
      <c r="L843" s="4" t="str">
        <f t="shared" si="41"/>
        <v>화</v>
      </c>
      <c r="M843" s="2" t="str">
        <f>VLOOKUP($C843, 고객정보!$A$2:$E$151, 2, FALSE)</f>
        <v>서울</v>
      </c>
      <c r="N843" t="str">
        <f>VLOOKUP(C843,고객정보!$A$2:$D$151,4,FALSE)</f>
        <v>L5</v>
      </c>
      <c r="O843" t="str">
        <f>VLOOKUP($C843, 고객정보!$A$2:$E$151, 5, FALSE)</f>
        <v>20대</v>
      </c>
      <c r="P843" t="str">
        <f>VLOOKUP(D843,상품정보!$A$2:$E$61,2,FALSE)</f>
        <v>셔츠</v>
      </c>
      <c r="Q843" t="str">
        <f>VLOOKUP(D843,상품정보!$A$2:$D$151,3,FALSE)</f>
        <v>의류</v>
      </c>
      <c r="R843" t="str">
        <f>VLOOKUP(D843,상품정보!$A$2:$D$151,4,FALSE)</f>
        <v>브랜드A</v>
      </c>
    </row>
    <row r="844" spans="1:18" x14ac:dyDescent="0.45">
      <c r="A844" t="s">
        <v>125</v>
      </c>
      <c r="B844" t="s">
        <v>1243</v>
      </c>
      <c r="C844" t="s">
        <v>2507</v>
      </c>
      <c r="D844" t="s">
        <v>2607</v>
      </c>
      <c r="E844">
        <v>4</v>
      </c>
      <c r="F844">
        <v>16000</v>
      </c>
      <c r="G844">
        <v>0</v>
      </c>
      <c r="H844">
        <v>0</v>
      </c>
      <c r="I844" t="s">
        <v>2652</v>
      </c>
      <c r="J844" s="4">
        <f t="shared" si="39"/>
        <v>64000</v>
      </c>
      <c r="K844" s="4" t="str">
        <f t="shared" si="40"/>
        <v>2024-11</v>
      </c>
      <c r="L844" s="4" t="str">
        <f t="shared" si="41"/>
        <v>월</v>
      </c>
      <c r="M844" s="2" t="str">
        <f>VLOOKUP($C844, 고객정보!$A$2:$E$151, 2, FALSE)</f>
        <v>대전</v>
      </c>
      <c r="N844" t="str">
        <f>VLOOKUP(C844,고객정보!$A$2:$D$151,4,FALSE)</f>
        <v>L2</v>
      </c>
      <c r="O844" t="str">
        <f>VLOOKUP($C844, 고객정보!$A$2:$E$151, 5, FALSE)</f>
        <v>40대</v>
      </c>
      <c r="P844" t="str">
        <f>VLOOKUP(D844,상품정보!$A$2:$E$61,2,FALSE)</f>
        <v>목걸이</v>
      </c>
      <c r="Q844" t="str">
        <f>VLOOKUP(D844,상품정보!$A$2:$D$151,3,FALSE)</f>
        <v>액세서리</v>
      </c>
      <c r="R844" t="str">
        <f>VLOOKUP(D844,상품정보!$A$2:$D$151,4,FALSE)</f>
        <v>브랜드E</v>
      </c>
    </row>
    <row r="845" spans="1:18" x14ac:dyDescent="0.45">
      <c r="A845" t="s">
        <v>34</v>
      </c>
      <c r="B845" t="s">
        <v>1244</v>
      </c>
      <c r="C845" t="s">
        <v>2543</v>
      </c>
      <c r="D845" t="s">
        <v>2604</v>
      </c>
      <c r="E845">
        <v>4</v>
      </c>
      <c r="F845">
        <v>9700</v>
      </c>
      <c r="G845">
        <v>1500</v>
      </c>
      <c r="H845">
        <v>13300</v>
      </c>
      <c r="I845" t="s">
        <v>2613</v>
      </c>
      <c r="J845" s="4">
        <f t="shared" si="39"/>
        <v>27000</v>
      </c>
      <c r="K845" s="4" t="str">
        <f t="shared" si="40"/>
        <v>2024-07</v>
      </c>
      <c r="L845" s="4" t="str">
        <f t="shared" si="41"/>
        <v>일</v>
      </c>
      <c r="M845" s="2" t="str">
        <f>VLOOKUP($C845, 고객정보!$A$2:$E$151, 2, FALSE)</f>
        <v>대구</v>
      </c>
      <c r="N845" t="str">
        <f>VLOOKUP(C845,고객정보!$A$2:$D$151,4,FALSE)</f>
        <v>L2</v>
      </c>
      <c r="O845" t="str">
        <f>VLOOKUP($C845, 고객정보!$A$2:$E$151, 5, FALSE)</f>
        <v>10대</v>
      </c>
      <c r="P845" t="str">
        <f>VLOOKUP(D845,상품정보!$A$2:$E$61,2,FALSE)</f>
        <v>반팔 티셔츠</v>
      </c>
      <c r="Q845" t="str">
        <f>VLOOKUP(D845,상품정보!$A$2:$D$151,3,FALSE)</f>
        <v>의류</v>
      </c>
      <c r="R845" t="str">
        <f>VLOOKUP(D845,상품정보!$A$2:$D$151,4,FALSE)</f>
        <v>브랜드E</v>
      </c>
    </row>
    <row r="846" spans="1:18" x14ac:dyDescent="0.45">
      <c r="A846" t="s">
        <v>312</v>
      </c>
      <c r="B846" t="s">
        <v>1245</v>
      </c>
      <c r="C846" t="s">
        <v>2503</v>
      </c>
      <c r="D846" t="s">
        <v>2574</v>
      </c>
      <c r="E846">
        <v>5</v>
      </c>
      <c r="F846">
        <v>8600</v>
      </c>
      <c r="G846">
        <v>0</v>
      </c>
      <c r="H846">
        <v>0</v>
      </c>
      <c r="I846" t="s">
        <v>2652</v>
      </c>
      <c r="J846" s="4">
        <f t="shared" si="39"/>
        <v>43000</v>
      </c>
      <c r="K846" s="4" t="str">
        <f t="shared" si="40"/>
        <v>2024-04</v>
      </c>
      <c r="L846" s="4" t="str">
        <f t="shared" si="41"/>
        <v>목</v>
      </c>
      <c r="M846" s="2" t="str">
        <f>VLOOKUP($C846, 고객정보!$A$2:$E$151, 2, FALSE)</f>
        <v>대전</v>
      </c>
      <c r="N846" t="str">
        <f>VLOOKUP(C846,고객정보!$A$2:$D$151,4,FALSE)</f>
        <v>L3</v>
      </c>
      <c r="O846" t="str">
        <f>VLOOKUP($C846, 고객정보!$A$2:$E$151, 5, FALSE)</f>
        <v>40대</v>
      </c>
      <c r="P846" t="str">
        <f>VLOOKUP(D846,상품정보!$A$2:$E$61,2,FALSE)</f>
        <v>셔츠</v>
      </c>
      <c r="Q846" t="str">
        <f>VLOOKUP(D846,상품정보!$A$2:$D$151,3,FALSE)</f>
        <v>의류</v>
      </c>
      <c r="R846" t="str">
        <f>VLOOKUP(D846,상품정보!$A$2:$D$151,4,FALSE)</f>
        <v>브랜드D</v>
      </c>
    </row>
    <row r="847" spans="1:18" x14ac:dyDescent="0.45">
      <c r="A847" t="s">
        <v>142</v>
      </c>
      <c r="B847" t="s">
        <v>1246</v>
      </c>
      <c r="C847" t="s">
        <v>2516</v>
      </c>
      <c r="D847" t="s">
        <v>2589</v>
      </c>
      <c r="E847">
        <v>4</v>
      </c>
      <c r="F847">
        <v>71400</v>
      </c>
      <c r="G847">
        <v>500</v>
      </c>
      <c r="H847">
        <v>0</v>
      </c>
      <c r="I847" t="s">
        <v>2652</v>
      </c>
      <c r="J847" s="4">
        <f t="shared" si="39"/>
        <v>286100</v>
      </c>
      <c r="K847" s="4" t="str">
        <f t="shared" si="40"/>
        <v>2024-07</v>
      </c>
      <c r="L847" s="4" t="str">
        <f t="shared" si="41"/>
        <v>목</v>
      </c>
      <c r="M847" s="2" t="str">
        <f>VLOOKUP($C847, 고객정보!$A$2:$E$151, 2, FALSE)</f>
        <v>대전</v>
      </c>
      <c r="N847" t="str">
        <f>VLOOKUP(C847,고객정보!$A$2:$D$151,4,FALSE)</f>
        <v>L3</v>
      </c>
      <c r="O847" t="str">
        <f>VLOOKUP($C847, 고객정보!$A$2:$E$151, 5, FALSE)</f>
        <v>10대</v>
      </c>
      <c r="P847" t="str">
        <f>VLOOKUP(D847,상품정보!$A$2:$E$61,2,FALSE)</f>
        <v>셔츠</v>
      </c>
      <c r="Q847" t="str">
        <f>VLOOKUP(D847,상품정보!$A$2:$D$151,3,FALSE)</f>
        <v>의류</v>
      </c>
      <c r="R847" t="str">
        <f>VLOOKUP(D847,상품정보!$A$2:$D$151,4,FALSE)</f>
        <v>브랜드A</v>
      </c>
    </row>
    <row r="848" spans="1:18" x14ac:dyDescent="0.45">
      <c r="A848" t="s">
        <v>238</v>
      </c>
      <c r="B848" t="s">
        <v>1247</v>
      </c>
      <c r="C848" t="s">
        <v>2408</v>
      </c>
      <c r="D848" t="s">
        <v>2588</v>
      </c>
      <c r="E848">
        <v>2</v>
      </c>
      <c r="F848">
        <v>7700</v>
      </c>
      <c r="G848">
        <v>0</v>
      </c>
      <c r="H848">
        <v>0</v>
      </c>
      <c r="I848" t="s">
        <v>2652</v>
      </c>
      <c r="J848" s="4">
        <f t="shared" si="39"/>
        <v>15400</v>
      </c>
      <c r="K848" s="4" t="str">
        <f t="shared" si="40"/>
        <v>2024-04</v>
      </c>
      <c r="L848" s="4" t="str">
        <f t="shared" si="41"/>
        <v>월</v>
      </c>
      <c r="M848" s="2" t="str">
        <f>VLOOKUP($C848, 고객정보!$A$2:$E$151, 2, FALSE)</f>
        <v>수원</v>
      </c>
      <c r="N848" t="str">
        <f>VLOOKUP(C848,고객정보!$A$2:$D$151,4,FALSE)</f>
        <v>L5</v>
      </c>
      <c r="O848" t="str">
        <f>VLOOKUP($C848, 고객정보!$A$2:$E$151, 5, FALSE)</f>
        <v>20대</v>
      </c>
      <c r="P848" t="str">
        <f>VLOOKUP(D848,상품정보!$A$2:$E$61,2,FALSE)</f>
        <v>귀걸이</v>
      </c>
      <c r="Q848" t="str">
        <f>VLOOKUP(D848,상품정보!$A$2:$D$151,3,FALSE)</f>
        <v>액세서리</v>
      </c>
      <c r="R848" t="str">
        <f>VLOOKUP(D848,상품정보!$A$2:$D$151,4,FALSE)</f>
        <v>브랜드D</v>
      </c>
    </row>
    <row r="849" spans="1:18" x14ac:dyDescent="0.45">
      <c r="A849" t="s">
        <v>110</v>
      </c>
      <c r="B849" t="s">
        <v>1248</v>
      </c>
      <c r="C849" t="s">
        <v>2458</v>
      </c>
      <c r="D849" t="s">
        <v>2557</v>
      </c>
      <c r="E849">
        <v>1</v>
      </c>
      <c r="F849">
        <v>77700</v>
      </c>
      <c r="G849">
        <v>2000</v>
      </c>
      <c r="H849">
        <v>2600</v>
      </c>
      <c r="I849" t="s">
        <v>2612</v>
      </c>
      <c r="J849" s="4">
        <f t="shared" si="39"/>
        <v>77100</v>
      </c>
      <c r="K849" s="4" t="str">
        <f t="shared" si="40"/>
        <v>2024-10</v>
      </c>
      <c r="L849" s="4" t="str">
        <f t="shared" si="41"/>
        <v>화</v>
      </c>
      <c r="M849" s="2" t="str">
        <f>VLOOKUP($C849, 고객정보!$A$2:$E$151, 2, FALSE)</f>
        <v>서울</v>
      </c>
      <c r="N849" t="str">
        <f>VLOOKUP(C849,고객정보!$A$2:$D$151,4,FALSE)</f>
        <v>L1</v>
      </c>
      <c r="O849" t="str">
        <f>VLOOKUP($C849, 고객정보!$A$2:$E$151, 5, FALSE)</f>
        <v>20대</v>
      </c>
      <c r="P849" t="str">
        <f>VLOOKUP(D849,상품정보!$A$2:$E$61,2,FALSE)</f>
        <v>귀걸이</v>
      </c>
      <c r="Q849" t="str">
        <f>VLOOKUP(D849,상품정보!$A$2:$D$151,3,FALSE)</f>
        <v>액세서리</v>
      </c>
      <c r="R849" t="str">
        <f>VLOOKUP(D849,상품정보!$A$2:$D$151,4,FALSE)</f>
        <v>브랜드B</v>
      </c>
    </row>
    <row r="850" spans="1:18" x14ac:dyDescent="0.45">
      <c r="A850" t="s">
        <v>80</v>
      </c>
      <c r="B850" t="s">
        <v>1249</v>
      </c>
      <c r="C850" t="s">
        <v>2523</v>
      </c>
      <c r="D850" t="s">
        <v>2570</v>
      </c>
      <c r="E850">
        <v>5</v>
      </c>
      <c r="F850">
        <v>73900</v>
      </c>
      <c r="G850">
        <v>2000</v>
      </c>
      <c r="H850">
        <v>0</v>
      </c>
      <c r="I850" t="s">
        <v>2652</v>
      </c>
      <c r="J850" s="4">
        <f t="shared" si="39"/>
        <v>371500</v>
      </c>
      <c r="K850" s="4" t="str">
        <f t="shared" si="40"/>
        <v>2024-04</v>
      </c>
      <c r="L850" s="4" t="str">
        <f t="shared" si="41"/>
        <v>금</v>
      </c>
      <c r="M850" s="2" t="str">
        <f>VLOOKUP($C850, 고객정보!$A$2:$E$151, 2, FALSE)</f>
        <v>서울</v>
      </c>
      <c r="N850" t="str">
        <f>VLOOKUP(C850,고객정보!$A$2:$D$151,4,FALSE)</f>
        <v>L3</v>
      </c>
      <c r="O850" t="str">
        <f>VLOOKUP($C850, 고객정보!$A$2:$E$151, 5, FALSE)</f>
        <v>20대</v>
      </c>
      <c r="P850" t="str">
        <f>VLOOKUP(D850,상품정보!$A$2:$E$61,2,FALSE)</f>
        <v>반지</v>
      </c>
      <c r="Q850" t="str">
        <f>VLOOKUP(D850,상품정보!$A$2:$D$151,3,FALSE)</f>
        <v>액세서리</v>
      </c>
      <c r="R850" t="str">
        <f>VLOOKUP(D850,상품정보!$A$2:$D$151,4,FALSE)</f>
        <v>브랜드B</v>
      </c>
    </row>
    <row r="851" spans="1:18" x14ac:dyDescent="0.45">
      <c r="A851" t="s">
        <v>86</v>
      </c>
      <c r="B851" t="s">
        <v>1250</v>
      </c>
      <c r="C851" t="s">
        <v>2419</v>
      </c>
      <c r="D851" t="s">
        <v>2597</v>
      </c>
      <c r="E851">
        <v>2</v>
      </c>
      <c r="F851">
        <v>65300</v>
      </c>
      <c r="G851">
        <v>500</v>
      </c>
      <c r="H851">
        <v>0</v>
      </c>
      <c r="I851" t="s">
        <v>2652</v>
      </c>
      <c r="J851" s="4">
        <f t="shared" si="39"/>
        <v>131100</v>
      </c>
      <c r="K851" s="4" t="str">
        <f t="shared" si="40"/>
        <v>2024-08</v>
      </c>
      <c r="L851" s="4" t="str">
        <f t="shared" si="41"/>
        <v>목</v>
      </c>
      <c r="M851" s="2" t="str">
        <f>VLOOKUP($C851, 고객정보!$A$2:$E$151, 2, FALSE)</f>
        <v>대구</v>
      </c>
      <c r="N851" t="str">
        <f>VLOOKUP(C851,고객정보!$A$2:$D$151,4,FALSE)</f>
        <v>L2</v>
      </c>
      <c r="O851" t="str">
        <f>VLOOKUP($C851, 고객정보!$A$2:$E$151, 5, FALSE)</f>
        <v>20대</v>
      </c>
      <c r="P851" t="str">
        <f>VLOOKUP(D851,상품정보!$A$2:$E$61,2,FALSE)</f>
        <v>반지</v>
      </c>
      <c r="Q851" t="str">
        <f>VLOOKUP(D851,상품정보!$A$2:$D$151,3,FALSE)</f>
        <v>액세서리</v>
      </c>
      <c r="R851" t="str">
        <f>VLOOKUP(D851,상품정보!$A$2:$D$151,4,FALSE)</f>
        <v>브랜드F</v>
      </c>
    </row>
    <row r="852" spans="1:18" x14ac:dyDescent="0.45">
      <c r="A852" t="s">
        <v>341</v>
      </c>
      <c r="B852" t="s">
        <v>1251</v>
      </c>
      <c r="C852" t="s">
        <v>2504</v>
      </c>
      <c r="D852" t="s">
        <v>2605</v>
      </c>
      <c r="E852">
        <v>4</v>
      </c>
      <c r="F852">
        <v>6800</v>
      </c>
      <c r="G852">
        <v>0</v>
      </c>
      <c r="H852">
        <v>0</v>
      </c>
      <c r="I852" t="s">
        <v>2652</v>
      </c>
      <c r="J852" s="4">
        <f t="shared" si="39"/>
        <v>27200</v>
      </c>
      <c r="K852" s="4" t="str">
        <f t="shared" si="40"/>
        <v>2024-09</v>
      </c>
      <c r="L852" s="4" t="str">
        <f t="shared" si="41"/>
        <v>금</v>
      </c>
      <c r="M852" s="2" t="str">
        <f>VLOOKUP($C852, 고객정보!$A$2:$E$151, 2, FALSE)</f>
        <v>서울</v>
      </c>
      <c r="N852" t="str">
        <f>VLOOKUP(C852,고객정보!$A$2:$D$151,4,FALSE)</f>
        <v>L1</v>
      </c>
      <c r="O852" t="str">
        <f>VLOOKUP($C852, 고객정보!$A$2:$E$151, 5, FALSE)</f>
        <v>40대</v>
      </c>
      <c r="P852" t="str">
        <f>VLOOKUP(D852,상품정보!$A$2:$E$61,2,FALSE)</f>
        <v>핸드폰케이스</v>
      </c>
      <c r="Q852" t="str">
        <f>VLOOKUP(D852,상품정보!$A$2:$D$151,3,FALSE)</f>
        <v>액세서리</v>
      </c>
      <c r="R852" t="str">
        <f>VLOOKUP(D852,상품정보!$A$2:$D$151,4,FALSE)</f>
        <v>브랜드D</v>
      </c>
    </row>
    <row r="853" spans="1:18" x14ac:dyDescent="0.45">
      <c r="A853" t="s">
        <v>317</v>
      </c>
      <c r="B853" t="s">
        <v>1252</v>
      </c>
      <c r="C853" t="s">
        <v>2426</v>
      </c>
      <c r="D853" t="s">
        <v>2560</v>
      </c>
      <c r="E853">
        <v>4</v>
      </c>
      <c r="F853">
        <v>60600</v>
      </c>
      <c r="G853">
        <v>1500</v>
      </c>
      <c r="H853">
        <v>21800</v>
      </c>
      <c r="I853" t="s">
        <v>2611</v>
      </c>
      <c r="J853" s="4">
        <f t="shared" si="39"/>
        <v>222100</v>
      </c>
      <c r="K853" s="4" t="str">
        <f t="shared" si="40"/>
        <v>2024-11</v>
      </c>
      <c r="L853" s="4" t="str">
        <f t="shared" si="41"/>
        <v>금</v>
      </c>
      <c r="M853" s="2" t="str">
        <f>VLOOKUP($C853, 고객정보!$A$2:$E$151, 2, FALSE)</f>
        <v>대전</v>
      </c>
      <c r="N853" t="str">
        <f>VLOOKUP(C853,고객정보!$A$2:$D$151,4,FALSE)</f>
        <v>L5</v>
      </c>
      <c r="O853" t="str">
        <f>VLOOKUP($C853, 고객정보!$A$2:$E$151, 5, FALSE)</f>
        <v>30대</v>
      </c>
      <c r="P853" t="str">
        <f>VLOOKUP(D853,상품정보!$A$2:$E$61,2,FALSE)</f>
        <v>반팔 티셔츠</v>
      </c>
      <c r="Q853" t="str">
        <f>VLOOKUP(D853,상품정보!$A$2:$D$151,3,FALSE)</f>
        <v>의류</v>
      </c>
      <c r="R853" t="str">
        <f>VLOOKUP(D853,상품정보!$A$2:$D$151,4,FALSE)</f>
        <v>브랜드F</v>
      </c>
    </row>
    <row r="854" spans="1:18" x14ac:dyDescent="0.45">
      <c r="A854" t="s">
        <v>202</v>
      </c>
      <c r="B854" t="s">
        <v>1253</v>
      </c>
      <c r="C854" t="s">
        <v>2540</v>
      </c>
      <c r="D854" t="s">
        <v>2589</v>
      </c>
      <c r="E854">
        <v>1</v>
      </c>
      <c r="F854">
        <v>71400</v>
      </c>
      <c r="G854">
        <v>1500</v>
      </c>
      <c r="H854">
        <v>0</v>
      </c>
      <c r="I854" t="s">
        <v>2652</v>
      </c>
      <c r="J854" s="4">
        <f t="shared" si="39"/>
        <v>72900</v>
      </c>
      <c r="K854" s="4" t="str">
        <f t="shared" si="40"/>
        <v>2024-06</v>
      </c>
      <c r="L854" s="4" t="str">
        <f t="shared" si="41"/>
        <v>목</v>
      </c>
      <c r="M854" s="2" t="str">
        <f>VLOOKUP($C854, 고객정보!$A$2:$E$151, 2, FALSE)</f>
        <v>서울</v>
      </c>
      <c r="N854" t="str">
        <f>VLOOKUP(C854,고객정보!$A$2:$D$151,4,FALSE)</f>
        <v>L4</v>
      </c>
      <c r="O854" t="str">
        <f>VLOOKUP($C854, 고객정보!$A$2:$E$151, 5, FALSE)</f>
        <v>50대 이상</v>
      </c>
      <c r="P854" t="str">
        <f>VLOOKUP(D854,상품정보!$A$2:$E$61,2,FALSE)</f>
        <v>셔츠</v>
      </c>
      <c r="Q854" t="str">
        <f>VLOOKUP(D854,상품정보!$A$2:$D$151,3,FALSE)</f>
        <v>의류</v>
      </c>
      <c r="R854" t="str">
        <f>VLOOKUP(D854,상품정보!$A$2:$D$151,4,FALSE)</f>
        <v>브랜드A</v>
      </c>
    </row>
    <row r="855" spans="1:18" x14ac:dyDescent="0.45">
      <c r="A855" t="s">
        <v>188</v>
      </c>
      <c r="B855" t="s">
        <v>1254</v>
      </c>
      <c r="C855" t="s">
        <v>2498</v>
      </c>
      <c r="D855" t="s">
        <v>2610</v>
      </c>
      <c r="E855">
        <v>4</v>
      </c>
      <c r="F855">
        <v>18800</v>
      </c>
      <c r="G855">
        <v>1000</v>
      </c>
      <c r="H855">
        <v>2200</v>
      </c>
      <c r="I855" t="s">
        <v>2611</v>
      </c>
      <c r="J855" s="4">
        <f t="shared" si="39"/>
        <v>74000</v>
      </c>
      <c r="K855" s="4" t="str">
        <f t="shared" si="40"/>
        <v>2024-11</v>
      </c>
      <c r="L855" s="4" t="str">
        <f t="shared" si="41"/>
        <v>화</v>
      </c>
      <c r="M855" s="2" t="str">
        <f>VLOOKUP($C855, 고객정보!$A$2:$E$151, 2, FALSE)</f>
        <v>서울</v>
      </c>
      <c r="N855" t="str">
        <f>VLOOKUP(C855,고객정보!$A$2:$D$151,4,FALSE)</f>
        <v>L3</v>
      </c>
      <c r="O855" t="str">
        <f>VLOOKUP($C855, 고객정보!$A$2:$E$151, 5, FALSE)</f>
        <v>30대</v>
      </c>
      <c r="P855" t="str">
        <f>VLOOKUP(D855,상품정보!$A$2:$E$61,2,FALSE)</f>
        <v>자켓</v>
      </c>
      <c r="Q855" t="str">
        <f>VLOOKUP(D855,상품정보!$A$2:$D$151,3,FALSE)</f>
        <v>의류</v>
      </c>
      <c r="R855" t="str">
        <f>VLOOKUP(D855,상품정보!$A$2:$D$151,4,FALSE)</f>
        <v>브랜드E</v>
      </c>
    </row>
    <row r="856" spans="1:18" x14ac:dyDescent="0.45">
      <c r="A856" t="s">
        <v>297</v>
      </c>
      <c r="B856" t="s">
        <v>1255</v>
      </c>
      <c r="C856" t="s">
        <v>2536</v>
      </c>
      <c r="D856" t="s">
        <v>2602</v>
      </c>
      <c r="E856">
        <v>3</v>
      </c>
      <c r="F856">
        <v>59900</v>
      </c>
      <c r="G856">
        <v>0</v>
      </c>
      <c r="H856">
        <v>0</v>
      </c>
      <c r="I856" t="s">
        <v>2652</v>
      </c>
      <c r="J856" s="4">
        <f t="shared" si="39"/>
        <v>179700</v>
      </c>
      <c r="K856" s="4" t="str">
        <f t="shared" si="40"/>
        <v>2024-11</v>
      </c>
      <c r="L856" s="4" t="str">
        <f t="shared" si="41"/>
        <v>일</v>
      </c>
      <c r="M856" s="2" t="str">
        <f>VLOOKUP($C856, 고객정보!$A$2:$E$151, 2, FALSE)</f>
        <v>서울</v>
      </c>
      <c r="N856" t="str">
        <f>VLOOKUP(C856,고객정보!$A$2:$D$151,4,FALSE)</f>
        <v>L5</v>
      </c>
      <c r="O856" t="str">
        <f>VLOOKUP($C856, 고객정보!$A$2:$E$151, 5, FALSE)</f>
        <v>20대</v>
      </c>
      <c r="P856" t="str">
        <f>VLOOKUP(D856,상품정보!$A$2:$E$61,2,FALSE)</f>
        <v>셔츠</v>
      </c>
      <c r="Q856" t="str">
        <f>VLOOKUP(D856,상품정보!$A$2:$D$151,3,FALSE)</f>
        <v>의류</v>
      </c>
      <c r="R856" t="str">
        <f>VLOOKUP(D856,상품정보!$A$2:$D$151,4,FALSE)</f>
        <v>브랜드A</v>
      </c>
    </row>
    <row r="857" spans="1:18" x14ac:dyDescent="0.45">
      <c r="A857" t="s">
        <v>250</v>
      </c>
      <c r="B857" t="s">
        <v>1256</v>
      </c>
      <c r="C857" t="s">
        <v>2444</v>
      </c>
      <c r="D857" t="s">
        <v>2579</v>
      </c>
      <c r="E857">
        <v>2</v>
      </c>
      <c r="F857">
        <v>51000</v>
      </c>
      <c r="G857">
        <v>0</v>
      </c>
      <c r="H857">
        <v>0</v>
      </c>
      <c r="I857" t="s">
        <v>2652</v>
      </c>
      <c r="J857" s="4">
        <f t="shared" si="39"/>
        <v>102000</v>
      </c>
      <c r="K857" s="4" t="str">
        <f t="shared" si="40"/>
        <v>2024-06</v>
      </c>
      <c r="L857" s="4" t="str">
        <f t="shared" si="41"/>
        <v>일</v>
      </c>
      <c r="M857" s="2" t="str">
        <f>VLOOKUP($C857, 고객정보!$A$2:$E$151, 2, FALSE)</f>
        <v>서울</v>
      </c>
      <c r="N857" t="str">
        <f>VLOOKUP(C857,고객정보!$A$2:$D$151,4,FALSE)</f>
        <v>L4</v>
      </c>
      <c r="O857" t="str">
        <f>VLOOKUP($C857, 고객정보!$A$2:$E$151, 5, FALSE)</f>
        <v>40대</v>
      </c>
      <c r="P857" t="str">
        <f>VLOOKUP(D857,상품정보!$A$2:$E$61,2,FALSE)</f>
        <v>핸드폰케이스</v>
      </c>
      <c r="Q857" t="str">
        <f>VLOOKUP(D857,상품정보!$A$2:$D$151,3,FALSE)</f>
        <v>액세서리</v>
      </c>
      <c r="R857" t="str">
        <f>VLOOKUP(D857,상품정보!$A$2:$D$151,4,FALSE)</f>
        <v>브랜드F</v>
      </c>
    </row>
    <row r="858" spans="1:18" x14ac:dyDescent="0.45">
      <c r="A858" t="s">
        <v>108</v>
      </c>
      <c r="B858" t="s">
        <v>1257</v>
      </c>
      <c r="C858" t="s">
        <v>2449</v>
      </c>
      <c r="D858" t="s">
        <v>2585</v>
      </c>
      <c r="E858">
        <v>3</v>
      </c>
      <c r="F858">
        <v>14900</v>
      </c>
      <c r="G858">
        <v>1500</v>
      </c>
      <c r="H858">
        <v>0</v>
      </c>
      <c r="I858" t="s">
        <v>2652</v>
      </c>
      <c r="J858" s="4">
        <f t="shared" si="39"/>
        <v>46200</v>
      </c>
      <c r="K858" s="4" t="str">
        <f t="shared" si="40"/>
        <v>2024-02</v>
      </c>
      <c r="L858" s="4" t="str">
        <f t="shared" si="41"/>
        <v>목</v>
      </c>
      <c r="M858" s="2" t="str">
        <f>VLOOKUP($C858, 고객정보!$A$2:$E$151, 2, FALSE)</f>
        <v>대구</v>
      </c>
      <c r="N858" t="str">
        <f>VLOOKUP(C858,고객정보!$A$2:$D$151,4,FALSE)</f>
        <v>L5</v>
      </c>
      <c r="O858" t="str">
        <f>VLOOKUP($C858, 고객정보!$A$2:$E$151, 5, FALSE)</f>
        <v>40대</v>
      </c>
      <c r="P858" t="str">
        <f>VLOOKUP(D858,상품정보!$A$2:$E$61,2,FALSE)</f>
        <v>반팔 티셔츠</v>
      </c>
      <c r="Q858" t="str">
        <f>VLOOKUP(D858,상품정보!$A$2:$D$151,3,FALSE)</f>
        <v>의류</v>
      </c>
      <c r="R858" t="str">
        <f>VLOOKUP(D858,상품정보!$A$2:$D$151,4,FALSE)</f>
        <v>브랜드C</v>
      </c>
    </row>
    <row r="859" spans="1:18" x14ac:dyDescent="0.45">
      <c r="A859" t="s">
        <v>325</v>
      </c>
      <c r="B859" t="s">
        <v>1258</v>
      </c>
      <c r="C859" t="s">
        <v>2522</v>
      </c>
      <c r="D859" t="s">
        <v>2599</v>
      </c>
      <c r="E859">
        <v>2</v>
      </c>
      <c r="F859">
        <v>73800</v>
      </c>
      <c r="G859">
        <v>500</v>
      </c>
      <c r="H859">
        <v>0</v>
      </c>
      <c r="I859" t="s">
        <v>2652</v>
      </c>
      <c r="J859" s="4">
        <f t="shared" si="39"/>
        <v>148100</v>
      </c>
      <c r="K859" s="4" t="str">
        <f t="shared" si="40"/>
        <v>2024-09</v>
      </c>
      <c r="L859" s="4" t="str">
        <f t="shared" si="41"/>
        <v>수</v>
      </c>
      <c r="M859" s="2" t="str">
        <f>VLOOKUP($C859, 고객정보!$A$2:$E$151, 2, FALSE)</f>
        <v>부산</v>
      </c>
      <c r="N859" t="str">
        <f>VLOOKUP(C859,고객정보!$A$2:$D$151,4,FALSE)</f>
        <v>L4</v>
      </c>
      <c r="O859" t="str">
        <f>VLOOKUP($C859, 고객정보!$A$2:$E$151, 5, FALSE)</f>
        <v>40대</v>
      </c>
      <c r="P859" t="str">
        <f>VLOOKUP(D859,상품정보!$A$2:$E$61,2,FALSE)</f>
        <v>핸드폰케이스</v>
      </c>
      <c r="Q859" t="str">
        <f>VLOOKUP(D859,상품정보!$A$2:$D$151,3,FALSE)</f>
        <v>액세서리</v>
      </c>
      <c r="R859" t="str">
        <f>VLOOKUP(D859,상품정보!$A$2:$D$151,4,FALSE)</f>
        <v>브랜드F</v>
      </c>
    </row>
    <row r="860" spans="1:18" x14ac:dyDescent="0.45">
      <c r="A860" t="s">
        <v>278</v>
      </c>
      <c r="B860" t="s">
        <v>1259</v>
      </c>
      <c r="C860" t="s">
        <v>2549</v>
      </c>
      <c r="D860" t="s">
        <v>2592</v>
      </c>
      <c r="E860">
        <v>5</v>
      </c>
      <c r="F860">
        <v>72700</v>
      </c>
      <c r="G860">
        <v>0</v>
      </c>
      <c r="H860">
        <v>0</v>
      </c>
      <c r="I860" t="s">
        <v>2652</v>
      </c>
      <c r="J860" s="4">
        <f t="shared" si="39"/>
        <v>363500</v>
      </c>
      <c r="K860" s="4" t="str">
        <f t="shared" si="40"/>
        <v>2024-03</v>
      </c>
      <c r="L860" s="4" t="str">
        <f t="shared" si="41"/>
        <v>월</v>
      </c>
      <c r="M860" s="2" t="str">
        <f>VLOOKUP($C860, 고객정보!$A$2:$E$151, 2, FALSE)</f>
        <v>서울</v>
      </c>
      <c r="N860" t="str">
        <f>VLOOKUP(C860,고객정보!$A$2:$D$151,4,FALSE)</f>
        <v>L2</v>
      </c>
      <c r="O860" t="str">
        <f>VLOOKUP($C860, 고객정보!$A$2:$E$151, 5, FALSE)</f>
        <v>40대</v>
      </c>
      <c r="P860" t="str">
        <f>VLOOKUP(D860,상품정보!$A$2:$E$61,2,FALSE)</f>
        <v>귀걸이</v>
      </c>
      <c r="Q860" t="str">
        <f>VLOOKUP(D860,상품정보!$A$2:$D$151,3,FALSE)</f>
        <v>액세서리</v>
      </c>
      <c r="R860" t="str">
        <f>VLOOKUP(D860,상품정보!$A$2:$D$151,4,FALSE)</f>
        <v>브랜드A</v>
      </c>
    </row>
    <row r="861" spans="1:18" x14ac:dyDescent="0.45">
      <c r="A861" t="s">
        <v>80</v>
      </c>
      <c r="B861" t="s">
        <v>1260</v>
      </c>
      <c r="C861" t="s">
        <v>2494</v>
      </c>
      <c r="D861" t="s">
        <v>2559</v>
      </c>
      <c r="E861">
        <v>4</v>
      </c>
      <c r="F861">
        <v>5400</v>
      </c>
      <c r="G861">
        <v>2000</v>
      </c>
      <c r="H861">
        <v>0</v>
      </c>
      <c r="I861" t="s">
        <v>2652</v>
      </c>
      <c r="J861" s="4">
        <f t="shared" si="39"/>
        <v>23600</v>
      </c>
      <c r="K861" s="4" t="str">
        <f t="shared" si="40"/>
        <v>2024-04</v>
      </c>
      <c r="L861" s="4" t="str">
        <f t="shared" si="41"/>
        <v>금</v>
      </c>
      <c r="M861" s="2" t="str">
        <f>VLOOKUP($C861, 고객정보!$A$2:$E$151, 2, FALSE)</f>
        <v>대구</v>
      </c>
      <c r="N861" t="str">
        <f>VLOOKUP(C861,고객정보!$A$2:$D$151,4,FALSE)</f>
        <v>L4</v>
      </c>
      <c r="O861" t="str">
        <f>VLOOKUP($C861, 고객정보!$A$2:$E$151, 5, FALSE)</f>
        <v>40대</v>
      </c>
      <c r="P861" t="str">
        <f>VLOOKUP(D861,상품정보!$A$2:$E$61,2,FALSE)</f>
        <v>반지</v>
      </c>
      <c r="Q861" t="str">
        <f>VLOOKUP(D861,상품정보!$A$2:$D$151,3,FALSE)</f>
        <v>액세서리</v>
      </c>
      <c r="R861" t="str">
        <f>VLOOKUP(D861,상품정보!$A$2:$D$151,4,FALSE)</f>
        <v>브랜드D</v>
      </c>
    </row>
    <row r="862" spans="1:18" x14ac:dyDescent="0.45">
      <c r="A862" t="s">
        <v>224</v>
      </c>
      <c r="B862" t="s">
        <v>1261</v>
      </c>
      <c r="C862" t="s">
        <v>2452</v>
      </c>
      <c r="D862" t="s">
        <v>2601</v>
      </c>
      <c r="E862">
        <v>5</v>
      </c>
      <c r="F862">
        <v>17000</v>
      </c>
      <c r="G862">
        <v>1500</v>
      </c>
      <c r="H862">
        <v>9000</v>
      </c>
      <c r="I862" t="s">
        <v>2613</v>
      </c>
      <c r="J862" s="4">
        <f t="shared" si="39"/>
        <v>77500</v>
      </c>
      <c r="K862" s="4" t="str">
        <f t="shared" si="40"/>
        <v>2024-12</v>
      </c>
      <c r="L862" s="4" t="str">
        <f t="shared" si="41"/>
        <v>토</v>
      </c>
      <c r="M862" s="2" t="str">
        <f>VLOOKUP($C862, 고객정보!$A$2:$E$151, 2, FALSE)</f>
        <v>서울</v>
      </c>
      <c r="N862" t="str">
        <f>VLOOKUP(C862,고객정보!$A$2:$D$151,4,FALSE)</f>
        <v>L3</v>
      </c>
      <c r="O862" t="str">
        <f>VLOOKUP($C862, 고객정보!$A$2:$E$151, 5, FALSE)</f>
        <v>30대</v>
      </c>
      <c r="P862" t="str">
        <f>VLOOKUP(D862,상품정보!$A$2:$E$61,2,FALSE)</f>
        <v>자켓</v>
      </c>
      <c r="Q862" t="str">
        <f>VLOOKUP(D862,상품정보!$A$2:$D$151,3,FALSE)</f>
        <v>의류</v>
      </c>
      <c r="R862" t="str">
        <f>VLOOKUP(D862,상품정보!$A$2:$D$151,4,FALSE)</f>
        <v>브랜드E</v>
      </c>
    </row>
    <row r="863" spans="1:18" x14ac:dyDescent="0.45">
      <c r="A863" t="s">
        <v>161</v>
      </c>
      <c r="B863" t="s">
        <v>1262</v>
      </c>
      <c r="C863" t="s">
        <v>2536</v>
      </c>
      <c r="D863" t="s">
        <v>2562</v>
      </c>
      <c r="E863">
        <v>2</v>
      </c>
      <c r="F863">
        <v>15600</v>
      </c>
      <c r="G863">
        <v>0</v>
      </c>
      <c r="H863">
        <v>0</v>
      </c>
      <c r="I863" t="s">
        <v>2652</v>
      </c>
      <c r="J863" s="4">
        <f t="shared" si="39"/>
        <v>31200</v>
      </c>
      <c r="K863" s="4" t="str">
        <f t="shared" si="40"/>
        <v>2024-09</v>
      </c>
      <c r="L863" s="4" t="str">
        <f t="shared" si="41"/>
        <v>토</v>
      </c>
      <c r="M863" s="2" t="str">
        <f>VLOOKUP($C863, 고객정보!$A$2:$E$151, 2, FALSE)</f>
        <v>서울</v>
      </c>
      <c r="N863" t="str">
        <f>VLOOKUP(C863,고객정보!$A$2:$D$151,4,FALSE)</f>
        <v>L5</v>
      </c>
      <c r="O863" t="str">
        <f>VLOOKUP($C863, 고객정보!$A$2:$E$151, 5, FALSE)</f>
        <v>20대</v>
      </c>
      <c r="P863" t="str">
        <f>VLOOKUP(D863,상품정보!$A$2:$E$61,2,FALSE)</f>
        <v>반팔 티셔츠</v>
      </c>
      <c r="Q863" t="str">
        <f>VLOOKUP(D863,상품정보!$A$2:$D$151,3,FALSE)</f>
        <v>의류</v>
      </c>
      <c r="R863" t="str">
        <f>VLOOKUP(D863,상품정보!$A$2:$D$151,4,FALSE)</f>
        <v>브랜드E</v>
      </c>
    </row>
    <row r="864" spans="1:18" x14ac:dyDescent="0.45">
      <c r="A864" t="s">
        <v>352</v>
      </c>
      <c r="B864" t="s">
        <v>1263</v>
      </c>
      <c r="C864" t="s">
        <v>2547</v>
      </c>
      <c r="D864" t="s">
        <v>2552</v>
      </c>
      <c r="E864">
        <v>2</v>
      </c>
      <c r="F864">
        <v>13300</v>
      </c>
      <c r="G864">
        <v>0</v>
      </c>
      <c r="H864">
        <v>0</v>
      </c>
      <c r="I864" t="s">
        <v>2652</v>
      </c>
      <c r="J864" s="4">
        <f t="shared" si="39"/>
        <v>26600</v>
      </c>
      <c r="K864" s="4" t="str">
        <f t="shared" si="40"/>
        <v>2024-06</v>
      </c>
      <c r="L864" s="4" t="str">
        <f t="shared" si="41"/>
        <v>월</v>
      </c>
      <c r="M864" s="2" t="str">
        <f>VLOOKUP($C864, 고객정보!$A$2:$E$151, 2, FALSE)</f>
        <v>광주</v>
      </c>
      <c r="N864" t="str">
        <f>VLOOKUP(C864,고객정보!$A$2:$D$151,4,FALSE)</f>
        <v>L2</v>
      </c>
      <c r="O864" t="str">
        <f>VLOOKUP($C864, 고객정보!$A$2:$E$151, 5, FALSE)</f>
        <v>20대</v>
      </c>
      <c r="P864" t="str">
        <f>VLOOKUP(D864,상품정보!$A$2:$E$61,2,FALSE)</f>
        <v>셔츠</v>
      </c>
      <c r="Q864" t="str">
        <f>VLOOKUP(D864,상품정보!$A$2:$D$151,3,FALSE)</f>
        <v>의류</v>
      </c>
      <c r="R864" t="str">
        <f>VLOOKUP(D864,상품정보!$A$2:$D$151,4,FALSE)</f>
        <v>브랜드E</v>
      </c>
    </row>
    <row r="865" spans="1:18" x14ac:dyDescent="0.45">
      <c r="A865" t="s">
        <v>18</v>
      </c>
      <c r="B865" t="s">
        <v>1264</v>
      </c>
      <c r="C865" t="s">
        <v>2516</v>
      </c>
      <c r="D865" t="s">
        <v>2598</v>
      </c>
      <c r="E865">
        <v>1</v>
      </c>
      <c r="F865">
        <v>77300</v>
      </c>
      <c r="G865">
        <v>500</v>
      </c>
      <c r="H865">
        <v>0</v>
      </c>
      <c r="I865" t="s">
        <v>2652</v>
      </c>
      <c r="J865" s="4">
        <f t="shared" si="39"/>
        <v>77800</v>
      </c>
      <c r="K865" s="4" t="str">
        <f t="shared" si="40"/>
        <v>2024-07</v>
      </c>
      <c r="L865" s="4" t="str">
        <f t="shared" si="41"/>
        <v>화</v>
      </c>
      <c r="M865" s="2" t="str">
        <f>VLOOKUP($C865, 고객정보!$A$2:$E$151, 2, FALSE)</f>
        <v>대전</v>
      </c>
      <c r="N865" t="str">
        <f>VLOOKUP(C865,고객정보!$A$2:$D$151,4,FALSE)</f>
        <v>L3</v>
      </c>
      <c r="O865" t="str">
        <f>VLOOKUP($C865, 고객정보!$A$2:$E$151, 5, FALSE)</f>
        <v>10대</v>
      </c>
      <c r="P865" t="str">
        <f>VLOOKUP(D865,상품정보!$A$2:$E$61,2,FALSE)</f>
        <v>청바지</v>
      </c>
      <c r="Q865" t="str">
        <f>VLOOKUP(D865,상품정보!$A$2:$D$151,3,FALSE)</f>
        <v>의류</v>
      </c>
      <c r="R865" t="str">
        <f>VLOOKUP(D865,상품정보!$A$2:$D$151,4,FALSE)</f>
        <v>브랜드F</v>
      </c>
    </row>
    <row r="866" spans="1:18" x14ac:dyDescent="0.45">
      <c r="A866" t="s">
        <v>280</v>
      </c>
      <c r="B866" t="s">
        <v>1265</v>
      </c>
      <c r="C866" t="s">
        <v>2435</v>
      </c>
      <c r="D866" t="s">
        <v>2583</v>
      </c>
      <c r="E866">
        <v>2</v>
      </c>
      <c r="F866">
        <v>6600</v>
      </c>
      <c r="G866">
        <v>0</v>
      </c>
      <c r="H866">
        <v>0</v>
      </c>
      <c r="I866" t="s">
        <v>2652</v>
      </c>
      <c r="J866" s="4">
        <f t="shared" si="39"/>
        <v>13200</v>
      </c>
      <c r="K866" s="4" t="str">
        <f t="shared" si="40"/>
        <v>2024-04</v>
      </c>
      <c r="L866" s="4" t="str">
        <f t="shared" si="41"/>
        <v>화</v>
      </c>
      <c r="M866" s="2" t="str">
        <f>VLOOKUP($C866, 고객정보!$A$2:$E$151, 2, FALSE)</f>
        <v>인천</v>
      </c>
      <c r="N866" t="str">
        <f>VLOOKUP(C866,고객정보!$A$2:$D$151,4,FALSE)</f>
        <v>L5</v>
      </c>
      <c r="O866" t="str">
        <f>VLOOKUP($C866, 고객정보!$A$2:$E$151, 5, FALSE)</f>
        <v>30대</v>
      </c>
      <c r="P866" t="str">
        <f>VLOOKUP(D866,상품정보!$A$2:$E$61,2,FALSE)</f>
        <v>셔츠</v>
      </c>
      <c r="Q866" t="str">
        <f>VLOOKUP(D866,상품정보!$A$2:$D$151,3,FALSE)</f>
        <v>의류</v>
      </c>
      <c r="R866" t="str">
        <f>VLOOKUP(D866,상품정보!$A$2:$D$151,4,FALSE)</f>
        <v>브랜드E</v>
      </c>
    </row>
    <row r="867" spans="1:18" x14ac:dyDescent="0.45">
      <c r="A867" t="s">
        <v>323</v>
      </c>
      <c r="B867" t="s">
        <v>1266</v>
      </c>
      <c r="C867" t="s">
        <v>2496</v>
      </c>
      <c r="D867" t="s">
        <v>2562</v>
      </c>
      <c r="E867">
        <v>5</v>
      </c>
      <c r="F867">
        <v>15600</v>
      </c>
      <c r="G867">
        <v>500</v>
      </c>
      <c r="H867">
        <v>0</v>
      </c>
      <c r="I867" t="s">
        <v>2652</v>
      </c>
      <c r="J867" s="4">
        <f t="shared" si="39"/>
        <v>78500</v>
      </c>
      <c r="K867" s="4" t="str">
        <f t="shared" si="40"/>
        <v>2024-11</v>
      </c>
      <c r="L867" s="4" t="str">
        <f t="shared" si="41"/>
        <v>토</v>
      </c>
      <c r="M867" s="2" t="str">
        <f>VLOOKUP($C867, 고객정보!$A$2:$E$151, 2, FALSE)</f>
        <v>서울</v>
      </c>
      <c r="N867" t="str">
        <f>VLOOKUP(C867,고객정보!$A$2:$D$151,4,FALSE)</f>
        <v>L3</v>
      </c>
      <c r="O867" t="str">
        <f>VLOOKUP($C867, 고객정보!$A$2:$E$151, 5, FALSE)</f>
        <v>50대 이상</v>
      </c>
      <c r="P867" t="str">
        <f>VLOOKUP(D867,상품정보!$A$2:$E$61,2,FALSE)</f>
        <v>반팔 티셔츠</v>
      </c>
      <c r="Q867" t="str">
        <f>VLOOKUP(D867,상품정보!$A$2:$D$151,3,FALSE)</f>
        <v>의류</v>
      </c>
      <c r="R867" t="str">
        <f>VLOOKUP(D867,상품정보!$A$2:$D$151,4,FALSE)</f>
        <v>브랜드E</v>
      </c>
    </row>
    <row r="868" spans="1:18" x14ac:dyDescent="0.45">
      <c r="A868" t="s">
        <v>141</v>
      </c>
      <c r="B868" t="s">
        <v>1267</v>
      </c>
      <c r="C868" t="s">
        <v>2534</v>
      </c>
      <c r="D868" t="s">
        <v>2592</v>
      </c>
      <c r="E868">
        <v>4</v>
      </c>
      <c r="F868">
        <v>72700</v>
      </c>
      <c r="G868">
        <v>0</v>
      </c>
      <c r="H868">
        <v>0</v>
      </c>
      <c r="I868" t="s">
        <v>2652</v>
      </c>
      <c r="J868" s="4">
        <f t="shared" si="39"/>
        <v>290800</v>
      </c>
      <c r="K868" s="4" t="str">
        <f t="shared" si="40"/>
        <v>2024-07</v>
      </c>
      <c r="L868" s="4" t="str">
        <f t="shared" si="41"/>
        <v>수</v>
      </c>
      <c r="M868" s="2" t="str">
        <f>VLOOKUP($C868, 고객정보!$A$2:$E$151, 2, FALSE)</f>
        <v>광주</v>
      </c>
      <c r="N868" t="str">
        <f>VLOOKUP(C868,고객정보!$A$2:$D$151,4,FALSE)</f>
        <v>L2</v>
      </c>
      <c r="O868" t="str">
        <f>VLOOKUP($C868, 고객정보!$A$2:$E$151, 5, FALSE)</f>
        <v>10대</v>
      </c>
      <c r="P868" t="str">
        <f>VLOOKUP(D868,상품정보!$A$2:$E$61,2,FALSE)</f>
        <v>귀걸이</v>
      </c>
      <c r="Q868" t="str">
        <f>VLOOKUP(D868,상품정보!$A$2:$D$151,3,FALSE)</f>
        <v>액세서리</v>
      </c>
      <c r="R868" t="str">
        <f>VLOOKUP(D868,상품정보!$A$2:$D$151,4,FALSE)</f>
        <v>브랜드A</v>
      </c>
    </row>
    <row r="869" spans="1:18" x14ac:dyDescent="0.45">
      <c r="A869" t="s">
        <v>148</v>
      </c>
      <c r="B869" t="s">
        <v>1268</v>
      </c>
      <c r="C869" t="s">
        <v>2459</v>
      </c>
      <c r="D869" t="s">
        <v>2583</v>
      </c>
      <c r="E869">
        <v>2</v>
      </c>
      <c r="F869">
        <v>6600</v>
      </c>
      <c r="G869">
        <v>0</v>
      </c>
      <c r="H869">
        <v>0</v>
      </c>
      <c r="I869" t="s">
        <v>2652</v>
      </c>
      <c r="J869" s="4">
        <f t="shared" si="39"/>
        <v>13200</v>
      </c>
      <c r="K869" s="4" t="str">
        <f t="shared" si="40"/>
        <v>2024-02</v>
      </c>
      <c r="L869" s="4" t="str">
        <f t="shared" si="41"/>
        <v>월</v>
      </c>
      <c r="M869" s="2" t="str">
        <f>VLOOKUP($C869, 고객정보!$A$2:$E$151, 2, FALSE)</f>
        <v>광주</v>
      </c>
      <c r="N869" t="str">
        <f>VLOOKUP(C869,고객정보!$A$2:$D$151,4,FALSE)</f>
        <v>L4</v>
      </c>
      <c r="O869" t="str">
        <f>VLOOKUP($C869, 고객정보!$A$2:$E$151, 5, FALSE)</f>
        <v>50대 이상</v>
      </c>
      <c r="P869" t="str">
        <f>VLOOKUP(D869,상품정보!$A$2:$E$61,2,FALSE)</f>
        <v>셔츠</v>
      </c>
      <c r="Q869" t="str">
        <f>VLOOKUP(D869,상품정보!$A$2:$D$151,3,FALSE)</f>
        <v>의류</v>
      </c>
      <c r="R869" t="str">
        <f>VLOOKUP(D869,상품정보!$A$2:$D$151,4,FALSE)</f>
        <v>브랜드E</v>
      </c>
    </row>
    <row r="870" spans="1:18" x14ac:dyDescent="0.45">
      <c r="A870" t="s">
        <v>288</v>
      </c>
      <c r="B870" t="s">
        <v>1269</v>
      </c>
      <c r="C870" t="s">
        <v>2500</v>
      </c>
      <c r="D870" t="s">
        <v>2551</v>
      </c>
      <c r="E870">
        <v>2</v>
      </c>
      <c r="F870">
        <v>66600</v>
      </c>
      <c r="G870">
        <v>1000</v>
      </c>
      <c r="H870">
        <v>1300</v>
      </c>
      <c r="I870" t="s">
        <v>2611</v>
      </c>
      <c r="J870" s="4">
        <f t="shared" si="39"/>
        <v>132900</v>
      </c>
      <c r="K870" s="4" t="str">
        <f t="shared" si="40"/>
        <v>2024-05</v>
      </c>
      <c r="L870" s="4" t="str">
        <f t="shared" si="41"/>
        <v>수</v>
      </c>
      <c r="M870" s="2" t="str">
        <f>VLOOKUP($C870, 고객정보!$A$2:$E$151, 2, FALSE)</f>
        <v>서울</v>
      </c>
      <c r="N870" t="str">
        <f>VLOOKUP(C870,고객정보!$A$2:$D$151,4,FALSE)</f>
        <v>L3</v>
      </c>
      <c r="O870" t="str">
        <f>VLOOKUP($C870, 고객정보!$A$2:$E$151, 5, FALSE)</f>
        <v>20대</v>
      </c>
      <c r="P870" t="str">
        <f>VLOOKUP(D870,상품정보!$A$2:$E$61,2,FALSE)</f>
        <v>반지</v>
      </c>
      <c r="Q870" t="str">
        <f>VLOOKUP(D870,상품정보!$A$2:$D$151,3,FALSE)</f>
        <v>액세서리</v>
      </c>
      <c r="R870" t="str">
        <f>VLOOKUP(D870,상품정보!$A$2:$D$151,4,FALSE)</f>
        <v>브랜드B</v>
      </c>
    </row>
    <row r="871" spans="1:18" x14ac:dyDescent="0.45">
      <c r="A871" t="s">
        <v>36</v>
      </c>
      <c r="B871" t="s">
        <v>1270</v>
      </c>
      <c r="C871" t="s">
        <v>2404</v>
      </c>
      <c r="D871" t="s">
        <v>2565</v>
      </c>
      <c r="E871">
        <v>2</v>
      </c>
      <c r="F871">
        <v>50000</v>
      </c>
      <c r="G871">
        <v>0</v>
      </c>
      <c r="H871">
        <v>3500</v>
      </c>
      <c r="I871" t="s">
        <v>2612</v>
      </c>
      <c r="J871" s="4">
        <f t="shared" si="39"/>
        <v>96500</v>
      </c>
      <c r="K871" s="4" t="str">
        <f t="shared" si="40"/>
        <v>2024-10</v>
      </c>
      <c r="L871" s="4" t="str">
        <f t="shared" si="41"/>
        <v>수</v>
      </c>
      <c r="M871" s="2" t="str">
        <f>VLOOKUP($C871, 고객정보!$A$2:$E$151, 2, FALSE)</f>
        <v>대구</v>
      </c>
      <c r="N871" t="str">
        <f>VLOOKUP(C871,고객정보!$A$2:$D$151,4,FALSE)</f>
        <v>L1</v>
      </c>
      <c r="O871" t="str">
        <f>VLOOKUP($C871, 고객정보!$A$2:$E$151, 5, FALSE)</f>
        <v>30대</v>
      </c>
      <c r="P871" t="str">
        <f>VLOOKUP(D871,상품정보!$A$2:$E$61,2,FALSE)</f>
        <v>핸드폰케이스</v>
      </c>
      <c r="Q871" t="str">
        <f>VLOOKUP(D871,상품정보!$A$2:$D$151,3,FALSE)</f>
        <v>액세서리</v>
      </c>
      <c r="R871" t="str">
        <f>VLOOKUP(D871,상품정보!$A$2:$D$151,4,FALSE)</f>
        <v>브랜드B</v>
      </c>
    </row>
    <row r="872" spans="1:18" x14ac:dyDescent="0.45">
      <c r="A872" t="s">
        <v>84</v>
      </c>
      <c r="B872" t="s">
        <v>1271</v>
      </c>
      <c r="C872" t="s">
        <v>2547</v>
      </c>
      <c r="D872" t="s">
        <v>2566</v>
      </c>
      <c r="E872">
        <v>4</v>
      </c>
      <c r="F872">
        <v>60600</v>
      </c>
      <c r="G872">
        <v>0</v>
      </c>
      <c r="H872">
        <v>0</v>
      </c>
      <c r="I872" t="s">
        <v>2652</v>
      </c>
      <c r="J872" s="4">
        <f t="shared" si="39"/>
        <v>242400</v>
      </c>
      <c r="K872" s="4" t="str">
        <f t="shared" si="40"/>
        <v>2024-10</v>
      </c>
      <c r="L872" s="4" t="str">
        <f t="shared" si="41"/>
        <v>수</v>
      </c>
      <c r="M872" s="2" t="str">
        <f>VLOOKUP($C872, 고객정보!$A$2:$E$151, 2, FALSE)</f>
        <v>광주</v>
      </c>
      <c r="N872" t="str">
        <f>VLOOKUP(C872,고객정보!$A$2:$D$151,4,FALSE)</f>
        <v>L2</v>
      </c>
      <c r="O872" t="str">
        <f>VLOOKUP($C872, 고객정보!$A$2:$E$151, 5, FALSE)</f>
        <v>20대</v>
      </c>
      <c r="P872" t="str">
        <f>VLOOKUP(D872,상품정보!$A$2:$E$61,2,FALSE)</f>
        <v>반팔 티셔츠</v>
      </c>
      <c r="Q872" t="str">
        <f>VLOOKUP(D872,상품정보!$A$2:$D$151,3,FALSE)</f>
        <v>의류</v>
      </c>
      <c r="R872" t="str">
        <f>VLOOKUP(D872,상품정보!$A$2:$D$151,4,FALSE)</f>
        <v>브랜드A</v>
      </c>
    </row>
    <row r="873" spans="1:18" x14ac:dyDescent="0.45">
      <c r="A873" t="s">
        <v>50</v>
      </c>
      <c r="B873" t="s">
        <v>1272</v>
      </c>
      <c r="C873" t="s">
        <v>2534</v>
      </c>
      <c r="D873" t="s">
        <v>2562</v>
      </c>
      <c r="E873">
        <v>5</v>
      </c>
      <c r="F873">
        <v>15600</v>
      </c>
      <c r="G873">
        <v>0</v>
      </c>
      <c r="H873">
        <v>0</v>
      </c>
      <c r="I873" t="s">
        <v>2652</v>
      </c>
      <c r="J873" s="4">
        <f t="shared" si="39"/>
        <v>78000</v>
      </c>
      <c r="K873" s="4" t="str">
        <f t="shared" si="40"/>
        <v>2024-02</v>
      </c>
      <c r="L873" s="4" t="str">
        <f t="shared" si="41"/>
        <v>화</v>
      </c>
      <c r="M873" s="2" t="str">
        <f>VLOOKUP($C873, 고객정보!$A$2:$E$151, 2, FALSE)</f>
        <v>광주</v>
      </c>
      <c r="N873" t="str">
        <f>VLOOKUP(C873,고객정보!$A$2:$D$151,4,FALSE)</f>
        <v>L2</v>
      </c>
      <c r="O873" t="str">
        <f>VLOOKUP($C873, 고객정보!$A$2:$E$151, 5, FALSE)</f>
        <v>10대</v>
      </c>
      <c r="P873" t="str">
        <f>VLOOKUP(D873,상품정보!$A$2:$E$61,2,FALSE)</f>
        <v>반팔 티셔츠</v>
      </c>
      <c r="Q873" t="str">
        <f>VLOOKUP(D873,상품정보!$A$2:$D$151,3,FALSE)</f>
        <v>의류</v>
      </c>
      <c r="R873" t="str">
        <f>VLOOKUP(D873,상품정보!$A$2:$D$151,4,FALSE)</f>
        <v>브랜드E</v>
      </c>
    </row>
    <row r="874" spans="1:18" x14ac:dyDescent="0.45">
      <c r="A874" t="s">
        <v>196</v>
      </c>
      <c r="B874" t="s">
        <v>1273</v>
      </c>
      <c r="C874" t="s">
        <v>2453</v>
      </c>
      <c r="D874" t="s">
        <v>2580</v>
      </c>
      <c r="E874">
        <v>3</v>
      </c>
      <c r="F874">
        <v>77800</v>
      </c>
      <c r="G874">
        <v>0</v>
      </c>
      <c r="H874">
        <v>0</v>
      </c>
      <c r="I874" t="s">
        <v>2652</v>
      </c>
      <c r="J874" s="4">
        <f t="shared" si="39"/>
        <v>233400</v>
      </c>
      <c r="K874" s="4" t="str">
        <f t="shared" si="40"/>
        <v>2024-10</v>
      </c>
      <c r="L874" s="4" t="str">
        <f t="shared" si="41"/>
        <v>토</v>
      </c>
      <c r="M874" s="2" t="str">
        <f>VLOOKUP($C874, 고객정보!$A$2:$E$151, 2, FALSE)</f>
        <v>대구</v>
      </c>
      <c r="N874" t="str">
        <f>VLOOKUP(C874,고객정보!$A$2:$D$151,4,FALSE)</f>
        <v>L5</v>
      </c>
      <c r="O874" t="str">
        <f>VLOOKUP($C874, 고객정보!$A$2:$E$151, 5, FALSE)</f>
        <v>50대 이상</v>
      </c>
      <c r="P874" t="str">
        <f>VLOOKUP(D874,상품정보!$A$2:$E$61,2,FALSE)</f>
        <v>청바지</v>
      </c>
      <c r="Q874" t="str">
        <f>VLOOKUP(D874,상품정보!$A$2:$D$151,3,FALSE)</f>
        <v>의류</v>
      </c>
      <c r="R874" t="str">
        <f>VLOOKUP(D874,상품정보!$A$2:$D$151,4,FALSE)</f>
        <v>브랜드A</v>
      </c>
    </row>
    <row r="875" spans="1:18" x14ac:dyDescent="0.45">
      <c r="A875" t="s">
        <v>223</v>
      </c>
      <c r="B875" t="s">
        <v>1274</v>
      </c>
      <c r="C875" t="s">
        <v>2419</v>
      </c>
      <c r="D875" t="s">
        <v>2561</v>
      </c>
      <c r="E875">
        <v>1</v>
      </c>
      <c r="F875">
        <v>63300</v>
      </c>
      <c r="G875">
        <v>0</v>
      </c>
      <c r="H875">
        <v>0</v>
      </c>
      <c r="I875" t="s">
        <v>2652</v>
      </c>
      <c r="J875" s="4">
        <f t="shared" si="39"/>
        <v>63300</v>
      </c>
      <c r="K875" s="4" t="str">
        <f t="shared" si="40"/>
        <v>2025-01</v>
      </c>
      <c r="L875" s="4" t="str">
        <f t="shared" si="41"/>
        <v>금</v>
      </c>
      <c r="M875" s="2" t="str">
        <f>VLOOKUP($C875, 고객정보!$A$2:$E$151, 2, FALSE)</f>
        <v>대구</v>
      </c>
      <c r="N875" t="str">
        <f>VLOOKUP(C875,고객정보!$A$2:$D$151,4,FALSE)</f>
        <v>L2</v>
      </c>
      <c r="O875" t="str">
        <f>VLOOKUP($C875, 고객정보!$A$2:$E$151, 5, FALSE)</f>
        <v>20대</v>
      </c>
      <c r="P875" t="str">
        <f>VLOOKUP(D875,상품정보!$A$2:$E$61,2,FALSE)</f>
        <v>귀걸이</v>
      </c>
      <c r="Q875" t="str">
        <f>VLOOKUP(D875,상품정보!$A$2:$D$151,3,FALSE)</f>
        <v>액세서리</v>
      </c>
      <c r="R875" t="str">
        <f>VLOOKUP(D875,상품정보!$A$2:$D$151,4,FALSE)</f>
        <v>브랜드B</v>
      </c>
    </row>
    <row r="876" spans="1:18" x14ac:dyDescent="0.45">
      <c r="A876" t="s">
        <v>128</v>
      </c>
      <c r="B876" t="s">
        <v>1275</v>
      </c>
      <c r="C876" t="s">
        <v>2470</v>
      </c>
      <c r="D876" t="s">
        <v>2561</v>
      </c>
      <c r="E876">
        <v>2</v>
      </c>
      <c r="F876">
        <v>63300</v>
      </c>
      <c r="G876">
        <v>0</v>
      </c>
      <c r="H876">
        <v>0</v>
      </c>
      <c r="I876" t="s">
        <v>2652</v>
      </c>
      <c r="J876" s="4">
        <f t="shared" si="39"/>
        <v>126600</v>
      </c>
      <c r="K876" s="4" t="str">
        <f t="shared" si="40"/>
        <v>2024-08</v>
      </c>
      <c r="L876" s="4" t="str">
        <f t="shared" si="41"/>
        <v>월</v>
      </c>
      <c r="M876" s="2" t="str">
        <f>VLOOKUP($C876, 고객정보!$A$2:$E$151, 2, FALSE)</f>
        <v>대전</v>
      </c>
      <c r="N876" t="str">
        <f>VLOOKUP(C876,고객정보!$A$2:$D$151,4,FALSE)</f>
        <v>L5</v>
      </c>
      <c r="O876" t="str">
        <f>VLOOKUP($C876, 고객정보!$A$2:$E$151, 5, FALSE)</f>
        <v>20대</v>
      </c>
      <c r="P876" t="str">
        <f>VLOOKUP(D876,상품정보!$A$2:$E$61,2,FALSE)</f>
        <v>귀걸이</v>
      </c>
      <c r="Q876" t="str">
        <f>VLOOKUP(D876,상품정보!$A$2:$D$151,3,FALSE)</f>
        <v>액세서리</v>
      </c>
      <c r="R876" t="str">
        <f>VLOOKUP(D876,상품정보!$A$2:$D$151,4,FALSE)</f>
        <v>브랜드B</v>
      </c>
    </row>
    <row r="877" spans="1:18" x14ac:dyDescent="0.45">
      <c r="A877" t="s">
        <v>189</v>
      </c>
      <c r="B877" t="s">
        <v>1276</v>
      </c>
      <c r="C877" t="s">
        <v>2523</v>
      </c>
      <c r="D877" t="s">
        <v>2574</v>
      </c>
      <c r="E877">
        <v>2</v>
      </c>
      <c r="F877">
        <v>8600</v>
      </c>
      <c r="G877">
        <v>500</v>
      </c>
      <c r="H877">
        <v>0</v>
      </c>
      <c r="I877" t="s">
        <v>2652</v>
      </c>
      <c r="J877" s="4">
        <f t="shared" si="39"/>
        <v>17700</v>
      </c>
      <c r="K877" s="4" t="str">
        <f t="shared" si="40"/>
        <v>2024-06</v>
      </c>
      <c r="L877" s="4" t="str">
        <f t="shared" si="41"/>
        <v>토</v>
      </c>
      <c r="M877" s="2" t="str">
        <f>VLOOKUP($C877, 고객정보!$A$2:$E$151, 2, FALSE)</f>
        <v>서울</v>
      </c>
      <c r="N877" t="str">
        <f>VLOOKUP(C877,고객정보!$A$2:$D$151,4,FALSE)</f>
        <v>L3</v>
      </c>
      <c r="O877" t="str">
        <f>VLOOKUP($C877, 고객정보!$A$2:$E$151, 5, FALSE)</f>
        <v>20대</v>
      </c>
      <c r="P877" t="str">
        <f>VLOOKUP(D877,상품정보!$A$2:$E$61,2,FALSE)</f>
        <v>셔츠</v>
      </c>
      <c r="Q877" t="str">
        <f>VLOOKUP(D877,상품정보!$A$2:$D$151,3,FALSE)</f>
        <v>의류</v>
      </c>
      <c r="R877" t="str">
        <f>VLOOKUP(D877,상품정보!$A$2:$D$151,4,FALSE)</f>
        <v>브랜드D</v>
      </c>
    </row>
    <row r="878" spans="1:18" x14ac:dyDescent="0.45">
      <c r="A878" t="s">
        <v>202</v>
      </c>
      <c r="B878" t="s">
        <v>1277</v>
      </c>
      <c r="C878" t="s">
        <v>2404</v>
      </c>
      <c r="D878" t="s">
        <v>2556</v>
      </c>
      <c r="E878">
        <v>3</v>
      </c>
      <c r="F878">
        <v>70100</v>
      </c>
      <c r="G878">
        <v>0</v>
      </c>
      <c r="H878">
        <v>2000</v>
      </c>
      <c r="I878" t="s">
        <v>2613</v>
      </c>
      <c r="J878" s="4">
        <f t="shared" si="39"/>
        <v>208300</v>
      </c>
      <c r="K878" s="4" t="str">
        <f t="shared" si="40"/>
        <v>2024-06</v>
      </c>
      <c r="L878" s="4" t="str">
        <f t="shared" si="41"/>
        <v>목</v>
      </c>
      <c r="M878" s="2" t="str">
        <f>VLOOKUP($C878, 고객정보!$A$2:$E$151, 2, FALSE)</f>
        <v>대구</v>
      </c>
      <c r="N878" t="str">
        <f>VLOOKUP(C878,고객정보!$A$2:$D$151,4,FALSE)</f>
        <v>L1</v>
      </c>
      <c r="O878" t="str">
        <f>VLOOKUP($C878, 고객정보!$A$2:$E$151, 5, FALSE)</f>
        <v>30대</v>
      </c>
      <c r="P878" t="str">
        <f>VLOOKUP(D878,상품정보!$A$2:$E$61,2,FALSE)</f>
        <v>핸드폰케이스</v>
      </c>
      <c r="Q878" t="str">
        <f>VLOOKUP(D878,상품정보!$A$2:$D$151,3,FALSE)</f>
        <v>액세서리</v>
      </c>
      <c r="R878" t="str">
        <f>VLOOKUP(D878,상품정보!$A$2:$D$151,4,FALSE)</f>
        <v>브랜드F</v>
      </c>
    </row>
    <row r="879" spans="1:18" x14ac:dyDescent="0.45">
      <c r="A879" t="s">
        <v>330</v>
      </c>
      <c r="B879" t="s">
        <v>1278</v>
      </c>
      <c r="C879" t="s">
        <v>2544</v>
      </c>
      <c r="D879" t="s">
        <v>2556</v>
      </c>
      <c r="E879">
        <v>1</v>
      </c>
      <c r="F879">
        <v>70100</v>
      </c>
      <c r="G879">
        <v>0</v>
      </c>
      <c r="H879">
        <v>0</v>
      </c>
      <c r="I879" t="s">
        <v>2652</v>
      </c>
      <c r="J879" s="4">
        <f t="shared" si="39"/>
        <v>70100</v>
      </c>
      <c r="K879" s="4" t="str">
        <f t="shared" si="40"/>
        <v>2024-05</v>
      </c>
      <c r="L879" s="4" t="str">
        <f t="shared" si="41"/>
        <v>수</v>
      </c>
      <c r="M879" s="2" t="str">
        <f>VLOOKUP($C879, 고객정보!$A$2:$E$151, 2, FALSE)</f>
        <v>서울</v>
      </c>
      <c r="N879" t="str">
        <f>VLOOKUP(C879,고객정보!$A$2:$D$151,4,FALSE)</f>
        <v>L5</v>
      </c>
      <c r="O879" t="str">
        <f>VLOOKUP($C879, 고객정보!$A$2:$E$151, 5, FALSE)</f>
        <v>40대</v>
      </c>
      <c r="P879" t="str">
        <f>VLOOKUP(D879,상품정보!$A$2:$E$61,2,FALSE)</f>
        <v>핸드폰케이스</v>
      </c>
      <c r="Q879" t="str">
        <f>VLOOKUP(D879,상품정보!$A$2:$D$151,3,FALSE)</f>
        <v>액세서리</v>
      </c>
      <c r="R879" t="str">
        <f>VLOOKUP(D879,상품정보!$A$2:$D$151,4,FALSE)</f>
        <v>브랜드F</v>
      </c>
    </row>
    <row r="880" spans="1:18" x14ac:dyDescent="0.45">
      <c r="A880" t="s">
        <v>198</v>
      </c>
      <c r="B880" t="s">
        <v>1279</v>
      </c>
      <c r="C880" t="s">
        <v>2420</v>
      </c>
      <c r="D880" t="s">
        <v>2570</v>
      </c>
      <c r="E880">
        <v>5</v>
      </c>
      <c r="F880">
        <v>73900</v>
      </c>
      <c r="G880">
        <v>0</v>
      </c>
      <c r="H880">
        <v>0</v>
      </c>
      <c r="I880" t="s">
        <v>2652</v>
      </c>
      <c r="J880" s="4">
        <f t="shared" si="39"/>
        <v>369500</v>
      </c>
      <c r="K880" s="4" t="str">
        <f t="shared" si="40"/>
        <v>2024-12</v>
      </c>
      <c r="L880" s="4" t="str">
        <f t="shared" si="41"/>
        <v>수</v>
      </c>
      <c r="M880" s="2" t="str">
        <f>VLOOKUP($C880, 고객정보!$A$2:$E$151, 2, FALSE)</f>
        <v>대전</v>
      </c>
      <c r="N880" t="str">
        <f>VLOOKUP(C880,고객정보!$A$2:$D$151,4,FALSE)</f>
        <v>L3</v>
      </c>
      <c r="O880" t="str">
        <f>VLOOKUP($C880, 고객정보!$A$2:$E$151, 5, FALSE)</f>
        <v>30대</v>
      </c>
      <c r="P880" t="str">
        <f>VLOOKUP(D880,상품정보!$A$2:$E$61,2,FALSE)</f>
        <v>반지</v>
      </c>
      <c r="Q880" t="str">
        <f>VLOOKUP(D880,상품정보!$A$2:$D$151,3,FALSE)</f>
        <v>액세서리</v>
      </c>
      <c r="R880" t="str">
        <f>VLOOKUP(D880,상품정보!$A$2:$D$151,4,FALSE)</f>
        <v>브랜드B</v>
      </c>
    </row>
    <row r="881" spans="1:18" x14ac:dyDescent="0.45">
      <c r="A881" t="s">
        <v>292</v>
      </c>
      <c r="B881" t="s">
        <v>1280</v>
      </c>
      <c r="C881" t="s">
        <v>2542</v>
      </c>
      <c r="D881" t="s">
        <v>2576</v>
      </c>
      <c r="E881">
        <v>5</v>
      </c>
      <c r="F881">
        <v>8800</v>
      </c>
      <c r="G881">
        <v>1500</v>
      </c>
      <c r="H881">
        <v>0</v>
      </c>
      <c r="I881" t="s">
        <v>2652</v>
      </c>
      <c r="J881" s="4">
        <f t="shared" si="39"/>
        <v>45500</v>
      </c>
      <c r="K881" s="4" t="str">
        <f t="shared" si="40"/>
        <v>2024-11</v>
      </c>
      <c r="L881" s="4" t="str">
        <f t="shared" si="41"/>
        <v>화</v>
      </c>
      <c r="M881" s="2" t="str">
        <f>VLOOKUP($C881, 고객정보!$A$2:$E$151, 2, FALSE)</f>
        <v>부산</v>
      </c>
      <c r="N881" t="str">
        <f>VLOOKUP(C881,고객정보!$A$2:$D$151,4,FALSE)</f>
        <v>L1</v>
      </c>
      <c r="O881" t="str">
        <f>VLOOKUP($C881, 고객정보!$A$2:$E$151, 5, FALSE)</f>
        <v>50대 이상</v>
      </c>
      <c r="P881" t="str">
        <f>VLOOKUP(D881,상품정보!$A$2:$E$61,2,FALSE)</f>
        <v>핸드폰케이스</v>
      </c>
      <c r="Q881" t="str">
        <f>VLOOKUP(D881,상품정보!$A$2:$D$151,3,FALSE)</f>
        <v>액세서리</v>
      </c>
      <c r="R881" t="str">
        <f>VLOOKUP(D881,상품정보!$A$2:$D$151,4,FALSE)</f>
        <v>브랜드D</v>
      </c>
    </row>
    <row r="882" spans="1:18" x14ac:dyDescent="0.45">
      <c r="A882" t="s">
        <v>35</v>
      </c>
      <c r="B882" t="s">
        <v>1281</v>
      </c>
      <c r="C882" t="s">
        <v>2501</v>
      </c>
      <c r="D882" t="s">
        <v>2566</v>
      </c>
      <c r="E882">
        <v>5</v>
      </c>
      <c r="F882">
        <v>60600</v>
      </c>
      <c r="G882">
        <v>500</v>
      </c>
      <c r="H882">
        <v>0</v>
      </c>
      <c r="I882" t="s">
        <v>2652</v>
      </c>
      <c r="J882" s="4">
        <f t="shared" si="39"/>
        <v>303500</v>
      </c>
      <c r="K882" s="4" t="str">
        <f t="shared" si="40"/>
        <v>2024-03</v>
      </c>
      <c r="L882" s="4" t="str">
        <f t="shared" si="41"/>
        <v>화</v>
      </c>
      <c r="M882" s="2" t="str">
        <f>VLOOKUP($C882, 고객정보!$A$2:$E$151, 2, FALSE)</f>
        <v>서울</v>
      </c>
      <c r="N882" t="str">
        <f>VLOOKUP(C882,고객정보!$A$2:$D$151,4,FALSE)</f>
        <v>L4</v>
      </c>
      <c r="O882" t="str">
        <f>VLOOKUP($C882, 고객정보!$A$2:$E$151, 5, FALSE)</f>
        <v>50대 이상</v>
      </c>
      <c r="P882" t="str">
        <f>VLOOKUP(D882,상품정보!$A$2:$E$61,2,FALSE)</f>
        <v>반팔 티셔츠</v>
      </c>
      <c r="Q882" t="str">
        <f>VLOOKUP(D882,상품정보!$A$2:$D$151,3,FALSE)</f>
        <v>의류</v>
      </c>
      <c r="R882" t="str">
        <f>VLOOKUP(D882,상품정보!$A$2:$D$151,4,FALSE)</f>
        <v>브랜드A</v>
      </c>
    </row>
    <row r="883" spans="1:18" x14ac:dyDescent="0.45">
      <c r="A883" t="s">
        <v>353</v>
      </c>
      <c r="B883" t="s">
        <v>1282</v>
      </c>
      <c r="C883" t="s">
        <v>2548</v>
      </c>
      <c r="D883" t="s">
        <v>2602</v>
      </c>
      <c r="E883">
        <v>2</v>
      </c>
      <c r="F883">
        <v>59900</v>
      </c>
      <c r="G883">
        <v>0</v>
      </c>
      <c r="H883">
        <v>0</v>
      </c>
      <c r="I883" t="s">
        <v>2652</v>
      </c>
      <c r="J883" s="4">
        <f t="shared" si="39"/>
        <v>119800</v>
      </c>
      <c r="K883" s="4" t="str">
        <f t="shared" si="40"/>
        <v>2024-01</v>
      </c>
      <c r="L883" s="4" t="str">
        <f t="shared" si="41"/>
        <v>수</v>
      </c>
      <c r="M883" s="2" t="str">
        <f>VLOOKUP($C883, 고객정보!$A$2:$E$151, 2, FALSE)</f>
        <v>수원</v>
      </c>
      <c r="N883" t="str">
        <f>VLOOKUP(C883,고객정보!$A$2:$D$151,4,FALSE)</f>
        <v>L2</v>
      </c>
      <c r="O883" t="str">
        <f>VLOOKUP($C883, 고객정보!$A$2:$E$151, 5, FALSE)</f>
        <v>50대 이상</v>
      </c>
      <c r="P883" t="str">
        <f>VLOOKUP(D883,상품정보!$A$2:$E$61,2,FALSE)</f>
        <v>셔츠</v>
      </c>
      <c r="Q883" t="str">
        <f>VLOOKUP(D883,상품정보!$A$2:$D$151,3,FALSE)</f>
        <v>의류</v>
      </c>
      <c r="R883" t="str">
        <f>VLOOKUP(D883,상품정보!$A$2:$D$151,4,FALSE)</f>
        <v>브랜드A</v>
      </c>
    </row>
    <row r="884" spans="1:18" x14ac:dyDescent="0.45">
      <c r="A884" t="s">
        <v>310</v>
      </c>
      <c r="B884" t="s">
        <v>1283</v>
      </c>
      <c r="C884" t="s">
        <v>2489</v>
      </c>
      <c r="D884" t="s">
        <v>2603</v>
      </c>
      <c r="E884">
        <v>5</v>
      </c>
      <c r="F884">
        <v>8200</v>
      </c>
      <c r="G884">
        <v>0</v>
      </c>
      <c r="H884">
        <v>0</v>
      </c>
      <c r="I884" t="s">
        <v>2652</v>
      </c>
      <c r="J884" s="4">
        <f t="shared" si="39"/>
        <v>41000</v>
      </c>
      <c r="K884" s="4" t="str">
        <f t="shared" si="40"/>
        <v>2024-05</v>
      </c>
      <c r="L884" s="4" t="str">
        <f t="shared" si="41"/>
        <v>목</v>
      </c>
      <c r="M884" s="2" t="str">
        <f>VLOOKUP($C884, 고객정보!$A$2:$E$151, 2, FALSE)</f>
        <v>서울</v>
      </c>
      <c r="N884" t="str">
        <f>VLOOKUP(C884,고객정보!$A$2:$D$151,4,FALSE)</f>
        <v>L3</v>
      </c>
      <c r="O884" t="str">
        <f>VLOOKUP($C884, 고객정보!$A$2:$E$151, 5, FALSE)</f>
        <v>10대</v>
      </c>
      <c r="P884" t="str">
        <f>VLOOKUP(D884,상품정보!$A$2:$E$61,2,FALSE)</f>
        <v>목걸이</v>
      </c>
      <c r="Q884" t="str">
        <f>VLOOKUP(D884,상품정보!$A$2:$D$151,3,FALSE)</f>
        <v>액세서리</v>
      </c>
      <c r="R884" t="str">
        <f>VLOOKUP(D884,상품정보!$A$2:$D$151,4,FALSE)</f>
        <v>브랜드E</v>
      </c>
    </row>
    <row r="885" spans="1:18" x14ac:dyDescent="0.45">
      <c r="A885" t="s">
        <v>22</v>
      </c>
      <c r="B885" t="s">
        <v>1284</v>
      </c>
      <c r="C885" t="s">
        <v>2436</v>
      </c>
      <c r="D885" t="s">
        <v>2566</v>
      </c>
      <c r="E885">
        <v>3</v>
      </c>
      <c r="F885">
        <v>60600</v>
      </c>
      <c r="G885">
        <v>0</v>
      </c>
      <c r="H885">
        <v>0</v>
      </c>
      <c r="I885" t="s">
        <v>2652</v>
      </c>
      <c r="J885" s="4">
        <f t="shared" si="39"/>
        <v>181800</v>
      </c>
      <c r="K885" s="4" t="str">
        <f t="shared" si="40"/>
        <v>2024-12</v>
      </c>
      <c r="L885" s="4" t="str">
        <f t="shared" si="41"/>
        <v>목</v>
      </c>
      <c r="M885" s="2" t="str">
        <f>VLOOKUP($C885, 고객정보!$A$2:$E$151, 2, FALSE)</f>
        <v>인천</v>
      </c>
      <c r="N885" t="str">
        <f>VLOOKUP(C885,고객정보!$A$2:$D$151,4,FALSE)</f>
        <v>L4</v>
      </c>
      <c r="O885" t="str">
        <f>VLOOKUP($C885, 고객정보!$A$2:$E$151, 5, FALSE)</f>
        <v>10대</v>
      </c>
      <c r="P885" t="str">
        <f>VLOOKUP(D885,상품정보!$A$2:$E$61,2,FALSE)</f>
        <v>반팔 티셔츠</v>
      </c>
      <c r="Q885" t="str">
        <f>VLOOKUP(D885,상품정보!$A$2:$D$151,3,FALSE)</f>
        <v>의류</v>
      </c>
      <c r="R885" t="str">
        <f>VLOOKUP(D885,상품정보!$A$2:$D$151,4,FALSE)</f>
        <v>브랜드A</v>
      </c>
    </row>
    <row r="886" spans="1:18" x14ac:dyDescent="0.45">
      <c r="A886" t="s">
        <v>197</v>
      </c>
      <c r="B886" t="s">
        <v>1285</v>
      </c>
      <c r="C886" t="s">
        <v>2417</v>
      </c>
      <c r="D886" t="s">
        <v>2595</v>
      </c>
      <c r="E886">
        <v>5</v>
      </c>
      <c r="F886">
        <v>12700</v>
      </c>
      <c r="G886">
        <v>1500</v>
      </c>
      <c r="H886">
        <v>7100</v>
      </c>
      <c r="I886" t="s">
        <v>2612</v>
      </c>
      <c r="J886" s="4">
        <f t="shared" si="39"/>
        <v>57900</v>
      </c>
      <c r="K886" s="4" t="str">
        <f t="shared" si="40"/>
        <v>2024-05</v>
      </c>
      <c r="L886" s="4" t="str">
        <f t="shared" si="41"/>
        <v>목</v>
      </c>
      <c r="M886" s="2" t="str">
        <f>VLOOKUP($C886, 고객정보!$A$2:$E$151, 2, FALSE)</f>
        <v>인천</v>
      </c>
      <c r="N886" t="str">
        <f>VLOOKUP(C886,고객정보!$A$2:$D$151,4,FALSE)</f>
        <v>L1</v>
      </c>
      <c r="O886" t="str">
        <f>VLOOKUP($C886, 고객정보!$A$2:$E$151, 5, FALSE)</f>
        <v>30대</v>
      </c>
      <c r="P886" t="str">
        <f>VLOOKUP(D886,상품정보!$A$2:$E$61,2,FALSE)</f>
        <v>반지</v>
      </c>
      <c r="Q886" t="str">
        <f>VLOOKUP(D886,상품정보!$A$2:$D$151,3,FALSE)</f>
        <v>액세서리</v>
      </c>
      <c r="R886" t="str">
        <f>VLOOKUP(D886,상품정보!$A$2:$D$151,4,FALSE)</f>
        <v>브랜드C</v>
      </c>
    </row>
    <row r="887" spans="1:18" x14ac:dyDescent="0.45">
      <c r="A887" t="s">
        <v>303</v>
      </c>
      <c r="B887" t="s">
        <v>1286</v>
      </c>
      <c r="C887" t="s">
        <v>2493</v>
      </c>
      <c r="D887" t="s">
        <v>2590</v>
      </c>
      <c r="E887">
        <v>1</v>
      </c>
      <c r="F887">
        <v>68900</v>
      </c>
      <c r="G887">
        <v>0</v>
      </c>
      <c r="H887">
        <v>0</v>
      </c>
      <c r="I887" t="s">
        <v>2652</v>
      </c>
      <c r="J887" s="4">
        <f t="shared" si="39"/>
        <v>68900</v>
      </c>
      <c r="K887" s="4" t="str">
        <f t="shared" si="40"/>
        <v>2024-03</v>
      </c>
      <c r="L887" s="4" t="str">
        <f t="shared" si="41"/>
        <v>일</v>
      </c>
      <c r="M887" s="2" t="str">
        <f>VLOOKUP($C887, 고객정보!$A$2:$E$151, 2, FALSE)</f>
        <v>서울</v>
      </c>
      <c r="N887" t="str">
        <f>VLOOKUP(C887,고객정보!$A$2:$D$151,4,FALSE)</f>
        <v>L1</v>
      </c>
      <c r="O887" t="str">
        <f>VLOOKUP($C887, 고객정보!$A$2:$E$151, 5, FALSE)</f>
        <v>20대</v>
      </c>
      <c r="P887" t="str">
        <f>VLOOKUP(D887,상품정보!$A$2:$E$61,2,FALSE)</f>
        <v>반팔 티셔츠</v>
      </c>
      <c r="Q887" t="str">
        <f>VLOOKUP(D887,상품정보!$A$2:$D$151,3,FALSE)</f>
        <v>의류</v>
      </c>
      <c r="R887" t="str">
        <f>VLOOKUP(D887,상품정보!$A$2:$D$151,4,FALSE)</f>
        <v>브랜드A</v>
      </c>
    </row>
    <row r="888" spans="1:18" x14ac:dyDescent="0.45">
      <c r="A888" t="s">
        <v>92</v>
      </c>
      <c r="B888" t="s">
        <v>1287</v>
      </c>
      <c r="C888" t="s">
        <v>2524</v>
      </c>
      <c r="D888" t="s">
        <v>2582</v>
      </c>
      <c r="E888">
        <v>1</v>
      </c>
      <c r="F888">
        <v>12500</v>
      </c>
      <c r="G888">
        <v>0</v>
      </c>
      <c r="H888">
        <v>0</v>
      </c>
      <c r="I888" t="s">
        <v>2652</v>
      </c>
      <c r="J888" s="4">
        <f t="shared" si="39"/>
        <v>12500</v>
      </c>
      <c r="K888" s="4" t="str">
        <f t="shared" si="40"/>
        <v>2024-05</v>
      </c>
      <c r="L888" s="4" t="str">
        <f t="shared" si="41"/>
        <v>화</v>
      </c>
      <c r="M888" s="2" t="str">
        <f>VLOOKUP($C888, 고객정보!$A$2:$E$151, 2, FALSE)</f>
        <v>서울</v>
      </c>
      <c r="N888" t="str">
        <f>VLOOKUP(C888,고객정보!$A$2:$D$151,4,FALSE)</f>
        <v>L5</v>
      </c>
      <c r="O888" t="str">
        <f>VLOOKUP($C888, 고객정보!$A$2:$E$151, 5, FALSE)</f>
        <v>10대</v>
      </c>
      <c r="P888" t="str">
        <f>VLOOKUP(D888,상품정보!$A$2:$E$61,2,FALSE)</f>
        <v>셔츠</v>
      </c>
      <c r="Q888" t="str">
        <f>VLOOKUP(D888,상품정보!$A$2:$D$151,3,FALSE)</f>
        <v>의류</v>
      </c>
      <c r="R888" t="str">
        <f>VLOOKUP(D888,상품정보!$A$2:$D$151,4,FALSE)</f>
        <v>브랜드D</v>
      </c>
    </row>
    <row r="889" spans="1:18" x14ac:dyDescent="0.45">
      <c r="A889" t="s">
        <v>300</v>
      </c>
      <c r="B889" t="s">
        <v>1288</v>
      </c>
      <c r="C889" t="s">
        <v>2475</v>
      </c>
      <c r="D889" t="s">
        <v>2606</v>
      </c>
      <c r="E889">
        <v>2</v>
      </c>
      <c r="F889">
        <v>15000</v>
      </c>
      <c r="G889">
        <v>0</v>
      </c>
      <c r="H889">
        <v>0</v>
      </c>
      <c r="I889" t="s">
        <v>2652</v>
      </c>
      <c r="J889" s="4">
        <f t="shared" si="39"/>
        <v>30000</v>
      </c>
      <c r="K889" s="4" t="str">
        <f t="shared" si="40"/>
        <v>2024-05</v>
      </c>
      <c r="L889" s="4" t="str">
        <f t="shared" si="41"/>
        <v>화</v>
      </c>
      <c r="M889" s="2" t="str">
        <f>VLOOKUP($C889, 고객정보!$A$2:$E$151, 2, FALSE)</f>
        <v>서울</v>
      </c>
      <c r="N889" t="str">
        <f>VLOOKUP(C889,고객정보!$A$2:$D$151,4,FALSE)</f>
        <v>L2</v>
      </c>
      <c r="O889" t="str">
        <f>VLOOKUP($C889, 고객정보!$A$2:$E$151, 5, FALSE)</f>
        <v>10대</v>
      </c>
      <c r="P889" t="str">
        <f>VLOOKUP(D889,상품정보!$A$2:$E$61,2,FALSE)</f>
        <v>귀걸이</v>
      </c>
      <c r="Q889" t="str">
        <f>VLOOKUP(D889,상품정보!$A$2:$D$151,3,FALSE)</f>
        <v>액세서리</v>
      </c>
      <c r="R889" t="str">
        <f>VLOOKUP(D889,상품정보!$A$2:$D$151,4,FALSE)</f>
        <v>브랜드E</v>
      </c>
    </row>
    <row r="890" spans="1:18" x14ac:dyDescent="0.45">
      <c r="A890" t="s">
        <v>354</v>
      </c>
      <c r="B890" t="s">
        <v>1289</v>
      </c>
      <c r="C890" t="s">
        <v>2535</v>
      </c>
      <c r="D890" t="s">
        <v>2588</v>
      </c>
      <c r="E890">
        <v>3</v>
      </c>
      <c r="F890">
        <v>7700</v>
      </c>
      <c r="G890">
        <v>500</v>
      </c>
      <c r="H890">
        <v>0</v>
      </c>
      <c r="I890" t="s">
        <v>2652</v>
      </c>
      <c r="J890" s="4">
        <f t="shared" si="39"/>
        <v>23600</v>
      </c>
      <c r="K890" s="4" t="str">
        <f t="shared" si="40"/>
        <v>2024-05</v>
      </c>
      <c r="L890" s="4" t="str">
        <f t="shared" si="41"/>
        <v>월</v>
      </c>
      <c r="M890" s="2" t="str">
        <f>VLOOKUP($C890, 고객정보!$A$2:$E$151, 2, FALSE)</f>
        <v>서울</v>
      </c>
      <c r="N890" t="str">
        <f>VLOOKUP(C890,고객정보!$A$2:$D$151,4,FALSE)</f>
        <v>L2</v>
      </c>
      <c r="O890" t="str">
        <f>VLOOKUP($C890, 고객정보!$A$2:$E$151, 5, FALSE)</f>
        <v>10대</v>
      </c>
      <c r="P890" t="str">
        <f>VLOOKUP(D890,상품정보!$A$2:$E$61,2,FALSE)</f>
        <v>귀걸이</v>
      </c>
      <c r="Q890" t="str">
        <f>VLOOKUP(D890,상품정보!$A$2:$D$151,3,FALSE)</f>
        <v>액세서리</v>
      </c>
      <c r="R890" t="str">
        <f>VLOOKUP(D890,상품정보!$A$2:$D$151,4,FALSE)</f>
        <v>브랜드D</v>
      </c>
    </row>
    <row r="891" spans="1:18" x14ac:dyDescent="0.45">
      <c r="A891" t="s">
        <v>110</v>
      </c>
      <c r="B891" t="s">
        <v>1290</v>
      </c>
      <c r="C891" t="s">
        <v>2540</v>
      </c>
      <c r="D891" t="s">
        <v>2583</v>
      </c>
      <c r="E891">
        <v>2</v>
      </c>
      <c r="F891">
        <v>6600</v>
      </c>
      <c r="G891">
        <v>500</v>
      </c>
      <c r="H891">
        <v>0</v>
      </c>
      <c r="I891" t="s">
        <v>2652</v>
      </c>
      <c r="J891" s="4">
        <f t="shared" si="39"/>
        <v>13700</v>
      </c>
      <c r="K891" s="4" t="str">
        <f t="shared" si="40"/>
        <v>2024-10</v>
      </c>
      <c r="L891" s="4" t="str">
        <f t="shared" si="41"/>
        <v>화</v>
      </c>
      <c r="M891" s="2" t="str">
        <f>VLOOKUP($C891, 고객정보!$A$2:$E$151, 2, FALSE)</f>
        <v>서울</v>
      </c>
      <c r="N891" t="str">
        <f>VLOOKUP(C891,고객정보!$A$2:$D$151,4,FALSE)</f>
        <v>L4</v>
      </c>
      <c r="O891" t="str">
        <f>VLOOKUP($C891, 고객정보!$A$2:$E$151, 5, FALSE)</f>
        <v>50대 이상</v>
      </c>
      <c r="P891" t="str">
        <f>VLOOKUP(D891,상품정보!$A$2:$E$61,2,FALSE)</f>
        <v>셔츠</v>
      </c>
      <c r="Q891" t="str">
        <f>VLOOKUP(D891,상품정보!$A$2:$D$151,3,FALSE)</f>
        <v>의류</v>
      </c>
      <c r="R891" t="str">
        <f>VLOOKUP(D891,상품정보!$A$2:$D$151,4,FALSE)</f>
        <v>브랜드E</v>
      </c>
    </row>
    <row r="892" spans="1:18" x14ac:dyDescent="0.45">
      <c r="A892" t="s">
        <v>277</v>
      </c>
      <c r="B892" t="s">
        <v>1291</v>
      </c>
      <c r="C892" t="s">
        <v>2425</v>
      </c>
      <c r="D892" t="s">
        <v>2601</v>
      </c>
      <c r="E892">
        <v>4</v>
      </c>
      <c r="F892">
        <v>17000</v>
      </c>
      <c r="G892">
        <v>0</v>
      </c>
      <c r="H892">
        <v>6100</v>
      </c>
      <c r="I892" t="s">
        <v>2611</v>
      </c>
      <c r="J892" s="4">
        <f t="shared" si="39"/>
        <v>61900</v>
      </c>
      <c r="K892" s="4" t="str">
        <f t="shared" si="40"/>
        <v>2024-07</v>
      </c>
      <c r="L892" s="4" t="str">
        <f t="shared" si="41"/>
        <v>목</v>
      </c>
      <c r="M892" s="2" t="str">
        <f>VLOOKUP($C892, 고객정보!$A$2:$E$151, 2, FALSE)</f>
        <v>서울</v>
      </c>
      <c r="N892" t="str">
        <f>VLOOKUP(C892,고객정보!$A$2:$D$151,4,FALSE)</f>
        <v>L4</v>
      </c>
      <c r="O892" t="str">
        <f>VLOOKUP($C892, 고객정보!$A$2:$E$151, 5, FALSE)</f>
        <v>30대</v>
      </c>
      <c r="P892" t="str">
        <f>VLOOKUP(D892,상품정보!$A$2:$E$61,2,FALSE)</f>
        <v>자켓</v>
      </c>
      <c r="Q892" t="str">
        <f>VLOOKUP(D892,상품정보!$A$2:$D$151,3,FALSE)</f>
        <v>의류</v>
      </c>
      <c r="R892" t="str">
        <f>VLOOKUP(D892,상품정보!$A$2:$D$151,4,FALSE)</f>
        <v>브랜드E</v>
      </c>
    </row>
    <row r="893" spans="1:18" x14ac:dyDescent="0.45">
      <c r="A893" t="s">
        <v>355</v>
      </c>
      <c r="B893" t="s">
        <v>1292</v>
      </c>
      <c r="C893" t="s">
        <v>2516</v>
      </c>
      <c r="D893" t="s">
        <v>2571</v>
      </c>
      <c r="E893">
        <v>1</v>
      </c>
      <c r="F893">
        <v>55600</v>
      </c>
      <c r="G893">
        <v>2000</v>
      </c>
      <c r="H893">
        <v>3400</v>
      </c>
      <c r="I893" t="s">
        <v>2611</v>
      </c>
      <c r="J893" s="4">
        <f t="shared" si="39"/>
        <v>54200</v>
      </c>
      <c r="K893" s="4" t="str">
        <f t="shared" si="40"/>
        <v>2024-07</v>
      </c>
      <c r="L893" s="4" t="str">
        <f t="shared" si="41"/>
        <v>목</v>
      </c>
      <c r="M893" s="2" t="str">
        <f>VLOOKUP($C893, 고객정보!$A$2:$E$151, 2, FALSE)</f>
        <v>대전</v>
      </c>
      <c r="N893" t="str">
        <f>VLOOKUP(C893,고객정보!$A$2:$D$151,4,FALSE)</f>
        <v>L3</v>
      </c>
      <c r="O893" t="str">
        <f>VLOOKUP($C893, 고객정보!$A$2:$E$151, 5, FALSE)</f>
        <v>10대</v>
      </c>
      <c r="P893" t="str">
        <f>VLOOKUP(D893,상품정보!$A$2:$E$61,2,FALSE)</f>
        <v>자켓</v>
      </c>
      <c r="Q893" t="str">
        <f>VLOOKUP(D893,상품정보!$A$2:$D$151,3,FALSE)</f>
        <v>의류</v>
      </c>
      <c r="R893" t="str">
        <f>VLOOKUP(D893,상품정보!$A$2:$D$151,4,FALSE)</f>
        <v>브랜드B</v>
      </c>
    </row>
    <row r="894" spans="1:18" x14ac:dyDescent="0.45">
      <c r="A894" t="s">
        <v>224</v>
      </c>
      <c r="B894" t="s">
        <v>1293</v>
      </c>
      <c r="C894" t="s">
        <v>2493</v>
      </c>
      <c r="D894" t="s">
        <v>2574</v>
      </c>
      <c r="E894">
        <v>3</v>
      </c>
      <c r="F894">
        <v>8600</v>
      </c>
      <c r="G894">
        <v>0</v>
      </c>
      <c r="H894">
        <v>1800</v>
      </c>
      <c r="I894" t="s">
        <v>2612</v>
      </c>
      <c r="J894" s="4">
        <f t="shared" si="39"/>
        <v>24000</v>
      </c>
      <c r="K894" s="4" t="str">
        <f t="shared" si="40"/>
        <v>2024-12</v>
      </c>
      <c r="L894" s="4" t="str">
        <f t="shared" si="41"/>
        <v>토</v>
      </c>
      <c r="M894" s="2" t="str">
        <f>VLOOKUP($C894, 고객정보!$A$2:$E$151, 2, FALSE)</f>
        <v>서울</v>
      </c>
      <c r="N894" t="str">
        <f>VLOOKUP(C894,고객정보!$A$2:$D$151,4,FALSE)</f>
        <v>L1</v>
      </c>
      <c r="O894" t="str">
        <f>VLOOKUP($C894, 고객정보!$A$2:$E$151, 5, FALSE)</f>
        <v>20대</v>
      </c>
      <c r="P894" t="str">
        <f>VLOOKUP(D894,상품정보!$A$2:$E$61,2,FALSE)</f>
        <v>셔츠</v>
      </c>
      <c r="Q894" t="str">
        <f>VLOOKUP(D894,상품정보!$A$2:$D$151,3,FALSE)</f>
        <v>의류</v>
      </c>
      <c r="R894" t="str">
        <f>VLOOKUP(D894,상품정보!$A$2:$D$151,4,FALSE)</f>
        <v>브랜드D</v>
      </c>
    </row>
    <row r="895" spans="1:18" x14ac:dyDescent="0.45">
      <c r="A895" t="s">
        <v>113</v>
      </c>
      <c r="B895" t="s">
        <v>1294</v>
      </c>
      <c r="C895" t="s">
        <v>2506</v>
      </c>
      <c r="D895" t="s">
        <v>2581</v>
      </c>
      <c r="E895">
        <v>4</v>
      </c>
      <c r="F895">
        <v>72900</v>
      </c>
      <c r="G895">
        <v>1500</v>
      </c>
      <c r="H895">
        <v>0</v>
      </c>
      <c r="I895" t="s">
        <v>2652</v>
      </c>
      <c r="J895" s="4">
        <f t="shared" si="39"/>
        <v>293100</v>
      </c>
      <c r="K895" s="4" t="str">
        <f t="shared" si="40"/>
        <v>2024-06</v>
      </c>
      <c r="L895" s="4" t="str">
        <f t="shared" si="41"/>
        <v>일</v>
      </c>
      <c r="M895" s="2" t="str">
        <f>VLOOKUP($C895, 고객정보!$A$2:$E$151, 2, FALSE)</f>
        <v>광주</v>
      </c>
      <c r="N895" t="str">
        <f>VLOOKUP(C895,고객정보!$A$2:$D$151,4,FALSE)</f>
        <v>L2</v>
      </c>
      <c r="O895" t="str">
        <f>VLOOKUP($C895, 고객정보!$A$2:$E$151, 5, FALSE)</f>
        <v>50대 이상</v>
      </c>
      <c r="P895" t="str">
        <f>VLOOKUP(D895,상품정보!$A$2:$E$61,2,FALSE)</f>
        <v>귀걸이</v>
      </c>
      <c r="Q895" t="str">
        <f>VLOOKUP(D895,상품정보!$A$2:$D$151,3,FALSE)</f>
        <v>액세서리</v>
      </c>
      <c r="R895" t="str">
        <f>VLOOKUP(D895,상품정보!$A$2:$D$151,4,FALSE)</f>
        <v>브랜드F</v>
      </c>
    </row>
    <row r="896" spans="1:18" x14ac:dyDescent="0.45">
      <c r="A896" t="s">
        <v>320</v>
      </c>
      <c r="B896" t="s">
        <v>1295</v>
      </c>
      <c r="C896" t="s">
        <v>2465</v>
      </c>
      <c r="D896" t="s">
        <v>2594</v>
      </c>
      <c r="E896">
        <v>1</v>
      </c>
      <c r="F896">
        <v>73000</v>
      </c>
      <c r="G896">
        <v>0</v>
      </c>
      <c r="H896">
        <v>0</v>
      </c>
      <c r="I896" t="s">
        <v>2652</v>
      </c>
      <c r="J896" s="4">
        <f t="shared" si="39"/>
        <v>73000</v>
      </c>
      <c r="K896" s="4" t="str">
        <f t="shared" si="40"/>
        <v>2025-01</v>
      </c>
      <c r="L896" s="4" t="str">
        <f t="shared" si="41"/>
        <v>목</v>
      </c>
      <c r="M896" s="2" t="str">
        <f>VLOOKUP($C896, 고객정보!$A$2:$E$151, 2, FALSE)</f>
        <v>서울</v>
      </c>
      <c r="N896" t="str">
        <f>VLOOKUP(C896,고객정보!$A$2:$D$151,4,FALSE)</f>
        <v>L1</v>
      </c>
      <c r="O896" t="str">
        <f>VLOOKUP($C896, 고객정보!$A$2:$E$151, 5, FALSE)</f>
        <v>20대</v>
      </c>
      <c r="P896" t="str">
        <f>VLOOKUP(D896,상품정보!$A$2:$E$61,2,FALSE)</f>
        <v>자켓</v>
      </c>
      <c r="Q896" t="str">
        <f>VLOOKUP(D896,상품정보!$A$2:$D$151,3,FALSE)</f>
        <v>의류</v>
      </c>
      <c r="R896" t="str">
        <f>VLOOKUP(D896,상품정보!$A$2:$D$151,4,FALSE)</f>
        <v>브랜드A</v>
      </c>
    </row>
    <row r="897" spans="1:18" x14ac:dyDescent="0.45">
      <c r="A897" t="s">
        <v>59</v>
      </c>
      <c r="B897" t="s">
        <v>1296</v>
      </c>
      <c r="C897" t="s">
        <v>2413</v>
      </c>
      <c r="D897" t="s">
        <v>2601</v>
      </c>
      <c r="E897">
        <v>3</v>
      </c>
      <c r="F897">
        <v>17000</v>
      </c>
      <c r="G897">
        <v>0</v>
      </c>
      <c r="H897">
        <v>0</v>
      </c>
      <c r="I897" t="s">
        <v>2652</v>
      </c>
      <c r="J897" s="4">
        <f t="shared" si="39"/>
        <v>51000</v>
      </c>
      <c r="K897" s="4" t="str">
        <f t="shared" si="40"/>
        <v>2024-02</v>
      </c>
      <c r="L897" s="4" t="str">
        <f t="shared" si="41"/>
        <v>금</v>
      </c>
      <c r="M897" s="2" t="str">
        <f>VLOOKUP($C897, 고객정보!$A$2:$E$151, 2, FALSE)</f>
        <v>서울</v>
      </c>
      <c r="N897" t="str">
        <f>VLOOKUP(C897,고객정보!$A$2:$D$151,4,FALSE)</f>
        <v>L5</v>
      </c>
      <c r="O897" t="str">
        <f>VLOOKUP($C897, 고객정보!$A$2:$E$151, 5, FALSE)</f>
        <v>30대</v>
      </c>
      <c r="P897" t="str">
        <f>VLOOKUP(D897,상품정보!$A$2:$E$61,2,FALSE)</f>
        <v>자켓</v>
      </c>
      <c r="Q897" t="str">
        <f>VLOOKUP(D897,상품정보!$A$2:$D$151,3,FALSE)</f>
        <v>의류</v>
      </c>
      <c r="R897" t="str">
        <f>VLOOKUP(D897,상품정보!$A$2:$D$151,4,FALSE)</f>
        <v>브랜드E</v>
      </c>
    </row>
    <row r="898" spans="1:18" x14ac:dyDescent="0.45">
      <c r="A898" t="s">
        <v>37</v>
      </c>
      <c r="B898" t="s">
        <v>1297</v>
      </c>
      <c r="C898" t="s">
        <v>2445</v>
      </c>
      <c r="D898" t="s">
        <v>2575</v>
      </c>
      <c r="E898">
        <v>2</v>
      </c>
      <c r="F898">
        <v>7200</v>
      </c>
      <c r="G898">
        <v>1000</v>
      </c>
      <c r="H898">
        <v>0</v>
      </c>
      <c r="I898" t="s">
        <v>2652</v>
      </c>
      <c r="J898" s="4">
        <f t="shared" si="39"/>
        <v>15400</v>
      </c>
      <c r="K898" s="4" t="str">
        <f t="shared" si="40"/>
        <v>2024-08</v>
      </c>
      <c r="L898" s="4" t="str">
        <f t="shared" si="41"/>
        <v>수</v>
      </c>
      <c r="M898" s="2" t="str">
        <f>VLOOKUP($C898, 고객정보!$A$2:$E$151, 2, FALSE)</f>
        <v>대구</v>
      </c>
      <c r="N898" t="str">
        <f>VLOOKUP(C898,고객정보!$A$2:$D$151,4,FALSE)</f>
        <v>L3</v>
      </c>
      <c r="O898" t="str">
        <f>VLOOKUP($C898, 고객정보!$A$2:$E$151, 5, FALSE)</f>
        <v>10대</v>
      </c>
      <c r="P898" t="str">
        <f>VLOOKUP(D898,상품정보!$A$2:$E$61,2,FALSE)</f>
        <v>반지</v>
      </c>
      <c r="Q898" t="str">
        <f>VLOOKUP(D898,상품정보!$A$2:$D$151,3,FALSE)</f>
        <v>액세서리</v>
      </c>
      <c r="R898" t="str">
        <f>VLOOKUP(D898,상품정보!$A$2:$D$151,4,FALSE)</f>
        <v>브랜드E</v>
      </c>
    </row>
    <row r="899" spans="1:18" x14ac:dyDescent="0.45">
      <c r="A899" t="s">
        <v>356</v>
      </c>
      <c r="B899" t="s">
        <v>1298</v>
      </c>
      <c r="C899" t="s">
        <v>2447</v>
      </c>
      <c r="D899" t="s">
        <v>2583</v>
      </c>
      <c r="E899">
        <v>3</v>
      </c>
      <c r="F899">
        <v>6600</v>
      </c>
      <c r="G899">
        <v>0</v>
      </c>
      <c r="H899">
        <v>2900</v>
      </c>
      <c r="I899" t="s">
        <v>2614</v>
      </c>
      <c r="J899" s="4">
        <f t="shared" ref="J899:J962" si="42">E899*F899+G899-H899</f>
        <v>16900</v>
      </c>
      <c r="K899" s="4" t="str">
        <f t="shared" ref="K899:K962" si="43">LEFT(A899,7)</f>
        <v>2024-06</v>
      </c>
      <c r="L899" s="4" t="str">
        <f t="shared" ref="L899:L962" si="44">TEXT(WEEKDAY(A899),"aaa")</f>
        <v>금</v>
      </c>
      <c r="M899" s="2" t="str">
        <f>VLOOKUP($C899, 고객정보!$A$2:$E$151, 2, FALSE)</f>
        <v>대구</v>
      </c>
      <c r="N899" t="str">
        <f>VLOOKUP(C899,고객정보!$A$2:$D$151,4,FALSE)</f>
        <v>L1</v>
      </c>
      <c r="O899" t="str">
        <f>VLOOKUP($C899, 고객정보!$A$2:$E$151, 5, FALSE)</f>
        <v>10대</v>
      </c>
      <c r="P899" t="str">
        <f>VLOOKUP(D899,상품정보!$A$2:$E$61,2,FALSE)</f>
        <v>셔츠</v>
      </c>
      <c r="Q899" t="str">
        <f>VLOOKUP(D899,상품정보!$A$2:$D$151,3,FALSE)</f>
        <v>의류</v>
      </c>
      <c r="R899" t="str">
        <f>VLOOKUP(D899,상품정보!$A$2:$D$151,4,FALSE)</f>
        <v>브랜드E</v>
      </c>
    </row>
    <row r="900" spans="1:18" x14ac:dyDescent="0.45">
      <c r="A900" t="s">
        <v>110</v>
      </c>
      <c r="B900" t="s">
        <v>1299</v>
      </c>
      <c r="C900" t="s">
        <v>2517</v>
      </c>
      <c r="D900" t="s">
        <v>2558</v>
      </c>
      <c r="E900">
        <v>5</v>
      </c>
      <c r="F900">
        <v>63700</v>
      </c>
      <c r="G900">
        <v>500</v>
      </c>
      <c r="H900">
        <v>0</v>
      </c>
      <c r="I900" t="s">
        <v>2652</v>
      </c>
      <c r="J900" s="4">
        <f t="shared" si="42"/>
        <v>319000</v>
      </c>
      <c r="K900" s="4" t="str">
        <f t="shared" si="43"/>
        <v>2024-10</v>
      </c>
      <c r="L900" s="4" t="str">
        <f t="shared" si="44"/>
        <v>화</v>
      </c>
      <c r="M900" s="2" t="str">
        <f>VLOOKUP($C900, 고객정보!$A$2:$E$151, 2, FALSE)</f>
        <v>서울</v>
      </c>
      <c r="N900" t="str">
        <f>VLOOKUP(C900,고객정보!$A$2:$D$151,4,FALSE)</f>
        <v>L4</v>
      </c>
      <c r="O900" t="str">
        <f>VLOOKUP($C900, 고객정보!$A$2:$E$151, 5, FALSE)</f>
        <v>20대</v>
      </c>
      <c r="P900" t="str">
        <f>VLOOKUP(D900,상품정보!$A$2:$E$61,2,FALSE)</f>
        <v>셔츠</v>
      </c>
      <c r="Q900" t="str">
        <f>VLOOKUP(D900,상품정보!$A$2:$D$151,3,FALSE)</f>
        <v>의류</v>
      </c>
      <c r="R900" t="str">
        <f>VLOOKUP(D900,상품정보!$A$2:$D$151,4,FALSE)</f>
        <v>브랜드A</v>
      </c>
    </row>
    <row r="901" spans="1:18" x14ac:dyDescent="0.45">
      <c r="A901" t="s">
        <v>316</v>
      </c>
      <c r="B901" t="s">
        <v>1300</v>
      </c>
      <c r="C901" t="s">
        <v>2469</v>
      </c>
      <c r="D901" t="s">
        <v>2563</v>
      </c>
      <c r="E901">
        <v>4</v>
      </c>
      <c r="F901">
        <v>6900</v>
      </c>
      <c r="G901">
        <v>0</v>
      </c>
      <c r="H901">
        <v>0</v>
      </c>
      <c r="I901" t="s">
        <v>2652</v>
      </c>
      <c r="J901" s="4">
        <f t="shared" si="42"/>
        <v>27600</v>
      </c>
      <c r="K901" s="4" t="str">
        <f t="shared" si="43"/>
        <v>2024-06</v>
      </c>
      <c r="L901" s="4" t="str">
        <f t="shared" si="44"/>
        <v>월</v>
      </c>
      <c r="M901" s="2" t="str">
        <f>VLOOKUP($C901, 고객정보!$A$2:$E$151, 2, FALSE)</f>
        <v>수원</v>
      </c>
      <c r="N901" t="str">
        <f>VLOOKUP(C901,고객정보!$A$2:$D$151,4,FALSE)</f>
        <v>L5</v>
      </c>
      <c r="O901" t="str">
        <f>VLOOKUP($C901, 고객정보!$A$2:$E$151, 5, FALSE)</f>
        <v>20대</v>
      </c>
      <c r="P901" t="str">
        <f>VLOOKUP(D901,상품정보!$A$2:$E$61,2,FALSE)</f>
        <v>귀걸이</v>
      </c>
      <c r="Q901" t="str">
        <f>VLOOKUP(D901,상품정보!$A$2:$D$151,3,FALSE)</f>
        <v>액세서리</v>
      </c>
      <c r="R901" t="str">
        <f>VLOOKUP(D901,상품정보!$A$2:$D$151,4,FALSE)</f>
        <v>브랜드D</v>
      </c>
    </row>
    <row r="902" spans="1:18" x14ac:dyDescent="0.45">
      <c r="A902" t="s">
        <v>195</v>
      </c>
      <c r="B902" t="s">
        <v>1301</v>
      </c>
      <c r="C902" t="s">
        <v>2431</v>
      </c>
      <c r="D902" t="s">
        <v>2564</v>
      </c>
      <c r="E902">
        <v>1</v>
      </c>
      <c r="F902">
        <v>66600</v>
      </c>
      <c r="G902">
        <v>1000</v>
      </c>
      <c r="H902">
        <v>0</v>
      </c>
      <c r="I902" t="s">
        <v>2652</v>
      </c>
      <c r="J902" s="4">
        <f t="shared" si="42"/>
        <v>67600</v>
      </c>
      <c r="K902" s="4" t="str">
        <f t="shared" si="43"/>
        <v>2024-11</v>
      </c>
      <c r="L902" s="4" t="str">
        <f t="shared" si="44"/>
        <v>토</v>
      </c>
      <c r="M902" s="2" t="str">
        <f>VLOOKUP($C902, 고객정보!$A$2:$E$151, 2, FALSE)</f>
        <v>광주</v>
      </c>
      <c r="N902" t="str">
        <f>VLOOKUP(C902,고객정보!$A$2:$D$151,4,FALSE)</f>
        <v>L3</v>
      </c>
      <c r="O902" t="str">
        <f>VLOOKUP($C902, 고객정보!$A$2:$E$151, 5, FALSE)</f>
        <v>40대</v>
      </c>
      <c r="P902" t="str">
        <f>VLOOKUP(D902,상품정보!$A$2:$E$61,2,FALSE)</f>
        <v>청바지</v>
      </c>
      <c r="Q902" t="str">
        <f>VLOOKUP(D902,상품정보!$A$2:$D$151,3,FALSE)</f>
        <v>의류</v>
      </c>
      <c r="R902" t="str">
        <f>VLOOKUP(D902,상품정보!$A$2:$D$151,4,FALSE)</f>
        <v>브랜드B</v>
      </c>
    </row>
    <row r="903" spans="1:18" x14ac:dyDescent="0.45">
      <c r="A903" t="s">
        <v>79</v>
      </c>
      <c r="B903" t="s">
        <v>1302</v>
      </c>
      <c r="C903" t="s">
        <v>2413</v>
      </c>
      <c r="D903" t="s">
        <v>2551</v>
      </c>
      <c r="E903">
        <v>1</v>
      </c>
      <c r="F903">
        <v>66600</v>
      </c>
      <c r="G903">
        <v>0</v>
      </c>
      <c r="H903">
        <v>0</v>
      </c>
      <c r="I903" t="s">
        <v>2652</v>
      </c>
      <c r="J903" s="4">
        <f t="shared" si="42"/>
        <v>66600</v>
      </c>
      <c r="K903" s="4" t="str">
        <f t="shared" si="43"/>
        <v>2024-03</v>
      </c>
      <c r="L903" s="4" t="str">
        <f t="shared" si="44"/>
        <v>목</v>
      </c>
      <c r="M903" s="2" t="str">
        <f>VLOOKUP($C903, 고객정보!$A$2:$E$151, 2, FALSE)</f>
        <v>서울</v>
      </c>
      <c r="N903" t="str">
        <f>VLOOKUP(C903,고객정보!$A$2:$D$151,4,FALSE)</f>
        <v>L5</v>
      </c>
      <c r="O903" t="str">
        <f>VLOOKUP($C903, 고객정보!$A$2:$E$151, 5, FALSE)</f>
        <v>30대</v>
      </c>
      <c r="P903" t="str">
        <f>VLOOKUP(D903,상품정보!$A$2:$E$61,2,FALSE)</f>
        <v>반지</v>
      </c>
      <c r="Q903" t="str">
        <f>VLOOKUP(D903,상품정보!$A$2:$D$151,3,FALSE)</f>
        <v>액세서리</v>
      </c>
      <c r="R903" t="str">
        <f>VLOOKUP(D903,상품정보!$A$2:$D$151,4,FALSE)</f>
        <v>브랜드B</v>
      </c>
    </row>
    <row r="904" spans="1:18" x14ac:dyDescent="0.45">
      <c r="A904" t="s">
        <v>37</v>
      </c>
      <c r="B904" t="s">
        <v>1303</v>
      </c>
      <c r="C904" t="s">
        <v>2470</v>
      </c>
      <c r="D904" t="s">
        <v>2581</v>
      </c>
      <c r="E904">
        <v>1</v>
      </c>
      <c r="F904">
        <v>72900</v>
      </c>
      <c r="G904">
        <v>0</v>
      </c>
      <c r="H904">
        <v>0</v>
      </c>
      <c r="I904" t="s">
        <v>2652</v>
      </c>
      <c r="J904" s="4">
        <f t="shared" si="42"/>
        <v>72900</v>
      </c>
      <c r="K904" s="4" t="str">
        <f t="shared" si="43"/>
        <v>2024-08</v>
      </c>
      <c r="L904" s="4" t="str">
        <f t="shared" si="44"/>
        <v>수</v>
      </c>
      <c r="M904" s="2" t="str">
        <f>VLOOKUP($C904, 고객정보!$A$2:$E$151, 2, FALSE)</f>
        <v>대전</v>
      </c>
      <c r="N904" t="str">
        <f>VLOOKUP(C904,고객정보!$A$2:$D$151,4,FALSE)</f>
        <v>L5</v>
      </c>
      <c r="O904" t="str">
        <f>VLOOKUP($C904, 고객정보!$A$2:$E$151, 5, FALSE)</f>
        <v>20대</v>
      </c>
      <c r="P904" t="str">
        <f>VLOOKUP(D904,상품정보!$A$2:$E$61,2,FALSE)</f>
        <v>귀걸이</v>
      </c>
      <c r="Q904" t="str">
        <f>VLOOKUP(D904,상품정보!$A$2:$D$151,3,FALSE)</f>
        <v>액세서리</v>
      </c>
      <c r="R904" t="str">
        <f>VLOOKUP(D904,상품정보!$A$2:$D$151,4,FALSE)</f>
        <v>브랜드F</v>
      </c>
    </row>
    <row r="905" spans="1:18" x14ac:dyDescent="0.45">
      <c r="A905" t="s">
        <v>221</v>
      </c>
      <c r="B905" t="s">
        <v>1304</v>
      </c>
      <c r="C905" t="s">
        <v>2448</v>
      </c>
      <c r="D905" t="s">
        <v>2606</v>
      </c>
      <c r="E905">
        <v>2</v>
      </c>
      <c r="F905">
        <v>15000</v>
      </c>
      <c r="G905">
        <v>500</v>
      </c>
      <c r="H905">
        <v>0</v>
      </c>
      <c r="I905" t="s">
        <v>2652</v>
      </c>
      <c r="J905" s="4">
        <f t="shared" si="42"/>
        <v>30500</v>
      </c>
      <c r="K905" s="4" t="str">
        <f t="shared" si="43"/>
        <v>2024-11</v>
      </c>
      <c r="L905" s="4" t="str">
        <f t="shared" si="44"/>
        <v>목</v>
      </c>
      <c r="M905" s="2" t="str">
        <f>VLOOKUP($C905, 고객정보!$A$2:$E$151, 2, FALSE)</f>
        <v>광주</v>
      </c>
      <c r="N905" t="str">
        <f>VLOOKUP(C905,고객정보!$A$2:$D$151,4,FALSE)</f>
        <v>L3</v>
      </c>
      <c r="O905" t="str">
        <f>VLOOKUP($C905, 고객정보!$A$2:$E$151, 5, FALSE)</f>
        <v>50대 이상</v>
      </c>
      <c r="P905" t="str">
        <f>VLOOKUP(D905,상품정보!$A$2:$E$61,2,FALSE)</f>
        <v>귀걸이</v>
      </c>
      <c r="Q905" t="str">
        <f>VLOOKUP(D905,상품정보!$A$2:$D$151,3,FALSE)</f>
        <v>액세서리</v>
      </c>
      <c r="R905" t="str">
        <f>VLOOKUP(D905,상품정보!$A$2:$D$151,4,FALSE)</f>
        <v>브랜드E</v>
      </c>
    </row>
    <row r="906" spans="1:18" x14ac:dyDescent="0.45">
      <c r="A906" t="s">
        <v>173</v>
      </c>
      <c r="B906" t="s">
        <v>1305</v>
      </c>
      <c r="C906" t="s">
        <v>2471</v>
      </c>
      <c r="D906" t="s">
        <v>2566</v>
      </c>
      <c r="E906">
        <v>3</v>
      </c>
      <c r="F906">
        <v>60600</v>
      </c>
      <c r="G906">
        <v>0</v>
      </c>
      <c r="H906">
        <v>0</v>
      </c>
      <c r="I906" t="s">
        <v>2652</v>
      </c>
      <c r="J906" s="4">
        <f t="shared" si="42"/>
        <v>181800</v>
      </c>
      <c r="K906" s="4" t="str">
        <f t="shared" si="43"/>
        <v>2024-02</v>
      </c>
      <c r="L906" s="4" t="str">
        <f t="shared" si="44"/>
        <v>토</v>
      </c>
      <c r="M906" s="2" t="str">
        <f>VLOOKUP($C906, 고객정보!$A$2:$E$151, 2, FALSE)</f>
        <v>서울</v>
      </c>
      <c r="N906" t="str">
        <f>VLOOKUP(C906,고객정보!$A$2:$D$151,4,FALSE)</f>
        <v>L5</v>
      </c>
      <c r="O906" t="str">
        <f>VLOOKUP($C906, 고객정보!$A$2:$E$151, 5, FALSE)</f>
        <v>40대</v>
      </c>
      <c r="P906" t="str">
        <f>VLOOKUP(D906,상품정보!$A$2:$E$61,2,FALSE)</f>
        <v>반팔 티셔츠</v>
      </c>
      <c r="Q906" t="str">
        <f>VLOOKUP(D906,상품정보!$A$2:$D$151,3,FALSE)</f>
        <v>의류</v>
      </c>
      <c r="R906" t="str">
        <f>VLOOKUP(D906,상품정보!$A$2:$D$151,4,FALSE)</f>
        <v>브랜드A</v>
      </c>
    </row>
    <row r="907" spans="1:18" x14ac:dyDescent="0.45">
      <c r="A907" t="s">
        <v>282</v>
      </c>
      <c r="B907" t="s">
        <v>1306</v>
      </c>
      <c r="C907" t="s">
        <v>2415</v>
      </c>
      <c r="D907" t="s">
        <v>2605</v>
      </c>
      <c r="E907">
        <v>1</v>
      </c>
      <c r="F907">
        <v>6800</v>
      </c>
      <c r="G907">
        <v>500</v>
      </c>
      <c r="H907">
        <v>1000</v>
      </c>
      <c r="I907" t="s">
        <v>2611</v>
      </c>
      <c r="J907" s="4">
        <f t="shared" si="42"/>
        <v>6300</v>
      </c>
      <c r="K907" s="4" t="str">
        <f t="shared" si="43"/>
        <v>2024-07</v>
      </c>
      <c r="L907" s="4" t="str">
        <f t="shared" si="44"/>
        <v>화</v>
      </c>
      <c r="M907" s="2" t="str">
        <f>VLOOKUP($C907, 고객정보!$A$2:$E$151, 2, FALSE)</f>
        <v>광주</v>
      </c>
      <c r="N907" t="str">
        <f>VLOOKUP(C907,고객정보!$A$2:$D$151,4,FALSE)</f>
        <v>L3</v>
      </c>
      <c r="O907" t="str">
        <f>VLOOKUP($C907, 고객정보!$A$2:$E$151, 5, FALSE)</f>
        <v>30대</v>
      </c>
      <c r="P907" t="str">
        <f>VLOOKUP(D907,상품정보!$A$2:$E$61,2,FALSE)</f>
        <v>핸드폰케이스</v>
      </c>
      <c r="Q907" t="str">
        <f>VLOOKUP(D907,상품정보!$A$2:$D$151,3,FALSE)</f>
        <v>액세서리</v>
      </c>
      <c r="R907" t="str">
        <f>VLOOKUP(D907,상품정보!$A$2:$D$151,4,FALSE)</f>
        <v>브랜드D</v>
      </c>
    </row>
    <row r="908" spans="1:18" x14ac:dyDescent="0.45">
      <c r="A908" t="s">
        <v>195</v>
      </c>
      <c r="B908" t="s">
        <v>1307</v>
      </c>
      <c r="C908" t="s">
        <v>2499</v>
      </c>
      <c r="D908" t="s">
        <v>2596</v>
      </c>
      <c r="E908">
        <v>4</v>
      </c>
      <c r="F908">
        <v>59700</v>
      </c>
      <c r="G908">
        <v>0</v>
      </c>
      <c r="H908">
        <v>8300</v>
      </c>
      <c r="I908" t="s">
        <v>2614</v>
      </c>
      <c r="J908" s="4">
        <f t="shared" si="42"/>
        <v>230500</v>
      </c>
      <c r="K908" s="4" t="str">
        <f t="shared" si="43"/>
        <v>2024-11</v>
      </c>
      <c r="L908" s="4" t="str">
        <f t="shared" si="44"/>
        <v>토</v>
      </c>
      <c r="M908" s="2" t="str">
        <f>VLOOKUP($C908, 고객정보!$A$2:$E$151, 2, FALSE)</f>
        <v>서울</v>
      </c>
      <c r="N908" t="str">
        <f>VLOOKUP(C908,고객정보!$A$2:$D$151,4,FALSE)</f>
        <v>L2</v>
      </c>
      <c r="O908" t="str">
        <f>VLOOKUP($C908, 고객정보!$A$2:$E$151, 5, FALSE)</f>
        <v>40대</v>
      </c>
      <c r="P908" t="str">
        <f>VLOOKUP(D908,상품정보!$A$2:$E$61,2,FALSE)</f>
        <v>청바지</v>
      </c>
      <c r="Q908" t="str">
        <f>VLOOKUP(D908,상품정보!$A$2:$D$151,3,FALSE)</f>
        <v>의류</v>
      </c>
      <c r="R908" t="str">
        <f>VLOOKUP(D908,상품정보!$A$2:$D$151,4,FALSE)</f>
        <v>브랜드A</v>
      </c>
    </row>
    <row r="909" spans="1:18" x14ac:dyDescent="0.45">
      <c r="A909" t="s">
        <v>37</v>
      </c>
      <c r="B909" t="s">
        <v>1308</v>
      </c>
      <c r="C909" t="s">
        <v>2479</v>
      </c>
      <c r="D909" t="s">
        <v>2586</v>
      </c>
      <c r="E909">
        <v>2</v>
      </c>
      <c r="F909">
        <v>73000</v>
      </c>
      <c r="G909">
        <v>0</v>
      </c>
      <c r="H909">
        <v>0</v>
      </c>
      <c r="I909" t="s">
        <v>2652</v>
      </c>
      <c r="J909" s="4">
        <f t="shared" si="42"/>
        <v>146000</v>
      </c>
      <c r="K909" s="4" t="str">
        <f t="shared" si="43"/>
        <v>2024-08</v>
      </c>
      <c r="L909" s="4" t="str">
        <f t="shared" si="44"/>
        <v>수</v>
      </c>
      <c r="M909" s="2" t="str">
        <f>VLOOKUP($C909, 고객정보!$A$2:$E$151, 2, FALSE)</f>
        <v>부산</v>
      </c>
      <c r="N909" t="str">
        <f>VLOOKUP(C909,고객정보!$A$2:$D$151,4,FALSE)</f>
        <v>L2</v>
      </c>
      <c r="O909" t="str">
        <f>VLOOKUP($C909, 고객정보!$A$2:$E$151, 5, FALSE)</f>
        <v>10대</v>
      </c>
      <c r="P909" t="str">
        <f>VLOOKUP(D909,상품정보!$A$2:$E$61,2,FALSE)</f>
        <v>귀걸이</v>
      </c>
      <c r="Q909" t="str">
        <f>VLOOKUP(D909,상품정보!$A$2:$D$151,3,FALSE)</f>
        <v>액세서리</v>
      </c>
      <c r="R909" t="str">
        <f>VLOOKUP(D909,상품정보!$A$2:$D$151,4,FALSE)</f>
        <v>브랜드B</v>
      </c>
    </row>
    <row r="910" spans="1:18" x14ac:dyDescent="0.45">
      <c r="A910" t="s">
        <v>357</v>
      </c>
      <c r="B910" t="s">
        <v>1309</v>
      </c>
      <c r="C910" t="s">
        <v>2411</v>
      </c>
      <c r="D910" t="s">
        <v>2588</v>
      </c>
      <c r="E910">
        <v>1</v>
      </c>
      <c r="F910">
        <v>7700</v>
      </c>
      <c r="G910">
        <v>1500</v>
      </c>
      <c r="H910">
        <v>0</v>
      </c>
      <c r="I910" t="s">
        <v>2652</v>
      </c>
      <c r="J910" s="4">
        <f t="shared" si="42"/>
        <v>9200</v>
      </c>
      <c r="K910" s="4" t="str">
        <f t="shared" si="43"/>
        <v>2024-01</v>
      </c>
      <c r="L910" s="4" t="str">
        <f t="shared" si="44"/>
        <v>월</v>
      </c>
      <c r="M910" s="2" t="str">
        <f>VLOOKUP($C910, 고객정보!$A$2:$E$151, 2, FALSE)</f>
        <v>부산</v>
      </c>
      <c r="N910" t="str">
        <f>VLOOKUP(C910,고객정보!$A$2:$D$151,4,FALSE)</f>
        <v>L5</v>
      </c>
      <c r="O910" t="str">
        <f>VLOOKUP($C910, 고객정보!$A$2:$E$151, 5, FALSE)</f>
        <v>30대</v>
      </c>
      <c r="P910" t="str">
        <f>VLOOKUP(D910,상품정보!$A$2:$E$61,2,FALSE)</f>
        <v>귀걸이</v>
      </c>
      <c r="Q910" t="str">
        <f>VLOOKUP(D910,상품정보!$A$2:$D$151,3,FALSE)</f>
        <v>액세서리</v>
      </c>
      <c r="R910" t="str">
        <f>VLOOKUP(D910,상품정보!$A$2:$D$151,4,FALSE)</f>
        <v>브랜드D</v>
      </c>
    </row>
    <row r="911" spans="1:18" x14ac:dyDescent="0.45">
      <c r="A911" t="s">
        <v>62</v>
      </c>
      <c r="B911" t="s">
        <v>1310</v>
      </c>
      <c r="C911" t="s">
        <v>2447</v>
      </c>
      <c r="D911" t="s">
        <v>2608</v>
      </c>
      <c r="E911">
        <v>1</v>
      </c>
      <c r="F911">
        <v>10600</v>
      </c>
      <c r="G911">
        <v>1500</v>
      </c>
      <c r="H911">
        <v>0</v>
      </c>
      <c r="I911" t="s">
        <v>2652</v>
      </c>
      <c r="J911" s="4">
        <f t="shared" si="42"/>
        <v>12100</v>
      </c>
      <c r="K911" s="4" t="str">
        <f t="shared" si="43"/>
        <v>2024-03</v>
      </c>
      <c r="L911" s="4" t="str">
        <f t="shared" si="44"/>
        <v>금</v>
      </c>
      <c r="M911" s="2" t="str">
        <f>VLOOKUP($C911, 고객정보!$A$2:$E$151, 2, FALSE)</f>
        <v>대구</v>
      </c>
      <c r="N911" t="str">
        <f>VLOOKUP(C911,고객정보!$A$2:$D$151,4,FALSE)</f>
        <v>L1</v>
      </c>
      <c r="O911" t="str">
        <f>VLOOKUP($C911, 고객정보!$A$2:$E$151, 5, FALSE)</f>
        <v>10대</v>
      </c>
      <c r="P911" t="str">
        <f>VLOOKUP(D911,상품정보!$A$2:$E$61,2,FALSE)</f>
        <v>셔츠</v>
      </c>
      <c r="Q911" t="str">
        <f>VLOOKUP(D911,상품정보!$A$2:$D$151,3,FALSE)</f>
        <v>의류</v>
      </c>
      <c r="R911" t="str">
        <f>VLOOKUP(D911,상품정보!$A$2:$D$151,4,FALSE)</f>
        <v>브랜드D</v>
      </c>
    </row>
    <row r="912" spans="1:18" x14ac:dyDescent="0.45">
      <c r="A912" t="s">
        <v>87</v>
      </c>
      <c r="B912" t="s">
        <v>1311</v>
      </c>
      <c r="C912" t="s">
        <v>2402</v>
      </c>
      <c r="D912" t="s">
        <v>2578</v>
      </c>
      <c r="E912">
        <v>4</v>
      </c>
      <c r="F912">
        <v>78000</v>
      </c>
      <c r="G912">
        <v>0</v>
      </c>
      <c r="H912">
        <v>0</v>
      </c>
      <c r="I912" t="s">
        <v>2652</v>
      </c>
      <c r="J912" s="4">
        <f t="shared" si="42"/>
        <v>312000</v>
      </c>
      <c r="K912" s="4" t="str">
        <f t="shared" si="43"/>
        <v>2024-01</v>
      </c>
      <c r="L912" s="4" t="str">
        <f t="shared" si="44"/>
        <v>금</v>
      </c>
      <c r="M912" s="2" t="str">
        <f>VLOOKUP($C912, 고객정보!$A$2:$E$151, 2, FALSE)</f>
        <v>서울</v>
      </c>
      <c r="N912" t="str">
        <f>VLOOKUP(C912,고객정보!$A$2:$D$151,4,FALSE)</f>
        <v>L2</v>
      </c>
      <c r="O912" t="str">
        <f>VLOOKUP($C912, 고객정보!$A$2:$E$151, 5, FALSE)</f>
        <v>30대</v>
      </c>
      <c r="P912" t="str">
        <f>VLOOKUP(D912,상품정보!$A$2:$E$61,2,FALSE)</f>
        <v>귀걸이</v>
      </c>
      <c r="Q912" t="str">
        <f>VLOOKUP(D912,상품정보!$A$2:$D$151,3,FALSE)</f>
        <v>액세서리</v>
      </c>
      <c r="R912" t="str">
        <f>VLOOKUP(D912,상품정보!$A$2:$D$151,4,FALSE)</f>
        <v>브랜드B</v>
      </c>
    </row>
    <row r="913" spans="1:18" x14ac:dyDescent="0.45">
      <c r="A913" t="s">
        <v>178</v>
      </c>
      <c r="B913" t="s">
        <v>1312</v>
      </c>
      <c r="C913" t="s">
        <v>2435</v>
      </c>
      <c r="D913" t="s">
        <v>2606</v>
      </c>
      <c r="E913">
        <v>3</v>
      </c>
      <c r="F913">
        <v>15000</v>
      </c>
      <c r="G913">
        <v>500</v>
      </c>
      <c r="H913">
        <v>0</v>
      </c>
      <c r="I913" t="s">
        <v>2652</v>
      </c>
      <c r="J913" s="4">
        <f t="shared" si="42"/>
        <v>45500</v>
      </c>
      <c r="K913" s="4" t="str">
        <f t="shared" si="43"/>
        <v>2024-03</v>
      </c>
      <c r="L913" s="4" t="str">
        <f t="shared" si="44"/>
        <v>토</v>
      </c>
      <c r="M913" s="2" t="str">
        <f>VLOOKUP($C913, 고객정보!$A$2:$E$151, 2, FALSE)</f>
        <v>인천</v>
      </c>
      <c r="N913" t="str">
        <f>VLOOKUP(C913,고객정보!$A$2:$D$151,4,FALSE)</f>
        <v>L5</v>
      </c>
      <c r="O913" t="str">
        <f>VLOOKUP($C913, 고객정보!$A$2:$E$151, 5, FALSE)</f>
        <v>30대</v>
      </c>
      <c r="P913" t="str">
        <f>VLOOKUP(D913,상품정보!$A$2:$E$61,2,FALSE)</f>
        <v>귀걸이</v>
      </c>
      <c r="Q913" t="str">
        <f>VLOOKUP(D913,상품정보!$A$2:$D$151,3,FALSE)</f>
        <v>액세서리</v>
      </c>
      <c r="R913" t="str">
        <f>VLOOKUP(D913,상품정보!$A$2:$D$151,4,FALSE)</f>
        <v>브랜드E</v>
      </c>
    </row>
    <row r="914" spans="1:18" x14ac:dyDescent="0.45">
      <c r="A914" t="s">
        <v>318</v>
      </c>
      <c r="B914" t="s">
        <v>1313</v>
      </c>
      <c r="C914" t="s">
        <v>2409</v>
      </c>
      <c r="D914" t="s">
        <v>2606</v>
      </c>
      <c r="E914">
        <v>2</v>
      </c>
      <c r="F914">
        <v>15000</v>
      </c>
      <c r="G914">
        <v>0</v>
      </c>
      <c r="H914">
        <v>0</v>
      </c>
      <c r="I914" t="s">
        <v>2652</v>
      </c>
      <c r="J914" s="4">
        <f t="shared" si="42"/>
        <v>30000</v>
      </c>
      <c r="K914" s="4" t="str">
        <f t="shared" si="43"/>
        <v>2024-09</v>
      </c>
      <c r="L914" s="4" t="str">
        <f t="shared" si="44"/>
        <v>일</v>
      </c>
      <c r="M914" s="2" t="str">
        <f>VLOOKUP($C914, 고객정보!$A$2:$E$151, 2, FALSE)</f>
        <v>서울</v>
      </c>
      <c r="N914" t="str">
        <f>VLOOKUP(C914,고객정보!$A$2:$D$151,4,FALSE)</f>
        <v>L3</v>
      </c>
      <c r="O914" t="str">
        <f>VLOOKUP($C914, 고객정보!$A$2:$E$151, 5, FALSE)</f>
        <v>50대 이상</v>
      </c>
      <c r="P914" t="str">
        <f>VLOOKUP(D914,상품정보!$A$2:$E$61,2,FALSE)</f>
        <v>귀걸이</v>
      </c>
      <c r="Q914" t="str">
        <f>VLOOKUP(D914,상품정보!$A$2:$D$151,3,FALSE)</f>
        <v>액세서리</v>
      </c>
      <c r="R914" t="str">
        <f>VLOOKUP(D914,상품정보!$A$2:$D$151,4,FALSE)</f>
        <v>브랜드E</v>
      </c>
    </row>
    <row r="915" spans="1:18" x14ac:dyDescent="0.45">
      <c r="A915" t="s">
        <v>263</v>
      </c>
      <c r="B915" t="s">
        <v>1314</v>
      </c>
      <c r="C915" t="s">
        <v>2421</v>
      </c>
      <c r="D915" t="s">
        <v>2607</v>
      </c>
      <c r="E915">
        <v>4</v>
      </c>
      <c r="F915">
        <v>16000</v>
      </c>
      <c r="G915">
        <v>0</v>
      </c>
      <c r="H915">
        <v>0</v>
      </c>
      <c r="I915" t="s">
        <v>2652</v>
      </c>
      <c r="J915" s="4">
        <f t="shared" si="42"/>
        <v>64000</v>
      </c>
      <c r="K915" s="4" t="str">
        <f t="shared" si="43"/>
        <v>2024-02</v>
      </c>
      <c r="L915" s="4" t="str">
        <f t="shared" si="44"/>
        <v>목</v>
      </c>
      <c r="M915" s="2" t="str">
        <f>VLOOKUP($C915, 고객정보!$A$2:$E$151, 2, FALSE)</f>
        <v>부산</v>
      </c>
      <c r="N915" t="str">
        <f>VLOOKUP(C915,고객정보!$A$2:$D$151,4,FALSE)</f>
        <v>L3</v>
      </c>
      <c r="O915" t="str">
        <f>VLOOKUP($C915, 고객정보!$A$2:$E$151, 5, FALSE)</f>
        <v>30대</v>
      </c>
      <c r="P915" t="str">
        <f>VLOOKUP(D915,상품정보!$A$2:$E$61,2,FALSE)</f>
        <v>목걸이</v>
      </c>
      <c r="Q915" t="str">
        <f>VLOOKUP(D915,상품정보!$A$2:$D$151,3,FALSE)</f>
        <v>액세서리</v>
      </c>
      <c r="R915" t="str">
        <f>VLOOKUP(D915,상품정보!$A$2:$D$151,4,FALSE)</f>
        <v>브랜드E</v>
      </c>
    </row>
    <row r="916" spans="1:18" x14ac:dyDescent="0.45">
      <c r="A916" t="s">
        <v>175</v>
      </c>
      <c r="B916" t="s">
        <v>1315</v>
      </c>
      <c r="C916" t="s">
        <v>2523</v>
      </c>
      <c r="D916" t="s">
        <v>2591</v>
      </c>
      <c r="E916">
        <v>3</v>
      </c>
      <c r="F916">
        <v>69200</v>
      </c>
      <c r="G916">
        <v>0</v>
      </c>
      <c r="H916">
        <v>0</v>
      </c>
      <c r="I916" t="s">
        <v>2652</v>
      </c>
      <c r="J916" s="4">
        <f t="shared" si="42"/>
        <v>207600</v>
      </c>
      <c r="K916" s="4" t="str">
        <f t="shared" si="43"/>
        <v>2024-07</v>
      </c>
      <c r="L916" s="4" t="str">
        <f t="shared" si="44"/>
        <v>일</v>
      </c>
      <c r="M916" s="2" t="str">
        <f>VLOOKUP($C916, 고객정보!$A$2:$E$151, 2, FALSE)</f>
        <v>서울</v>
      </c>
      <c r="N916" t="str">
        <f>VLOOKUP(C916,고객정보!$A$2:$D$151,4,FALSE)</f>
        <v>L3</v>
      </c>
      <c r="O916" t="str">
        <f>VLOOKUP($C916, 고객정보!$A$2:$E$151, 5, FALSE)</f>
        <v>20대</v>
      </c>
      <c r="P916" t="str">
        <f>VLOOKUP(D916,상품정보!$A$2:$E$61,2,FALSE)</f>
        <v>셔츠</v>
      </c>
      <c r="Q916" t="str">
        <f>VLOOKUP(D916,상품정보!$A$2:$D$151,3,FALSE)</f>
        <v>의류</v>
      </c>
      <c r="R916" t="str">
        <f>VLOOKUP(D916,상품정보!$A$2:$D$151,4,FALSE)</f>
        <v>브랜드F</v>
      </c>
    </row>
    <row r="917" spans="1:18" x14ac:dyDescent="0.45">
      <c r="A917" t="s">
        <v>350</v>
      </c>
      <c r="B917" t="s">
        <v>1316</v>
      </c>
      <c r="C917" t="s">
        <v>2528</v>
      </c>
      <c r="D917" t="s">
        <v>2552</v>
      </c>
      <c r="E917">
        <v>4</v>
      </c>
      <c r="F917">
        <v>13300</v>
      </c>
      <c r="G917">
        <v>0</v>
      </c>
      <c r="H917">
        <v>0</v>
      </c>
      <c r="I917" t="s">
        <v>2652</v>
      </c>
      <c r="J917" s="4">
        <f t="shared" si="42"/>
        <v>53200</v>
      </c>
      <c r="K917" s="4" t="str">
        <f t="shared" si="43"/>
        <v>2025-01</v>
      </c>
      <c r="L917" s="4" t="str">
        <f t="shared" si="44"/>
        <v>월</v>
      </c>
      <c r="M917" s="2" t="str">
        <f>VLOOKUP($C917, 고객정보!$A$2:$E$151, 2, FALSE)</f>
        <v>광주</v>
      </c>
      <c r="N917" t="str">
        <f>VLOOKUP(C917,고객정보!$A$2:$D$151,4,FALSE)</f>
        <v>L3</v>
      </c>
      <c r="O917" t="str">
        <f>VLOOKUP($C917, 고객정보!$A$2:$E$151, 5, FALSE)</f>
        <v>10대</v>
      </c>
      <c r="P917" t="str">
        <f>VLOOKUP(D917,상품정보!$A$2:$E$61,2,FALSE)</f>
        <v>셔츠</v>
      </c>
      <c r="Q917" t="str">
        <f>VLOOKUP(D917,상품정보!$A$2:$D$151,3,FALSE)</f>
        <v>의류</v>
      </c>
      <c r="R917" t="str">
        <f>VLOOKUP(D917,상품정보!$A$2:$D$151,4,FALSE)</f>
        <v>브랜드E</v>
      </c>
    </row>
    <row r="918" spans="1:18" x14ac:dyDescent="0.45">
      <c r="A918" t="s">
        <v>53</v>
      </c>
      <c r="B918" t="s">
        <v>1317</v>
      </c>
      <c r="C918" t="s">
        <v>2525</v>
      </c>
      <c r="D918" t="s">
        <v>2593</v>
      </c>
      <c r="E918">
        <v>2</v>
      </c>
      <c r="F918">
        <v>74600</v>
      </c>
      <c r="G918">
        <v>1500</v>
      </c>
      <c r="H918">
        <v>0</v>
      </c>
      <c r="I918" t="s">
        <v>2652</v>
      </c>
      <c r="J918" s="4">
        <f t="shared" si="42"/>
        <v>150700</v>
      </c>
      <c r="K918" s="4" t="str">
        <f t="shared" si="43"/>
        <v>2024-02</v>
      </c>
      <c r="L918" s="4" t="str">
        <f t="shared" si="44"/>
        <v>월</v>
      </c>
      <c r="M918" s="2" t="str">
        <f>VLOOKUP($C918, 고객정보!$A$2:$E$151, 2, FALSE)</f>
        <v>수원</v>
      </c>
      <c r="N918" t="str">
        <f>VLOOKUP(C918,고객정보!$A$2:$D$151,4,FALSE)</f>
        <v>L4</v>
      </c>
      <c r="O918" t="str">
        <f>VLOOKUP($C918, 고객정보!$A$2:$E$151, 5, FALSE)</f>
        <v>20대</v>
      </c>
      <c r="P918" t="str">
        <f>VLOOKUP(D918,상품정보!$A$2:$E$61,2,FALSE)</f>
        <v>반팔 티셔츠</v>
      </c>
      <c r="Q918" t="str">
        <f>VLOOKUP(D918,상품정보!$A$2:$D$151,3,FALSE)</f>
        <v>의류</v>
      </c>
      <c r="R918" t="str">
        <f>VLOOKUP(D918,상품정보!$A$2:$D$151,4,FALSE)</f>
        <v>브랜드B</v>
      </c>
    </row>
    <row r="919" spans="1:18" x14ac:dyDescent="0.45">
      <c r="A919" t="s">
        <v>317</v>
      </c>
      <c r="B919" t="s">
        <v>1318</v>
      </c>
      <c r="C919" t="s">
        <v>2441</v>
      </c>
      <c r="D919" t="s">
        <v>2563</v>
      </c>
      <c r="E919">
        <v>1</v>
      </c>
      <c r="F919">
        <v>6900</v>
      </c>
      <c r="G919">
        <v>0</v>
      </c>
      <c r="H919">
        <v>0</v>
      </c>
      <c r="I919" t="s">
        <v>2652</v>
      </c>
      <c r="J919" s="4">
        <f t="shared" si="42"/>
        <v>6900</v>
      </c>
      <c r="K919" s="4" t="str">
        <f t="shared" si="43"/>
        <v>2024-11</v>
      </c>
      <c r="L919" s="4" t="str">
        <f t="shared" si="44"/>
        <v>금</v>
      </c>
      <c r="M919" s="2" t="str">
        <f>VLOOKUP($C919, 고객정보!$A$2:$E$151, 2, FALSE)</f>
        <v>부산</v>
      </c>
      <c r="N919" t="str">
        <f>VLOOKUP(C919,고객정보!$A$2:$D$151,4,FALSE)</f>
        <v>L2</v>
      </c>
      <c r="O919" t="str">
        <f>VLOOKUP($C919, 고객정보!$A$2:$E$151, 5, FALSE)</f>
        <v>20대</v>
      </c>
      <c r="P919" t="str">
        <f>VLOOKUP(D919,상품정보!$A$2:$E$61,2,FALSE)</f>
        <v>귀걸이</v>
      </c>
      <c r="Q919" t="str">
        <f>VLOOKUP(D919,상품정보!$A$2:$D$151,3,FALSE)</f>
        <v>액세서리</v>
      </c>
      <c r="R919" t="str">
        <f>VLOOKUP(D919,상품정보!$A$2:$D$151,4,FALSE)</f>
        <v>브랜드D</v>
      </c>
    </row>
    <row r="920" spans="1:18" x14ac:dyDescent="0.45">
      <c r="A920" t="s">
        <v>45</v>
      </c>
      <c r="B920" t="s">
        <v>1319</v>
      </c>
      <c r="C920" t="s">
        <v>2499</v>
      </c>
      <c r="D920" t="s">
        <v>2556</v>
      </c>
      <c r="E920">
        <v>3</v>
      </c>
      <c r="F920">
        <v>70100</v>
      </c>
      <c r="G920">
        <v>500</v>
      </c>
      <c r="H920">
        <v>2400</v>
      </c>
      <c r="I920" t="s">
        <v>2611</v>
      </c>
      <c r="J920" s="4">
        <f t="shared" si="42"/>
        <v>208400</v>
      </c>
      <c r="K920" s="4" t="str">
        <f t="shared" si="43"/>
        <v>2025-01</v>
      </c>
      <c r="L920" s="4" t="str">
        <f t="shared" si="44"/>
        <v>토</v>
      </c>
      <c r="M920" s="2" t="str">
        <f>VLOOKUP($C920, 고객정보!$A$2:$E$151, 2, FALSE)</f>
        <v>서울</v>
      </c>
      <c r="N920" t="str">
        <f>VLOOKUP(C920,고객정보!$A$2:$D$151,4,FALSE)</f>
        <v>L2</v>
      </c>
      <c r="O920" t="str">
        <f>VLOOKUP($C920, 고객정보!$A$2:$E$151, 5, FALSE)</f>
        <v>40대</v>
      </c>
      <c r="P920" t="str">
        <f>VLOOKUP(D920,상품정보!$A$2:$E$61,2,FALSE)</f>
        <v>핸드폰케이스</v>
      </c>
      <c r="Q920" t="str">
        <f>VLOOKUP(D920,상품정보!$A$2:$D$151,3,FALSE)</f>
        <v>액세서리</v>
      </c>
      <c r="R920" t="str">
        <f>VLOOKUP(D920,상품정보!$A$2:$D$151,4,FALSE)</f>
        <v>브랜드F</v>
      </c>
    </row>
    <row r="921" spans="1:18" x14ac:dyDescent="0.45">
      <c r="A921" t="s">
        <v>104</v>
      </c>
      <c r="B921" t="s">
        <v>1320</v>
      </c>
      <c r="C921" t="s">
        <v>2447</v>
      </c>
      <c r="D921" t="s">
        <v>2601</v>
      </c>
      <c r="E921">
        <v>2</v>
      </c>
      <c r="F921">
        <v>17000</v>
      </c>
      <c r="G921">
        <v>0</v>
      </c>
      <c r="H921">
        <v>0</v>
      </c>
      <c r="I921" t="s">
        <v>2652</v>
      </c>
      <c r="J921" s="4">
        <f t="shared" si="42"/>
        <v>34000</v>
      </c>
      <c r="K921" s="4" t="str">
        <f t="shared" si="43"/>
        <v>2024-07</v>
      </c>
      <c r="L921" s="4" t="str">
        <f t="shared" si="44"/>
        <v>월</v>
      </c>
      <c r="M921" s="2" t="str">
        <f>VLOOKUP($C921, 고객정보!$A$2:$E$151, 2, FALSE)</f>
        <v>대구</v>
      </c>
      <c r="N921" t="str">
        <f>VLOOKUP(C921,고객정보!$A$2:$D$151,4,FALSE)</f>
        <v>L1</v>
      </c>
      <c r="O921" t="str">
        <f>VLOOKUP($C921, 고객정보!$A$2:$E$151, 5, FALSE)</f>
        <v>10대</v>
      </c>
      <c r="P921" t="str">
        <f>VLOOKUP(D921,상품정보!$A$2:$E$61,2,FALSE)</f>
        <v>자켓</v>
      </c>
      <c r="Q921" t="str">
        <f>VLOOKUP(D921,상품정보!$A$2:$D$151,3,FALSE)</f>
        <v>의류</v>
      </c>
      <c r="R921" t="str">
        <f>VLOOKUP(D921,상품정보!$A$2:$D$151,4,FALSE)</f>
        <v>브랜드E</v>
      </c>
    </row>
    <row r="922" spans="1:18" x14ac:dyDescent="0.45">
      <c r="A922" t="s">
        <v>165</v>
      </c>
      <c r="B922" t="s">
        <v>1321</v>
      </c>
      <c r="C922" t="s">
        <v>2459</v>
      </c>
      <c r="D922" t="s">
        <v>2576</v>
      </c>
      <c r="E922">
        <v>2</v>
      </c>
      <c r="F922">
        <v>8800</v>
      </c>
      <c r="G922">
        <v>1000</v>
      </c>
      <c r="H922">
        <v>700</v>
      </c>
      <c r="I922" t="s">
        <v>2614</v>
      </c>
      <c r="J922" s="4">
        <f t="shared" si="42"/>
        <v>17900</v>
      </c>
      <c r="K922" s="4" t="str">
        <f t="shared" si="43"/>
        <v>2024-02</v>
      </c>
      <c r="L922" s="4" t="str">
        <f t="shared" si="44"/>
        <v>수</v>
      </c>
      <c r="M922" s="2" t="str">
        <f>VLOOKUP($C922, 고객정보!$A$2:$E$151, 2, FALSE)</f>
        <v>광주</v>
      </c>
      <c r="N922" t="str">
        <f>VLOOKUP(C922,고객정보!$A$2:$D$151,4,FALSE)</f>
        <v>L4</v>
      </c>
      <c r="O922" t="str">
        <f>VLOOKUP($C922, 고객정보!$A$2:$E$151, 5, FALSE)</f>
        <v>50대 이상</v>
      </c>
      <c r="P922" t="str">
        <f>VLOOKUP(D922,상품정보!$A$2:$E$61,2,FALSE)</f>
        <v>핸드폰케이스</v>
      </c>
      <c r="Q922" t="str">
        <f>VLOOKUP(D922,상품정보!$A$2:$D$151,3,FALSE)</f>
        <v>액세서리</v>
      </c>
      <c r="R922" t="str">
        <f>VLOOKUP(D922,상품정보!$A$2:$D$151,4,FALSE)</f>
        <v>브랜드D</v>
      </c>
    </row>
    <row r="923" spans="1:18" x14ac:dyDescent="0.45">
      <c r="A923" t="s">
        <v>358</v>
      </c>
      <c r="B923" t="s">
        <v>1322</v>
      </c>
      <c r="C923" t="s">
        <v>2527</v>
      </c>
      <c r="D923" t="s">
        <v>2552</v>
      </c>
      <c r="E923">
        <v>1</v>
      </c>
      <c r="F923">
        <v>13300</v>
      </c>
      <c r="G923">
        <v>1500</v>
      </c>
      <c r="H923">
        <v>0</v>
      </c>
      <c r="I923" t="s">
        <v>2652</v>
      </c>
      <c r="J923" s="4">
        <f t="shared" si="42"/>
        <v>14800</v>
      </c>
      <c r="K923" s="4" t="str">
        <f t="shared" si="43"/>
        <v>2024-10</v>
      </c>
      <c r="L923" s="4" t="str">
        <f t="shared" si="44"/>
        <v>월</v>
      </c>
      <c r="M923" s="2" t="str">
        <f>VLOOKUP($C923, 고객정보!$A$2:$E$151, 2, FALSE)</f>
        <v>광주</v>
      </c>
      <c r="N923" t="str">
        <f>VLOOKUP(C923,고객정보!$A$2:$D$151,4,FALSE)</f>
        <v>L2</v>
      </c>
      <c r="O923" t="str">
        <f>VLOOKUP($C923, 고객정보!$A$2:$E$151, 5, FALSE)</f>
        <v>30대</v>
      </c>
      <c r="P923" t="str">
        <f>VLOOKUP(D923,상품정보!$A$2:$E$61,2,FALSE)</f>
        <v>셔츠</v>
      </c>
      <c r="Q923" t="str">
        <f>VLOOKUP(D923,상품정보!$A$2:$D$151,3,FALSE)</f>
        <v>의류</v>
      </c>
      <c r="R923" t="str">
        <f>VLOOKUP(D923,상품정보!$A$2:$D$151,4,FALSE)</f>
        <v>브랜드E</v>
      </c>
    </row>
    <row r="924" spans="1:18" x14ac:dyDescent="0.45">
      <c r="A924" t="s">
        <v>352</v>
      </c>
      <c r="B924" t="s">
        <v>1323</v>
      </c>
      <c r="C924" t="s">
        <v>2496</v>
      </c>
      <c r="D924" t="s">
        <v>2603</v>
      </c>
      <c r="E924">
        <v>4</v>
      </c>
      <c r="F924">
        <v>8200</v>
      </c>
      <c r="G924">
        <v>1000</v>
      </c>
      <c r="H924">
        <v>2300</v>
      </c>
      <c r="I924" t="s">
        <v>2614</v>
      </c>
      <c r="J924" s="4">
        <f t="shared" si="42"/>
        <v>31500</v>
      </c>
      <c r="K924" s="4" t="str">
        <f t="shared" si="43"/>
        <v>2024-06</v>
      </c>
      <c r="L924" s="4" t="str">
        <f t="shared" si="44"/>
        <v>월</v>
      </c>
      <c r="M924" s="2" t="str">
        <f>VLOOKUP($C924, 고객정보!$A$2:$E$151, 2, FALSE)</f>
        <v>서울</v>
      </c>
      <c r="N924" t="str">
        <f>VLOOKUP(C924,고객정보!$A$2:$D$151,4,FALSE)</f>
        <v>L3</v>
      </c>
      <c r="O924" t="str">
        <f>VLOOKUP($C924, 고객정보!$A$2:$E$151, 5, FALSE)</f>
        <v>50대 이상</v>
      </c>
      <c r="P924" t="str">
        <f>VLOOKUP(D924,상품정보!$A$2:$E$61,2,FALSE)</f>
        <v>목걸이</v>
      </c>
      <c r="Q924" t="str">
        <f>VLOOKUP(D924,상품정보!$A$2:$D$151,3,FALSE)</f>
        <v>액세서리</v>
      </c>
      <c r="R924" t="str">
        <f>VLOOKUP(D924,상품정보!$A$2:$D$151,4,FALSE)</f>
        <v>브랜드E</v>
      </c>
    </row>
    <row r="925" spans="1:18" x14ac:dyDescent="0.45">
      <c r="A925" t="s">
        <v>172</v>
      </c>
      <c r="B925" t="s">
        <v>1324</v>
      </c>
      <c r="C925" t="s">
        <v>2430</v>
      </c>
      <c r="D925" t="s">
        <v>2585</v>
      </c>
      <c r="E925">
        <v>3</v>
      </c>
      <c r="F925">
        <v>14900</v>
      </c>
      <c r="G925">
        <v>0</v>
      </c>
      <c r="H925">
        <v>1300</v>
      </c>
      <c r="I925" t="s">
        <v>2614</v>
      </c>
      <c r="J925" s="4">
        <f t="shared" si="42"/>
        <v>43400</v>
      </c>
      <c r="K925" s="4" t="str">
        <f t="shared" si="43"/>
        <v>2024-11</v>
      </c>
      <c r="L925" s="4" t="str">
        <f t="shared" si="44"/>
        <v>화</v>
      </c>
      <c r="M925" s="2" t="str">
        <f>VLOOKUP($C925, 고객정보!$A$2:$E$151, 2, FALSE)</f>
        <v>광주</v>
      </c>
      <c r="N925" t="str">
        <f>VLOOKUP(C925,고객정보!$A$2:$D$151,4,FALSE)</f>
        <v>L4</v>
      </c>
      <c r="O925" t="str">
        <f>VLOOKUP($C925, 고객정보!$A$2:$E$151, 5, FALSE)</f>
        <v>30대</v>
      </c>
      <c r="P925" t="str">
        <f>VLOOKUP(D925,상품정보!$A$2:$E$61,2,FALSE)</f>
        <v>반팔 티셔츠</v>
      </c>
      <c r="Q925" t="str">
        <f>VLOOKUP(D925,상품정보!$A$2:$D$151,3,FALSE)</f>
        <v>의류</v>
      </c>
      <c r="R925" t="str">
        <f>VLOOKUP(D925,상품정보!$A$2:$D$151,4,FALSE)</f>
        <v>브랜드C</v>
      </c>
    </row>
    <row r="926" spans="1:18" x14ac:dyDescent="0.45">
      <c r="A926" t="s">
        <v>359</v>
      </c>
      <c r="B926" t="s">
        <v>1325</v>
      </c>
      <c r="C926" t="s">
        <v>2444</v>
      </c>
      <c r="D926" t="s">
        <v>2585</v>
      </c>
      <c r="E926">
        <v>5</v>
      </c>
      <c r="F926">
        <v>14900</v>
      </c>
      <c r="G926">
        <v>0</v>
      </c>
      <c r="H926">
        <v>0</v>
      </c>
      <c r="I926" t="s">
        <v>2652</v>
      </c>
      <c r="J926" s="4">
        <f t="shared" si="42"/>
        <v>74500</v>
      </c>
      <c r="K926" s="4" t="str">
        <f t="shared" si="43"/>
        <v>2024-11</v>
      </c>
      <c r="L926" s="4" t="str">
        <f t="shared" si="44"/>
        <v>일</v>
      </c>
      <c r="M926" s="2" t="str">
        <f>VLOOKUP($C926, 고객정보!$A$2:$E$151, 2, FALSE)</f>
        <v>서울</v>
      </c>
      <c r="N926" t="str">
        <f>VLOOKUP(C926,고객정보!$A$2:$D$151,4,FALSE)</f>
        <v>L4</v>
      </c>
      <c r="O926" t="str">
        <f>VLOOKUP($C926, 고객정보!$A$2:$E$151, 5, FALSE)</f>
        <v>40대</v>
      </c>
      <c r="P926" t="str">
        <f>VLOOKUP(D926,상품정보!$A$2:$E$61,2,FALSE)</f>
        <v>반팔 티셔츠</v>
      </c>
      <c r="Q926" t="str">
        <f>VLOOKUP(D926,상품정보!$A$2:$D$151,3,FALSE)</f>
        <v>의류</v>
      </c>
      <c r="R926" t="str">
        <f>VLOOKUP(D926,상품정보!$A$2:$D$151,4,FALSE)</f>
        <v>브랜드C</v>
      </c>
    </row>
    <row r="927" spans="1:18" x14ac:dyDescent="0.45">
      <c r="A927" t="s">
        <v>360</v>
      </c>
      <c r="B927" t="s">
        <v>1326</v>
      </c>
      <c r="C927" t="s">
        <v>2517</v>
      </c>
      <c r="D927" t="s">
        <v>2587</v>
      </c>
      <c r="E927">
        <v>1</v>
      </c>
      <c r="F927">
        <v>50200</v>
      </c>
      <c r="G927">
        <v>2000</v>
      </c>
      <c r="H927">
        <v>0</v>
      </c>
      <c r="I927" t="s">
        <v>2652</v>
      </c>
      <c r="J927" s="4">
        <f t="shared" si="42"/>
        <v>52200</v>
      </c>
      <c r="K927" s="4" t="str">
        <f t="shared" si="43"/>
        <v>2024-12</v>
      </c>
      <c r="L927" s="4" t="str">
        <f t="shared" si="44"/>
        <v>화</v>
      </c>
      <c r="M927" s="2" t="str">
        <f>VLOOKUP($C927, 고객정보!$A$2:$E$151, 2, FALSE)</f>
        <v>서울</v>
      </c>
      <c r="N927" t="str">
        <f>VLOOKUP(C927,고객정보!$A$2:$D$151,4,FALSE)</f>
        <v>L4</v>
      </c>
      <c r="O927" t="str">
        <f>VLOOKUP($C927, 고객정보!$A$2:$E$151, 5, FALSE)</f>
        <v>20대</v>
      </c>
      <c r="P927" t="str">
        <f>VLOOKUP(D927,상품정보!$A$2:$E$61,2,FALSE)</f>
        <v>반지</v>
      </c>
      <c r="Q927" t="str">
        <f>VLOOKUP(D927,상품정보!$A$2:$D$151,3,FALSE)</f>
        <v>액세서리</v>
      </c>
      <c r="R927" t="str">
        <f>VLOOKUP(D927,상품정보!$A$2:$D$151,4,FALSE)</f>
        <v>브랜드B</v>
      </c>
    </row>
    <row r="928" spans="1:18" x14ac:dyDescent="0.45">
      <c r="A928" t="s">
        <v>117</v>
      </c>
      <c r="B928" t="s">
        <v>1327</v>
      </c>
      <c r="C928" t="s">
        <v>2471</v>
      </c>
      <c r="D928" t="s">
        <v>2572</v>
      </c>
      <c r="E928">
        <v>5</v>
      </c>
      <c r="F928">
        <v>61700</v>
      </c>
      <c r="G928">
        <v>1500</v>
      </c>
      <c r="H928">
        <v>0</v>
      </c>
      <c r="I928" t="s">
        <v>2652</v>
      </c>
      <c r="J928" s="4">
        <f t="shared" si="42"/>
        <v>310000</v>
      </c>
      <c r="K928" s="4" t="str">
        <f t="shared" si="43"/>
        <v>2024-11</v>
      </c>
      <c r="L928" s="4" t="str">
        <f t="shared" si="44"/>
        <v>수</v>
      </c>
      <c r="M928" s="2" t="str">
        <f>VLOOKUP($C928, 고객정보!$A$2:$E$151, 2, FALSE)</f>
        <v>서울</v>
      </c>
      <c r="N928" t="str">
        <f>VLOOKUP(C928,고객정보!$A$2:$D$151,4,FALSE)</f>
        <v>L5</v>
      </c>
      <c r="O928" t="str">
        <f>VLOOKUP($C928, 고객정보!$A$2:$E$151, 5, FALSE)</f>
        <v>40대</v>
      </c>
      <c r="P928" t="str">
        <f>VLOOKUP(D928,상품정보!$A$2:$E$61,2,FALSE)</f>
        <v>반팔 티셔츠</v>
      </c>
      <c r="Q928" t="str">
        <f>VLOOKUP(D928,상품정보!$A$2:$D$151,3,FALSE)</f>
        <v>의류</v>
      </c>
      <c r="R928" t="str">
        <f>VLOOKUP(D928,상품정보!$A$2:$D$151,4,FALSE)</f>
        <v>브랜드F</v>
      </c>
    </row>
    <row r="929" spans="1:18" x14ac:dyDescent="0.45">
      <c r="A929" t="s">
        <v>231</v>
      </c>
      <c r="B929" t="s">
        <v>1328</v>
      </c>
      <c r="C929" t="s">
        <v>2484</v>
      </c>
      <c r="D929" t="s">
        <v>2555</v>
      </c>
      <c r="E929">
        <v>4</v>
      </c>
      <c r="F929">
        <v>8300</v>
      </c>
      <c r="G929">
        <v>0</v>
      </c>
      <c r="H929">
        <v>0</v>
      </c>
      <c r="I929" t="s">
        <v>2652</v>
      </c>
      <c r="J929" s="4">
        <f t="shared" si="42"/>
        <v>33200</v>
      </c>
      <c r="K929" s="4" t="str">
        <f t="shared" si="43"/>
        <v>2024-05</v>
      </c>
      <c r="L929" s="4" t="str">
        <f t="shared" si="44"/>
        <v>금</v>
      </c>
      <c r="M929" s="2" t="str">
        <f>VLOOKUP($C929, 고객정보!$A$2:$E$151, 2, FALSE)</f>
        <v>부산</v>
      </c>
      <c r="N929" t="str">
        <f>VLOOKUP(C929,고객정보!$A$2:$D$151,4,FALSE)</f>
        <v>L5</v>
      </c>
      <c r="O929" t="str">
        <f>VLOOKUP($C929, 고객정보!$A$2:$E$151, 5, FALSE)</f>
        <v>20대</v>
      </c>
      <c r="P929" t="str">
        <f>VLOOKUP(D929,상품정보!$A$2:$E$61,2,FALSE)</f>
        <v>청바지</v>
      </c>
      <c r="Q929" t="str">
        <f>VLOOKUP(D929,상품정보!$A$2:$D$151,3,FALSE)</f>
        <v>의류</v>
      </c>
      <c r="R929" t="str">
        <f>VLOOKUP(D929,상품정보!$A$2:$D$151,4,FALSE)</f>
        <v>브랜드E</v>
      </c>
    </row>
    <row r="930" spans="1:18" x14ac:dyDescent="0.45">
      <c r="A930" t="s">
        <v>126</v>
      </c>
      <c r="B930" t="s">
        <v>1329</v>
      </c>
      <c r="C930" t="s">
        <v>2455</v>
      </c>
      <c r="D930" t="s">
        <v>2577</v>
      </c>
      <c r="E930">
        <v>2</v>
      </c>
      <c r="F930">
        <v>10200</v>
      </c>
      <c r="G930">
        <v>0</v>
      </c>
      <c r="H930">
        <v>0</v>
      </c>
      <c r="I930" t="s">
        <v>2652</v>
      </c>
      <c r="J930" s="4">
        <f t="shared" si="42"/>
        <v>20400</v>
      </c>
      <c r="K930" s="4" t="str">
        <f t="shared" si="43"/>
        <v>2024-09</v>
      </c>
      <c r="L930" s="4" t="str">
        <f t="shared" si="44"/>
        <v>화</v>
      </c>
      <c r="M930" s="2" t="str">
        <f>VLOOKUP($C930, 고객정보!$A$2:$E$151, 2, FALSE)</f>
        <v>서울</v>
      </c>
      <c r="N930" t="str">
        <f>VLOOKUP(C930,고객정보!$A$2:$D$151,4,FALSE)</f>
        <v>L5</v>
      </c>
      <c r="O930" t="str">
        <f>VLOOKUP($C930, 고객정보!$A$2:$E$151, 5, FALSE)</f>
        <v>20대</v>
      </c>
      <c r="P930" t="str">
        <f>VLOOKUP(D930,상품정보!$A$2:$E$61,2,FALSE)</f>
        <v>셔츠</v>
      </c>
      <c r="Q930" t="str">
        <f>VLOOKUP(D930,상품정보!$A$2:$D$151,3,FALSE)</f>
        <v>의류</v>
      </c>
      <c r="R930" t="str">
        <f>VLOOKUP(D930,상품정보!$A$2:$D$151,4,FALSE)</f>
        <v>브랜드C</v>
      </c>
    </row>
    <row r="931" spans="1:18" x14ac:dyDescent="0.45">
      <c r="A931" t="s">
        <v>301</v>
      </c>
      <c r="B931" t="s">
        <v>1330</v>
      </c>
      <c r="C931" t="s">
        <v>2496</v>
      </c>
      <c r="D931" t="s">
        <v>2580</v>
      </c>
      <c r="E931">
        <v>2</v>
      </c>
      <c r="F931">
        <v>77800</v>
      </c>
      <c r="G931">
        <v>1000</v>
      </c>
      <c r="H931">
        <v>0</v>
      </c>
      <c r="I931" t="s">
        <v>2652</v>
      </c>
      <c r="J931" s="4">
        <f t="shared" si="42"/>
        <v>156600</v>
      </c>
      <c r="K931" s="4" t="str">
        <f t="shared" si="43"/>
        <v>2024-09</v>
      </c>
      <c r="L931" s="4" t="str">
        <f t="shared" si="44"/>
        <v>목</v>
      </c>
      <c r="M931" s="2" t="str">
        <f>VLOOKUP($C931, 고객정보!$A$2:$E$151, 2, FALSE)</f>
        <v>서울</v>
      </c>
      <c r="N931" t="str">
        <f>VLOOKUP(C931,고객정보!$A$2:$D$151,4,FALSE)</f>
        <v>L3</v>
      </c>
      <c r="O931" t="str">
        <f>VLOOKUP($C931, 고객정보!$A$2:$E$151, 5, FALSE)</f>
        <v>50대 이상</v>
      </c>
      <c r="P931" t="str">
        <f>VLOOKUP(D931,상품정보!$A$2:$E$61,2,FALSE)</f>
        <v>청바지</v>
      </c>
      <c r="Q931" t="str">
        <f>VLOOKUP(D931,상품정보!$A$2:$D$151,3,FALSE)</f>
        <v>의류</v>
      </c>
      <c r="R931" t="str">
        <f>VLOOKUP(D931,상품정보!$A$2:$D$151,4,FALSE)</f>
        <v>브랜드A</v>
      </c>
    </row>
    <row r="932" spans="1:18" x14ac:dyDescent="0.45">
      <c r="A932" t="s">
        <v>180</v>
      </c>
      <c r="B932" t="s">
        <v>1331</v>
      </c>
      <c r="C932" t="s">
        <v>2421</v>
      </c>
      <c r="D932" t="s">
        <v>2578</v>
      </c>
      <c r="E932">
        <v>1</v>
      </c>
      <c r="F932">
        <v>78000</v>
      </c>
      <c r="G932">
        <v>1000</v>
      </c>
      <c r="H932">
        <v>0</v>
      </c>
      <c r="I932" t="s">
        <v>2652</v>
      </c>
      <c r="J932" s="4">
        <f t="shared" si="42"/>
        <v>79000</v>
      </c>
      <c r="K932" s="4" t="str">
        <f t="shared" si="43"/>
        <v>2024-07</v>
      </c>
      <c r="L932" s="4" t="str">
        <f t="shared" si="44"/>
        <v>수</v>
      </c>
      <c r="M932" s="2" t="str">
        <f>VLOOKUP($C932, 고객정보!$A$2:$E$151, 2, FALSE)</f>
        <v>부산</v>
      </c>
      <c r="N932" t="str">
        <f>VLOOKUP(C932,고객정보!$A$2:$D$151,4,FALSE)</f>
        <v>L3</v>
      </c>
      <c r="O932" t="str">
        <f>VLOOKUP($C932, 고객정보!$A$2:$E$151, 5, FALSE)</f>
        <v>30대</v>
      </c>
      <c r="P932" t="str">
        <f>VLOOKUP(D932,상품정보!$A$2:$E$61,2,FALSE)</f>
        <v>귀걸이</v>
      </c>
      <c r="Q932" t="str">
        <f>VLOOKUP(D932,상품정보!$A$2:$D$151,3,FALSE)</f>
        <v>액세서리</v>
      </c>
      <c r="R932" t="str">
        <f>VLOOKUP(D932,상품정보!$A$2:$D$151,4,FALSE)</f>
        <v>브랜드B</v>
      </c>
    </row>
    <row r="933" spans="1:18" x14ac:dyDescent="0.45">
      <c r="A933" t="s">
        <v>82</v>
      </c>
      <c r="B933" t="s">
        <v>1332</v>
      </c>
      <c r="C933" t="s">
        <v>2546</v>
      </c>
      <c r="D933" t="s">
        <v>2552</v>
      </c>
      <c r="E933">
        <v>4</v>
      </c>
      <c r="F933">
        <v>13300</v>
      </c>
      <c r="G933">
        <v>0</v>
      </c>
      <c r="H933">
        <v>10100</v>
      </c>
      <c r="I933" t="s">
        <v>2612</v>
      </c>
      <c r="J933" s="4">
        <f t="shared" si="42"/>
        <v>43100</v>
      </c>
      <c r="K933" s="4" t="str">
        <f t="shared" si="43"/>
        <v>2024-10</v>
      </c>
      <c r="L933" s="4" t="str">
        <f t="shared" si="44"/>
        <v>금</v>
      </c>
      <c r="M933" s="2" t="str">
        <f>VLOOKUP($C933, 고객정보!$A$2:$E$151, 2, FALSE)</f>
        <v>인천</v>
      </c>
      <c r="N933" t="str">
        <f>VLOOKUP(C933,고객정보!$A$2:$D$151,4,FALSE)</f>
        <v>L4</v>
      </c>
      <c r="O933" t="str">
        <f>VLOOKUP($C933, 고객정보!$A$2:$E$151, 5, FALSE)</f>
        <v>50대 이상</v>
      </c>
      <c r="P933" t="str">
        <f>VLOOKUP(D933,상품정보!$A$2:$E$61,2,FALSE)</f>
        <v>셔츠</v>
      </c>
      <c r="Q933" t="str">
        <f>VLOOKUP(D933,상품정보!$A$2:$D$151,3,FALSE)</f>
        <v>의류</v>
      </c>
      <c r="R933" t="str">
        <f>VLOOKUP(D933,상품정보!$A$2:$D$151,4,FALSE)</f>
        <v>브랜드E</v>
      </c>
    </row>
    <row r="934" spans="1:18" x14ac:dyDescent="0.45">
      <c r="A934" t="s">
        <v>42</v>
      </c>
      <c r="B934" t="s">
        <v>1333</v>
      </c>
      <c r="C934" t="s">
        <v>2537</v>
      </c>
      <c r="D934" t="s">
        <v>2599</v>
      </c>
      <c r="E934">
        <v>5</v>
      </c>
      <c r="F934">
        <v>73800</v>
      </c>
      <c r="G934">
        <v>1500</v>
      </c>
      <c r="H934">
        <v>8600</v>
      </c>
      <c r="I934" t="s">
        <v>2614</v>
      </c>
      <c r="J934" s="4">
        <f t="shared" si="42"/>
        <v>361900</v>
      </c>
      <c r="K934" s="4" t="str">
        <f t="shared" si="43"/>
        <v>2024-12</v>
      </c>
      <c r="L934" s="4" t="str">
        <f t="shared" si="44"/>
        <v>일</v>
      </c>
      <c r="M934" s="2" t="str">
        <f>VLOOKUP($C934, 고객정보!$A$2:$E$151, 2, FALSE)</f>
        <v>광주</v>
      </c>
      <c r="N934" t="str">
        <f>VLOOKUP(C934,고객정보!$A$2:$D$151,4,FALSE)</f>
        <v>L2</v>
      </c>
      <c r="O934" t="str">
        <f>VLOOKUP($C934, 고객정보!$A$2:$E$151, 5, FALSE)</f>
        <v>40대</v>
      </c>
      <c r="P934" t="str">
        <f>VLOOKUP(D934,상품정보!$A$2:$E$61,2,FALSE)</f>
        <v>핸드폰케이스</v>
      </c>
      <c r="Q934" t="str">
        <f>VLOOKUP(D934,상품정보!$A$2:$D$151,3,FALSE)</f>
        <v>액세서리</v>
      </c>
      <c r="R934" t="str">
        <f>VLOOKUP(D934,상품정보!$A$2:$D$151,4,FALSE)</f>
        <v>브랜드F</v>
      </c>
    </row>
    <row r="935" spans="1:18" x14ac:dyDescent="0.45">
      <c r="A935" t="s">
        <v>93</v>
      </c>
      <c r="B935" t="s">
        <v>1334</v>
      </c>
      <c r="C935" t="s">
        <v>2536</v>
      </c>
      <c r="D935" t="s">
        <v>2557</v>
      </c>
      <c r="E935">
        <v>4</v>
      </c>
      <c r="F935">
        <v>77700</v>
      </c>
      <c r="G935">
        <v>0</v>
      </c>
      <c r="H935">
        <v>0</v>
      </c>
      <c r="I935" t="s">
        <v>2652</v>
      </c>
      <c r="J935" s="4">
        <f t="shared" si="42"/>
        <v>310800</v>
      </c>
      <c r="K935" s="4" t="str">
        <f t="shared" si="43"/>
        <v>2025-01</v>
      </c>
      <c r="L935" s="4" t="str">
        <f t="shared" si="44"/>
        <v>수</v>
      </c>
      <c r="M935" s="2" t="str">
        <f>VLOOKUP($C935, 고객정보!$A$2:$E$151, 2, FALSE)</f>
        <v>서울</v>
      </c>
      <c r="N935" t="str">
        <f>VLOOKUP(C935,고객정보!$A$2:$D$151,4,FALSE)</f>
        <v>L5</v>
      </c>
      <c r="O935" t="str">
        <f>VLOOKUP($C935, 고객정보!$A$2:$E$151, 5, FALSE)</f>
        <v>20대</v>
      </c>
      <c r="P935" t="str">
        <f>VLOOKUP(D935,상품정보!$A$2:$E$61,2,FALSE)</f>
        <v>귀걸이</v>
      </c>
      <c r="Q935" t="str">
        <f>VLOOKUP(D935,상품정보!$A$2:$D$151,3,FALSE)</f>
        <v>액세서리</v>
      </c>
      <c r="R935" t="str">
        <f>VLOOKUP(D935,상품정보!$A$2:$D$151,4,FALSE)</f>
        <v>브랜드B</v>
      </c>
    </row>
    <row r="936" spans="1:18" x14ac:dyDescent="0.45">
      <c r="A936" t="s">
        <v>252</v>
      </c>
      <c r="B936" t="s">
        <v>1335</v>
      </c>
      <c r="C936" t="s">
        <v>2421</v>
      </c>
      <c r="D936" t="s">
        <v>2551</v>
      </c>
      <c r="E936">
        <v>5</v>
      </c>
      <c r="F936">
        <v>66600</v>
      </c>
      <c r="G936">
        <v>500</v>
      </c>
      <c r="H936">
        <v>0</v>
      </c>
      <c r="I936" t="s">
        <v>2652</v>
      </c>
      <c r="J936" s="4">
        <f t="shared" si="42"/>
        <v>333500</v>
      </c>
      <c r="K936" s="4" t="str">
        <f t="shared" si="43"/>
        <v>2024-02</v>
      </c>
      <c r="L936" s="4" t="str">
        <f t="shared" si="44"/>
        <v>일</v>
      </c>
      <c r="M936" s="2" t="str">
        <f>VLOOKUP($C936, 고객정보!$A$2:$E$151, 2, FALSE)</f>
        <v>부산</v>
      </c>
      <c r="N936" t="str">
        <f>VLOOKUP(C936,고객정보!$A$2:$D$151,4,FALSE)</f>
        <v>L3</v>
      </c>
      <c r="O936" t="str">
        <f>VLOOKUP($C936, 고객정보!$A$2:$E$151, 5, FALSE)</f>
        <v>30대</v>
      </c>
      <c r="P936" t="str">
        <f>VLOOKUP(D936,상품정보!$A$2:$E$61,2,FALSE)</f>
        <v>반지</v>
      </c>
      <c r="Q936" t="str">
        <f>VLOOKUP(D936,상품정보!$A$2:$D$151,3,FALSE)</f>
        <v>액세서리</v>
      </c>
      <c r="R936" t="str">
        <f>VLOOKUP(D936,상품정보!$A$2:$D$151,4,FALSE)</f>
        <v>브랜드B</v>
      </c>
    </row>
    <row r="937" spans="1:18" x14ac:dyDescent="0.45">
      <c r="A937" t="s">
        <v>83</v>
      </c>
      <c r="B937" t="s">
        <v>1336</v>
      </c>
      <c r="C937" t="s">
        <v>2514</v>
      </c>
      <c r="D937" t="s">
        <v>2605</v>
      </c>
      <c r="E937">
        <v>2</v>
      </c>
      <c r="F937">
        <v>6800</v>
      </c>
      <c r="G937">
        <v>2000</v>
      </c>
      <c r="H937">
        <v>0</v>
      </c>
      <c r="I937" t="s">
        <v>2652</v>
      </c>
      <c r="J937" s="4">
        <f t="shared" si="42"/>
        <v>15600</v>
      </c>
      <c r="K937" s="4" t="str">
        <f t="shared" si="43"/>
        <v>2024-01</v>
      </c>
      <c r="L937" s="4" t="str">
        <f t="shared" si="44"/>
        <v>일</v>
      </c>
      <c r="M937" s="2" t="str">
        <f>VLOOKUP($C937, 고객정보!$A$2:$E$151, 2, FALSE)</f>
        <v>대구</v>
      </c>
      <c r="N937" t="str">
        <f>VLOOKUP(C937,고객정보!$A$2:$D$151,4,FALSE)</f>
        <v>L1</v>
      </c>
      <c r="O937" t="str">
        <f>VLOOKUP($C937, 고객정보!$A$2:$E$151, 5, FALSE)</f>
        <v>20대</v>
      </c>
      <c r="P937" t="str">
        <f>VLOOKUP(D937,상품정보!$A$2:$E$61,2,FALSE)</f>
        <v>핸드폰케이스</v>
      </c>
      <c r="Q937" t="str">
        <f>VLOOKUP(D937,상품정보!$A$2:$D$151,3,FALSE)</f>
        <v>액세서리</v>
      </c>
      <c r="R937" t="str">
        <f>VLOOKUP(D937,상품정보!$A$2:$D$151,4,FALSE)</f>
        <v>브랜드D</v>
      </c>
    </row>
    <row r="938" spans="1:18" x14ac:dyDescent="0.45">
      <c r="A938" t="s">
        <v>46</v>
      </c>
      <c r="B938" t="s">
        <v>1337</v>
      </c>
      <c r="C938" t="s">
        <v>2497</v>
      </c>
      <c r="D938" t="s">
        <v>2577</v>
      </c>
      <c r="E938">
        <v>4</v>
      </c>
      <c r="F938">
        <v>10200</v>
      </c>
      <c r="G938">
        <v>0</v>
      </c>
      <c r="H938">
        <v>0</v>
      </c>
      <c r="I938" t="s">
        <v>2652</v>
      </c>
      <c r="J938" s="4">
        <f t="shared" si="42"/>
        <v>40800</v>
      </c>
      <c r="K938" s="4" t="str">
        <f t="shared" si="43"/>
        <v>2024-09</v>
      </c>
      <c r="L938" s="4" t="str">
        <f t="shared" si="44"/>
        <v>월</v>
      </c>
      <c r="M938" s="2" t="str">
        <f>VLOOKUP($C938, 고객정보!$A$2:$E$151, 2, FALSE)</f>
        <v>서울</v>
      </c>
      <c r="N938" t="str">
        <f>VLOOKUP(C938,고객정보!$A$2:$D$151,4,FALSE)</f>
        <v>L3</v>
      </c>
      <c r="O938" t="str">
        <f>VLOOKUP($C938, 고객정보!$A$2:$E$151, 5, FALSE)</f>
        <v>10대</v>
      </c>
      <c r="P938" t="str">
        <f>VLOOKUP(D938,상품정보!$A$2:$E$61,2,FALSE)</f>
        <v>셔츠</v>
      </c>
      <c r="Q938" t="str">
        <f>VLOOKUP(D938,상품정보!$A$2:$D$151,3,FALSE)</f>
        <v>의류</v>
      </c>
      <c r="R938" t="str">
        <f>VLOOKUP(D938,상품정보!$A$2:$D$151,4,FALSE)</f>
        <v>브랜드C</v>
      </c>
    </row>
    <row r="939" spans="1:18" x14ac:dyDescent="0.45">
      <c r="A939" t="s">
        <v>135</v>
      </c>
      <c r="B939" t="s">
        <v>1338</v>
      </c>
      <c r="C939" t="s">
        <v>2547</v>
      </c>
      <c r="D939" t="s">
        <v>2601</v>
      </c>
      <c r="E939">
        <v>5</v>
      </c>
      <c r="F939">
        <v>17000</v>
      </c>
      <c r="G939">
        <v>0</v>
      </c>
      <c r="H939">
        <v>14900</v>
      </c>
      <c r="I939" t="s">
        <v>2614</v>
      </c>
      <c r="J939" s="4">
        <f t="shared" si="42"/>
        <v>70100</v>
      </c>
      <c r="K939" s="4" t="str">
        <f t="shared" si="43"/>
        <v>2025-01</v>
      </c>
      <c r="L939" s="4" t="str">
        <f t="shared" si="44"/>
        <v>월</v>
      </c>
      <c r="M939" s="2" t="str">
        <f>VLOOKUP($C939, 고객정보!$A$2:$E$151, 2, FALSE)</f>
        <v>광주</v>
      </c>
      <c r="N939" t="str">
        <f>VLOOKUP(C939,고객정보!$A$2:$D$151,4,FALSE)</f>
        <v>L2</v>
      </c>
      <c r="O939" t="str">
        <f>VLOOKUP($C939, 고객정보!$A$2:$E$151, 5, FALSE)</f>
        <v>20대</v>
      </c>
      <c r="P939" t="str">
        <f>VLOOKUP(D939,상품정보!$A$2:$E$61,2,FALSE)</f>
        <v>자켓</v>
      </c>
      <c r="Q939" t="str">
        <f>VLOOKUP(D939,상품정보!$A$2:$D$151,3,FALSE)</f>
        <v>의류</v>
      </c>
      <c r="R939" t="str">
        <f>VLOOKUP(D939,상품정보!$A$2:$D$151,4,FALSE)</f>
        <v>브랜드E</v>
      </c>
    </row>
    <row r="940" spans="1:18" x14ac:dyDescent="0.45">
      <c r="A940" t="s">
        <v>148</v>
      </c>
      <c r="B940" t="s">
        <v>1339</v>
      </c>
      <c r="C940" t="s">
        <v>2515</v>
      </c>
      <c r="D940" t="s">
        <v>2609</v>
      </c>
      <c r="E940">
        <v>4</v>
      </c>
      <c r="F940">
        <v>58600</v>
      </c>
      <c r="G940">
        <v>2000</v>
      </c>
      <c r="H940">
        <v>0</v>
      </c>
      <c r="I940" t="s">
        <v>2652</v>
      </c>
      <c r="J940" s="4">
        <f t="shared" si="42"/>
        <v>236400</v>
      </c>
      <c r="K940" s="4" t="str">
        <f t="shared" si="43"/>
        <v>2024-02</v>
      </c>
      <c r="L940" s="4" t="str">
        <f t="shared" si="44"/>
        <v>월</v>
      </c>
      <c r="M940" s="2" t="str">
        <f>VLOOKUP($C940, 고객정보!$A$2:$E$151, 2, FALSE)</f>
        <v>부산</v>
      </c>
      <c r="N940" t="str">
        <f>VLOOKUP(C940,고객정보!$A$2:$D$151,4,FALSE)</f>
        <v>L5</v>
      </c>
      <c r="O940" t="str">
        <f>VLOOKUP($C940, 고객정보!$A$2:$E$151, 5, FALSE)</f>
        <v>40대</v>
      </c>
      <c r="P940" t="str">
        <f>VLOOKUP(D940,상품정보!$A$2:$E$61,2,FALSE)</f>
        <v>목걸이</v>
      </c>
      <c r="Q940" t="str">
        <f>VLOOKUP(D940,상품정보!$A$2:$D$151,3,FALSE)</f>
        <v>액세서리</v>
      </c>
      <c r="R940" t="str">
        <f>VLOOKUP(D940,상품정보!$A$2:$D$151,4,FALSE)</f>
        <v>브랜드F</v>
      </c>
    </row>
    <row r="941" spans="1:18" x14ac:dyDescent="0.45">
      <c r="A941" t="s">
        <v>39</v>
      </c>
      <c r="B941" t="s">
        <v>1340</v>
      </c>
      <c r="C941" t="s">
        <v>2436</v>
      </c>
      <c r="D941" t="s">
        <v>2561</v>
      </c>
      <c r="E941">
        <v>5</v>
      </c>
      <c r="F941">
        <v>63300</v>
      </c>
      <c r="G941">
        <v>500</v>
      </c>
      <c r="H941">
        <v>0</v>
      </c>
      <c r="I941" t="s">
        <v>2652</v>
      </c>
      <c r="J941" s="4">
        <f t="shared" si="42"/>
        <v>317000</v>
      </c>
      <c r="K941" s="4" t="str">
        <f t="shared" si="43"/>
        <v>2024-03</v>
      </c>
      <c r="L941" s="4" t="str">
        <f t="shared" si="44"/>
        <v>화</v>
      </c>
      <c r="M941" s="2" t="str">
        <f>VLOOKUP($C941, 고객정보!$A$2:$E$151, 2, FALSE)</f>
        <v>인천</v>
      </c>
      <c r="N941" t="str">
        <f>VLOOKUP(C941,고객정보!$A$2:$D$151,4,FALSE)</f>
        <v>L4</v>
      </c>
      <c r="O941" t="str">
        <f>VLOOKUP($C941, 고객정보!$A$2:$E$151, 5, FALSE)</f>
        <v>10대</v>
      </c>
      <c r="P941" t="str">
        <f>VLOOKUP(D941,상품정보!$A$2:$E$61,2,FALSE)</f>
        <v>귀걸이</v>
      </c>
      <c r="Q941" t="str">
        <f>VLOOKUP(D941,상품정보!$A$2:$D$151,3,FALSE)</f>
        <v>액세서리</v>
      </c>
      <c r="R941" t="str">
        <f>VLOOKUP(D941,상품정보!$A$2:$D$151,4,FALSE)</f>
        <v>브랜드B</v>
      </c>
    </row>
    <row r="942" spans="1:18" x14ac:dyDescent="0.45">
      <c r="A942" t="s">
        <v>52</v>
      </c>
      <c r="B942" t="s">
        <v>1341</v>
      </c>
      <c r="C942" t="s">
        <v>2458</v>
      </c>
      <c r="D942" t="s">
        <v>2553</v>
      </c>
      <c r="E942">
        <v>3</v>
      </c>
      <c r="F942">
        <v>63400</v>
      </c>
      <c r="G942">
        <v>0</v>
      </c>
      <c r="H942">
        <v>0</v>
      </c>
      <c r="I942" t="s">
        <v>2652</v>
      </c>
      <c r="J942" s="4">
        <f t="shared" si="42"/>
        <v>190200</v>
      </c>
      <c r="K942" s="4" t="str">
        <f t="shared" si="43"/>
        <v>2024-02</v>
      </c>
      <c r="L942" s="4" t="str">
        <f t="shared" si="44"/>
        <v>토</v>
      </c>
      <c r="M942" s="2" t="str">
        <f>VLOOKUP($C942, 고객정보!$A$2:$E$151, 2, FALSE)</f>
        <v>서울</v>
      </c>
      <c r="N942" t="str">
        <f>VLOOKUP(C942,고객정보!$A$2:$D$151,4,FALSE)</f>
        <v>L1</v>
      </c>
      <c r="O942" t="str">
        <f>VLOOKUP($C942, 고객정보!$A$2:$E$151, 5, FALSE)</f>
        <v>20대</v>
      </c>
      <c r="P942" t="str">
        <f>VLOOKUP(D942,상품정보!$A$2:$E$61,2,FALSE)</f>
        <v>귀걸이</v>
      </c>
      <c r="Q942" t="str">
        <f>VLOOKUP(D942,상품정보!$A$2:$D$151,3,FALSE)</f>
        <v>액세서리</v>
      </c>
      <c r="R942" t="str">
        <f>VLOOKUP(D942,상품정보!$A$2:$D$151,4,FALSE)</f>
        <v>브랜드F</v>
      </c>
    </row>
    <row r="943" spans="1:18" x14ac:dyDescent="0.45">
      <c r="A943" t="s">
        <v>16</v>
      </c>
      <c r="B943" t="s">
        <v>1342</v>
      </c>
      <c r="C943" t="s">
        <v>2484</v>
      </c>
      <c r="D943" t="s">
        <v>2582</v>
      </c>
      <c r="E943">
        <v>2</v>
      </c>
      <c r="F943">
        <v>12500</v>
      </c>
      <c r="G943">
        <v>1000</v>
      </c>
      <c r="H943">
        <v>0</v>
      </c>
      <c r="I943" t="s">
        <v>2652</v>
      </c>
      <c r="J943" s="4">
        <f t="shared" si="42"/>
        <v>26000</v>
      </c>
      <c r="K943" s="4" t="str">
        <f t="shared" si="43"/>
        <v>2024-03</v>
      </c>
      <c r="L943" s="4" t="str">
        <f t="shared" si="44"/>
        <v>수</v>
      </c>
      <c r="M943" s="2" t="str">
        <f>VLOOKUP($C943, 고객정보!$A$2:$E$151, 2, FALSE)</f>
        <v>부산</v>
      </c>
      <c r="N943" t="str">
        <f>VLOOKUP(C943,고객정보!$A$2:$D$151,4,FALSE)</f>
        <v>L5</v>
      </c>
      <c r="O943" t="str">
        <f>VLOOKUP($C943, 고객정보!$A$2:$E$151, 5, FALSE)</f>
        <v>20대</v>
      </c>
      <c r="P943" t="str">
        <f>VLOOKUP(D943,상품정보!$A$2:$E$61,2,FALSE)</f>
        <v>셔츠</v>
      </c>
      <c r="Q943" t="str">
        <f>VLOOKUP(D943,상품정보!$A$2:$D$151,3,FALSE)</f>
        <v>의류</v>
      </c>
      <c r="R943" t="str">
        <f>VLOOKUP(D943,상품정보!$A$2:$D$151,4,FALSE)</f>
        <v>브랜드D</v>
      </c>
    </row>
    <row r="944" spans="1:18" x14ac:dyDescent="0.45">
      <c r="A944" t="s">
        <v>201</v>
      </c>
      <c r="B944" t="s">
        <v>1343</v>
      </c>
      <c r="C944" t="s">
        <v>2436</v>
      </c>
      <c r="D944" t="s">
        <v>2597</v>
      </c>
      <c r="E944">
        <v>4</v>
      </c>
      <c r="F944">
        <v>65300</v>
      </c>
      <c r="G944">
        <v>1000</v>
      </c>
      <c r="H944">
        <v>0</v>
      </c>
      <c r="I944" t="s">
        <v>2652</v>
      </c>
      <c r="J944" s="4">
        <f t="shared" si="42"/>
        <v>262200</v>
      </c>
      <c r="K944" s="4" t="str">
        <f t="shared" si="43"/>
        <v>2024-10</v>
      </c>
      <c r="L944" s="4" t="str">
        <f t="shared" si="44"/>
        <v>일</v>
      </c>
      <c r="M944" s="2" t="str">
        <f>VLOOKUP($C944, 고객정보!$A$2:$E$151, 2, FALSE)</f>
        <v>인천</v>
      </c>
      <c r="N944" t="str">
        <f>VLOOKUP(C944,고객정보!$A$2:$D$151,4,FALSE)</f>
        <v>L4</v>
      </c>
      <c r="O944" t="str">
        <f>VLOOKUP($C944, 고객정보!$A$2:$E$151, 5, FALSE)</f>
        <v>10대</v>
      </c>
      <c r="P944" t="str">
        <f>VLOOKUP(D944,상품정보!$A$2:$E$61,2,FALSE)</f>
        <v>반지</v>
      </c>
      <c r="Q944" t="str">
        <f>VLOOKUP(D944,상품정보!$A$2:$D$151,3,FALSE)</f>
        <v>액세서리</v>
      </c>
      <c r="R944" t="str">
        <f>VLOOKUP(D944,상품정보!$A$2:$D$151,4,FALSE)</f>
        <v>브랜드F</v>
      </c>
    </row>
    <row r="945" spans="1:18" x14ac:dyDescent="0.45">
      <c r="A945" t="s">
        <v>65</v>
      </c>
      <c r="B945" t="s">
        <v>1344</v>
      </c>
      <c r="C945" t="s">
        <v>2433</v>
      </c>
      <c r="D945" t="s">
        <v>2600</v>
      </c>
      <c r="E945">
        <v>4</v>
      </c>
      <c r="F945">
        <v>10900</v>
      </c>
      <c r="G945">
        <v>0</v>
      </c>
      <c r="H945">
        <v>8200</v>
      </c>
      <c r="I945" t="s">
        <v>2614</v>
      </c>
      <c r="J945" s="4">
        <f t="shared" si="42"/>
        <v>35400</v>
      </c>
      <c r="K945" s="4" t="str">
        <f t="shared" si="43"/>
        <v>2025-01</v>
      </c>
      <c r="L945" s="4" t="str">
        <f t="shared" si="44"/>
        <v>수</v>
      </c>
      <c r="M945" s="2" t="str">
        <f>VLOOKUP($C945, 고객정보!$A$2:$E$151, 2, FALSE)</f>
        <v>부산</v>
      </c>
      <c r="N945" t="str">
        <f>VLOOKUP(C945,고객정보!$A$2:$D$151,4,FALSE)</f>
        <v>L3</v>
      </c>
      <c r="O945" t="str">
        <f>VLOOKUP($C945, 고객정보!$A$2:$E$151, 5, FALSE)</f>
        <v>10대</v>
      </c>
      <c r="P945" t="str">
        <f>VLOOKUP(D945,상품정보!$A$2:$E$61,2,FALSE)</f>
        <v>셔츠</v>
      </c>
      <c r="Q945" t="str">
        <f>VLOOKUP(D945,상품정보!$A$2:$D$151,3,FALSE)</f>
        <v>의류</v>
      </c>
      <c r="R945" t="str">
        <f>VLOOKUP(D945,상품정보!$A$2:$D$151,4,FALSE)</f>
        <v>브랜드E</v>
      </c>
    </row>
    <row r="946" spans="1:18" x14ac:dyDescent="0.45">
      <c r="A946" t="s">
        <v>165</v>
      </c>
      <c r="B946" t="s">
        <v>1345</v>
      </c>
      <c r="C946" t="s">
        <v>2509</v>
      </c>
      <c r="D946" t="s">
        <v>2596</v>
      </c>
      <c r="E946">
        <v>2</v>
      </c>
      <c r="F946">
        <v>59700</v>
      </c>
      <c r="G946">
        <v>500</v>
      </c>
      <c r="H946">
        <v>0</v>
      </c>
      <c r="I946" t="s">
        <v>2652</v>
      </c>
      <c r="J946" s="4">
        <f t="shared" si="42"/>
        <v>119900</v>
      </c>
      <c r="K946" s="4" t="str">
        <f t="shared" si="43"/>
        <v>2024-02</v>
      </c>
      <c r="L946" s="4" t="str">
        <f t="shared" si="44"/>
        <v>수</v>
      </c>
      <c r="M946" s="2" t="str">
        <f>VLOOKUP($C946, 고객정보!$A$2:$E$151, 2, FALSE)</f>
        <v>서울</v>
      </c>
      <c r="N946" t="str">
        <f>VLOOKUP(C946,고객정보!$A$2:$D$151,4,FALSE)</f>
        <v>L4</v>
      </c>
      <c r="O946" t="str">
        <f>VLOOKUP($C946, 고객정보!$A$2:$E$151, 5, FALSE)</f>
        <v>40대</v>
      </c>
      <c r="P946" t="str">
        <f>VLOOKUP(D946,상품정보!$A$2:$E$61,2,FALSE)</f>
        <v>청바지</v>
      </c>
      <c r="Q946" t="str">
        <f>VLOOKUP(D946,상품정보!$A$2:$D$151,3,FALSE)</f>
        <v>의류</v>
      </c>
      <c r="R946" t="str">
        <f>VLOOKUP(D946,상품정보!$A$2:$D$151,4,FALSE)</f>
        <v>브랜드A</v>
      </c>
    </row>
    <row r="947" spans="1:18" x14ac:dyDescent="0.45">
      <c r="A947" t="s">
        <v>361</v>
      </c>
      <c r="B947" t="s">
        <v>1346</v>
      </c>
      <c r="C947" t="s">
        <v>2485</v>
      </c>
      <c r="D947" t="s">
        <v>2580</v>
      </c>
      <c r="E947">
        <v>4</v>
      </c>
      <c r="F947">
        <v>77800</v>
      </c>
      <c r="G947">
        <v>2000</v>
      </c>
      <c r="H947">
        <v>0</v>
      </c>
      <c r="I947" t="s">
        <v>2652</v>
      </c>
      <c r="J947" s="4">
        <f t="shared" si="42"/>
        <v>313200</v>
      </c>
      <c r="K947" s="4" t="str">
        <f t="shared" si="43"/>
        <v>2024-11</v>
      </c>
      <c r="L947" s="4" t="str">
        <f t="shared" si="44"/>
        <v>토</v>
      </c>
      <c r="M947" s="2" t="str">
        <f>VLOOKUP($C947, 고객정보!$A$2:$E$151, 2, FALSE)</f>
        <v>서울</v>
      </c>
      <c r="N947" t="str">
        <f>VLOOKUP(C947,고객정보!$A$2:$D$151,4,FALSE)</f>
        <v>L4</v>
      </c>
      <c r="O947" t="str">
        <f>VLOOKUP($C947, 고객정보!$A$2:$E$151, 5, FALSE)</f>
        <v>40대</v>
      </c>
      <c r="P947" t="str">
        <f>VLOOKUP(D947,상품정보!$A$2:$E$61,2,FALSE)</f>
        <v>청바지</v>
      </c>
      <c r="Q947" t="str">
        <f>VLOOKUP(D947,상품정보!$A$2:$D$151,3,FALSE)</f>
        <v>의류</v>
      </c>
      <c r="R947" t="str">
        <f>VLOOKUP(D947,상품정보!$A$2:$D$151,4,FALSE)</f>
        <v>브랜드A</v>
      </c>
    </row>
    <row r="948" spans="1:18" x14ac:dyDescent="0.45">
      <c r="A948" t="s">
        <v>178</v>
      </c>
      <c r="B948" t="s">
        <v>1347</v>
      </c>
      <c r="C948" t="s">
        <v>2443</v>
      </c>
      <c r="D948" t="s">
        <v>2600</v>
      </c>
      <c r="E948">
        <v>2</v>
      </c>
      <c r="F948">
        <v>10900</v>
      </c>
      <c r="G948">
        <v>0</v>
      </c>
      <c r="H948">
        <v>0</v>
      </c>
      <c r="I948" t="s">
        <v>2652</v>
      </c>
      <c r="J948" s="4">
        <f t="shared" si="42"/>
        <v>21800</v>
      </c>
      <c r="K948" s="4" t="str">
        <f t="shared" si="43"/>
        <v>2024-03</v>
      </c>
      <c r="L948" s="4" t="str">
        <f t="shared" si="44"/>
        <v>토</v>
      </c>
      <c r="M948" s="2" t="str">
        <f>VLOOKUP($C948, 고객정보!$A$2:$E$151, 2, FALSE)</f>
        <v>서울</v>
      </c>
      <c r="N948" t="str">
        <f>VLOOKUP(C948,고객정보!$A$2:$D$151,4,FALSE)</f>
        <v>L4</v>
      </c>
      <c r="O948" t="str">
        <f>VLOOKUP($C948, 고객정보!$A$2:$E$151, 5, FALSE)</f>
        <v>30대</v>
      </c>
      <c r="P948" t="str">
        <f>VLOOKUP(D948,상품정보!$A$2:$E$61,2,FALSE)</f>
        <v>셔츠</v>
      </c>
      <c r="Q948" t="str">
        <f>VLOOKUP(D948,상품정보!$A$2:$D$151,3,FALSE)</f>
        <v>의류</v>
      </c>
      <c r="R948" t="str">
        <f>VLOOKUP(D948,상품정보!$A$2:$D$151,4,FALSE)</f>
        <v>브랜드E</v>
      </c>
    </row>
    <row r="949" spans="1:18" x14ac:dyDescent="0.45">
      <c r="A949" t="s">
        <v>27</v>
      </c>
      <c r="B949" t="s">
        <v>1348</v>
      </c>
      <c r="C949" t="s">
        <v>2514</v>
      </c>
      <c r="D949" t="s">
        <v>2588</v>
      </c>
      <c r="E949">
        <v>2</v>
      </c>
      <c r="F949">
        <v>7700</v>
      </c>
      <c r="G949">
        <v>0</v>
      </c>
      <c r="H949">
        <v>4500</v>
      </c>
      <c r="I949" t="s">
        <v>2611</v>
      </c>
      <c r="J949" s="4">
        <f t="shared" si="42"/>
        <v>10900</v>
      </c>
      <c r="K949" s="4" t="str">
        <f t="shared" si="43"/>
        <v>2024-12</v>
      </c>
      <c r="L949" s="4" t="str">
        <f t="shared" si="44"/>
        <v>수</v>
      </c>
      <c r="M949" s="2" t="str">
        <f>VLOOKUP($C949, 고객정보!$A$2:$E$151, 2, FALSE)</f>
        <v>대구</v>
      </c>
      <c r="N949" t="str">
        <f>VLOOKUP(C949,고객정보!$A$2:$D$151,4,FALSE)</f>
        <v>L1</v>
      </c>
      <c r="O949" t="str">
        <f>VLOOKUP($C949, 고객정보!$A$2:$E$151, 5, FALSE)</f>
        <v>20대</v>
      </c>
      <c r="P949" t="str">
        <f>VLOOKUP(D949,상품정보!$A$2:$E$61,2,FALSE)</f>
        <v>귀걸이</v>
      </c>
      <c r="Q949" t="str">
        <f>VLOOKUP(D949,상품정보!$A$2:$D$151,3,FALSE)</f>
        <v>액세서리</v>
      </c>
      <c r="R949" t="str">
        <f>VLOOKUP(D949,상품정보!$A$2:$D$151,4,FALSE)</f>
        <v>브랜드D</v>
      </c>
    </row>
    <row r="950" spans="1:18" x14ac:dyDescent="0.45">
      <c r="A950" t="s">
        <v>306</v>
      </c>
      <c r="B950" t="s">
        <v>1349</v>
      </c>
      <c r="C950" t="s">
        <v>2435</v>
      </c>
      <c r="D950" t="s">
        <v>2566</v>
      </c>
      <c r="E950">
        <v>4</v>
      </c>
      <c r="F950">
        <v>60600</v>
      </c>
      <c r="G950">
        <v>0</v>
      </c>
      <c r="H950">
        <v>5000</v>
      </c>
      <c r="I950" t="s">
        <v>2614</v>
      </c>
      <c r="J950" s="4">
        <f t="shared" si="42"/>
        <v>237400</v>
      </c>
      <c r="K950" s="4" t="str">
        <f t="shared" si="43"/>
        <v>2024-06</v>
      </c>
      <c r="L950" s="4" t="str">
        <f t="shared" si="44"/>
        <v>수</v>
      </c>
      <c r="M950" s="2" t="str">
        <f>VLOOKUP($C950, 고객정보!$A$2:$E$151, 2, FALSE)</f>
        <v>인천</v>
      </c>
      <c r="N950" t="str">
        <f>VLOOKUP(C950,고객정보!$A$2:$D$151,4,FALSE)</f>
        <v>L5</v>
      </c>
      <c r="O950" t="str">
        <f>VLOOKUP($C950, 고객정보!$A$2:$E$151, 5, FALSE)</f>
        <v>30대</v>
      </c>
      <c r="P950" t="str">
        <f>VLOOKUP(D950,상품정보!$A$2:$E$61,2,FALSE)</f>
        <v>반팔 티셔츠</v>
      </c>
      <c r="Q950" t="str">
        <f>VLOOKUP(D950,상품정보!$A$2:$D$151,3,FALSE)</f>
        <v>의류</v>
      </c>
      <c r="R950" t="str">
        <f>VLOOKUP(D950,상품정보!$A$2:$D$151,4,FALSE)</f>
        <v>브랜드A</v>
      </c>
    </row>
    <row r="951" spans="1:18" x14ac:dyDescent="0.45">
      <c r="A951" t="s">
        <v>73</v>
      </c>
      <c r="B951" t="s">
        <v>1350</v>
      </c>
      <c r="C951" t="s">
        <v>2468</v>
      </c>
      <c r="D951" t="s">
        <v>2578</v>
      </c>
      <c r="E951">
        <v>3</v>
      </c>
      <c r="F951">
        <v>78000</v>
      </c>
      <c r="G951">
        <v>0</v>
      </c>
      <c r="H951">
        <v>0</v>
      </c>
      <c r="I951" t="s">
        <v>2652</v>
      </c>
      <c r="J951" s="4">
        <f t="shared" si="42"/>
        <v>234000</v>
      </c>
      <c r="K951" s="4" t="str">
        <f t="shared" si="43"/>
        <v>2024-03</v>
      </c>
      <c r="L951" s="4" t="str">
        <f t="shared" si="44"/>
        <v>화</v>
      </c>
      <c r="M951" s="2" t="str">
        <f>VLOOKUP($C951, 고객정보!$A$2:$E$151, 2, FALSE)</f>
        <v>부산</v>
      </c>
      <c r="N951" t="str">
        <f>VLOOKUP(C951,고객정보!$A$2:$D$151,4,FALSE)</f>
        <v>L5</v>
      </c>
      <c r="O951" t="str">
        <f>VLOOKUP($C951, 고객정보!$A$2:$E$151, 5, FALSE)</f>
        <v>20대</v>
      </c>
      <c r="P951" t="str">
        <f>VLOOKUP(D951,상품정보!$A$2:$E$61,2,FALSE)</f>
        <v>귀걸이</v>
      </c>
      <c r="Q951" t="str">
        <f>VLOOKUP(D951,상품정보!$A$2:$D$151,3,FALSE)</f>
        <v>액세서리</v>
      </c>
      <c r="R951" t="str">
        <f>VLOOKUP(D951,상품정보!$A$2:$D$151,4,FALSE)</f>
        <v>브랜드B</v>
      </c>
    </row>
    <row r="952" spans="1:18" x14ac:dyDescent="0.45">
      <c r="A952" t="s">
        <v>291</v>
      </c>
      <c r="B952" t="s">
        <v>1351</v>
      </c>
      <c r="C952" t="s">
        <v>2440</v>
      </c>
      <c r="D952" t="s">
        <v>2552</v>
      </c>
      <c r="E952">
        <v>3</v>
      </c>
      <c r="F952">
        <v>13300</v>
      </c>
      <c r="G952">
        <v>500</v>
      </c>
      <c r="H952">
        <v>0</v>
      </c>
      <c r="I952" t="s">
        <v>2652</v>
      </c>
      <c r="J952" s="4">
        <f t="shared" si="42"/>
        <v>40400</v>
      </c>
      <c r="K952" s="4" t="str">
        <f t="shared" si="43"/>
        <v>2025-01</v>
      </c>
      <c r="L952" s="4" t="str">
        <f t="shared" si="44"/>
        <v>금</v>
      </c>
      <c r="M952" s="2" t="str">
        <f>VLOOKUP($C952, 고객정보!$A$2:$E$151, 2, FALSE)</f>
        <v>대구</v>
      </c>
      <c r="N952" t="str">
        <f>VLOOKUP(C952,고객정보!$A$2:$D$151,4,FALSE)</f>
        <v>L2</v>
      </c>
      <c r="O952" t="str">
        <f>VLOOKUP($C952, 고객정보!$A$2:$E$151, 5, FALSE)</f>
        <v>10대</v>
      </c>
      <c r="P952" t="str">
        <f>VLOOKUP(D952,상품정보!$A$2:$E$61,2,FALSE)</f>
        <v>셔츠</v>
      </c>
      <c r="Q952" t="str">
        <f>VLOOKUP(D952,상품정보!$A$2:$D$151,3,FALSE)</f>
        <v>의류</v>
      </c>
      <c r="R952" t="str">
        <f>VLOOKUP(D952,상품정보!$A$2:$D$151,4,FALSE)</f>
        <v>브랜드E</v>
      </c>
    </row>
    <row r="953" spans="1:18" x14ac:dyDescent="0.45">
      <c r="A953" t="s">
        <v>121</v>
      </c>
      <c r="B953" t="s">
        <v>1352</v>
      </c>
      <c r="C953" t="s">
        <v>2449</v>
      </c>
      <c r="D953" t="s">
        <v>2587</v>
      </c>
      <c r="E953">
        <v>1</v>
      </c>
      <c r="F953">
        <v>50200</v>
      </c>
      <c r="G953">
        <v>0</v>
      </c>
      <c r="H953">
        <v>0</v>
      </c>
      <c r="I953" t="s">
        <v>2652</v>
      </c>
      <c r="J953" s="4">
        <f t="shared" si="42"/>
        <v>50200</v>
      </c>
      <c r="K953" s="4" t="str">
        <f t="shared" si="43"/>
        <v>2024-06</v>
      </c>
      <c r="L953" s="4" t="str">
        <f t="shared" si="44"/>
        <v>목</v>
      </c>
      <c r="M953" s="2" t="str">
        <f>VLOOKUP($C953, 고객정보!$A$2:$E$151, 2, FALSE)</f>
        <v>대구</v>
      </c>
      <c r="N953" t="str">
        <f>VLOOKUP(C953,고객정보!$A$2:$D$151,4,FALSE)</f>
        <v>L5</v>
      </c>
      <c r="O953" t="str">
        <f>VLOOKUP($C953, 고객정보!$A$2:$E$151, 5, FALSE)</f>
        <v>40대</v>
      </c>
      <c r="P953" t="str">
        <f>VLOOKUP(D953,상품정보!$A$2:$E$61,2,FALSE)</f>
        <v>반지</v>
      </c>
      <c r="Q953" t="str">
        <f>VLOOKUP(D953,상품정보!$A$2:$D$151,3,FALSE)</f>
        <v>액세서리</v>
      </c>
      <c r="R953" t="str">
        <f>VLOOKUP(D953,상품정보!$A$2:$D$151,4,FALSE)</f>
        <v>브랜드B</v>
      </c>
    </row>
    <row r="954" spans="1:18" x14ac:dyDescent="0.45">
      <c r="A954" t="s">
        <v>59</v>
      </c>
      <c r="B954" t="s">
        <v>1353</v>
      </c>
      <c r="C954" t="s">
        <v>2501</v>
      </c>
      <c r="D954" t="s">
        <v>2565</v>
      </c>
      <c r="E954">
        <v>5</v>
      </c>
      <c r="F954">
        <v>50000</v>
      </c>
      <c r="G954">
        <v>500</v>
      </c>
      <c r="H954">
        <v>0</v>
      </c>
      <c r="I954" t="s">
        <v>2652</v>
      </c>
      <c r="J954" s="4">
        <f t="shared" si="42"/>
        <v>250500</v>
      </c>
      <c r="K954" s="4" t="str">
        <f t="shared" si="43"/>
        <v>2024-02</v>
      </c>
      <c r="L954" s="4" t="str">
        <f t="shared" si="44"/>
        <v>금</v>
      </c>
      <c r="M954" s="2" t="str">
        <f>VLOOKUP($C954, 고객정보!$A$2:$E$151, 2, FALSE)</f>
        <v>서울</v>
      </c>
      <c r="N954" t="str">
        <f>VLOOKUP(C954,고객정보!$A$2:$D$151,4,FALSE)</f>
        <v>L4</v>
      </c>
      <c r="O954" t="str">
        <f>VLOOKUP($C954, 고객정보!$A$2:$E$151, 5, FALSE)</f>
        <v>50대 이상</v>
      </c>
      <c r="P954" t="str">
        <f>VLOOKUP(D954,상품정보!$A$2:$E$61,2,FALSE)</f>
        <v>핸드폰케이스</v>
      </c>
      <c r="Q954" t="str">
        <f>VLOOKUP(D954,상품정보!$A$2:$D$151,3,FALSE)</f>
        <v>액세서리</v>
      </c>
      <c r="R954" t="str">
        <f>VLOOKUP(D954,상품정보!$A$2:$D$151,4,FALSE)</f>
        <v>브랜드B</v>
      </c>
    </row>
    <row r="955" spans="1:18" x14ac:dyDescent="0.45">
      <c r="A955" t="s">
        <v>21</v>
      </c>
      <c r="B955" t="s">
        <v>1354</v>
      </c>
      <c r="C955" t="s">
        <v>2428</v>
      </c>
      <c r="D955" t="s">
        <v>2588</v>
      </c>
      <c r="E955">
        <v>5</v>
      </c>
      <c r="F955">
        <v>7700</v>
      </c>
      <c r="G955">
        <v>1000</v>
      </c>
      <c r="H955">
        <v>200</v>
      </c>
      <c r="I955" t="s">
        <v>2611</v>
      </c>
      <c r="J955" s="4">
        <f t="shared" si="42"/>
        <v>39300</v>
      </c>
      <c r="K955" s="4" t="str">
        <f t="shared" si="43"/>
        <v>2024-11</v>
      </c>
      <c r="L955" s="4" t="str">
        <f t="shared" si="44"/>
        <v>일</v>
      </c>
      <c r="M955" s="2" t="str">
        <f>VLOOKUP($C955, 고객정보!$A$2:$E$151, 2, FALSE)</f>
        <v>광주</v>
      </c>
      <c r="N955" t="str">
        <f>VLOOKUP(C955,고객정보!$A$2:$D$151,4,FALSE)</f>
        <v>L4</v>
      </c>
      <c r="O955" t="str">
        <f>VLOOKUP($C955, 고객정보!$A$2:$E$151, 5, FALSE)</f>
        <v>10대</v>
      </c>
      <c r="P955" t="str">
        <f>VLOOKUP(D955,상품정보!$A$2:$E$61,2,FALSE)</f>
        <v>귀걸이</v>
      </c>
      <c r="Q955" t="str">
        <f>VLOOKUP(D955,상품정보!$A$2:$D$151,3,FALSE)</f>
        <v>액세서리</v>
      </c>
      <c r="R955" t="str">
        <f>VLOOKUP(D955,상품정보!$A$2:$D$151,4,FALSE)</f>
        <v>브랜드D</v>
      </c>
    </row>
    <row r="956" spans="1:18" x14ac:dyDescent="0.45">
      <c r="A956" t="s">
        <v>325</v>
      </c>
      <c r="B956" t="s">
        <v>1355</v>
      </c>
      <c r="C956" t="s">
        <v>2532</v>
      </c>
      <c r="D956" t="s">
        <v>2583</v>
      </c>
      <c r="E956">
        <v>4</v>
      </c>
      <c r="F956">
        <v>6600</v>
      </c>
      <c r="G956">
        <v>0</v>
      </c>
      <c r="H956">
        <v>0</v>
      </c>
      <c r="I956" t="s">
        <v>2652</v>
      </c>
      <c r="J956" s="4">
        <f t="shared" si="42"/>
        <v>26400</v>
      </c>
      <c r="K956" s="4" t="str">
        <f t="shared" si="43"/>
        <v>2024-09</v>
      </c>
      <c r="L956" s="4" t="str">
        <f t="shared" si="44"/>
        <v>수</v>
      </c>
      <c r="M956" s="2" t="str">
        <f>VLOOKUP($C956, 고객정보!$A$2:$E$151, 2, FALSE)</f>
        <v>서울</v>
      </c>
      <c r="N956" t="str">
        <f>VLOOKUP(C956,고객정보!$A$2:$D$151,4,FALSE)</f>
        <v>L2</v>
      </c>
      <c r="O956" t="str">
        <f>VLOOKUP($C956, 고객정보!$A$2:$E$151, 5, FALSE)</f>
        <v>50대 이상</v>
      </c>
      <c r="P956" t="str">
        <f>VLOOKUP(D956,상품정보!$A$2:$E$61,2,FALSE)</f>
        <v>셔츠</v>
      </c>
      <c r="Q956" t="str">
        <f>VLOOKUP(D956,상품정보!$A$2:$D$151,3,FALSE)</f>
        <v>의류</v>
      </c>
      <c r="R956" t="str">
        <f>VLOOKUP(D956,상품정보!$A$2:$D$151,4,FALSE)</f>
        <v>브랜드E</v>
      </c>
    </row>
    <row r="957" spans="1:18" x14ac:dyDescent="0.45">
      <c r="A957" t="s">
        <v>33</v>
      </c>
      <c r="B957" t="s">
        <v>1356</v>
      </c>
      <c r="C957" t="s">
        <v>2415</v>
      </c>
      <c r="D957" t="s">
        <v>2596</v>
      </c>
      <c r="E957">
        <v>4</v>
      </c>
      <c r="F957">
        <v>59700</v>
      </c>
      <c r="G957">
        <v>500</v>
      </c>
      <c r="H957">
        <v>0</v>
      </c>
      <c r="I957" t="s">
        <v>2652</v>
      </c>
      <c r="J957" s="4">
        <f t="shared" si="42"/>
        <v>239300</v>
      </c>
      <c r="K957" s="4" t="str">
        <f t="shared" si="43"/>
        <v>2024-10</v>
      </c>
      <c r="L957" s="4" t="str">
        <f t="shared" si="44"/>
        <v>목</v>
      </c>
      <c r="M957" s="2" t="str">
        <f>VLOOKUP($C957, 고객정보!$A$2:$E$151, 2, FALSE)</f>
        <v>광주</v>
      </c>
      <c r="N957" t="str">
        <f>VLOOKUP(C957,고객정보!$A$2:$D$151,4,FALSE)</f>
        <v>L3</v>
      </c>
      <c r="O957" t="str">
        <f>VLOOKUP($C957, 고객정보!$A$2:$E$151, 5, FALSE)</f>
        <v>30대</v>
      </c>
      <c r="P957" t="str">
        <f>VLOOKUP(D957,상품정보!$A$2:$E$61,2,FALSE)</f>
        <v>청바지</v>
      </c>
      <c r="Q957" t="str">
        <f>VLOOKUP(D957,상품정보!$A$2:$D$151,3,FALSE)</f>
        <v>의류</v>
      </c>
      <c r="R957" t="str">
        <f>VLOOKUP(D957,상품정보!$A$2:$D$151,4,FALSE)</f>
        <v>브랜드A</v>
      </c>
    </row>
    <row r="958" spans="1:18" x14ac:dyDescent="0.45">
      <c r="A958" t="s">
        <v>362</v>
      </c>
      <c r="B958" t="s">
        <v>1357</v>
      </c>
      <c r="C958" t="s">
        <v>2499</v>
      </c>
      <c r="D958" t="s">
        <v>2599</v>
      </c>
      <c r="E958">
        <v>2</v>
      </c>
      <c r="F958">
        <v>73800</v>
      </c>
      <c r="G958">
        <v>0</v>
      </c>
      <c r="H958">
        <v>0</v>
      </c>
      <c r="I958" t="s">
        <v>2652</v>
      </c>
      <c r="J958" s="4">
        <f t="shared" si="42"/>
        <v>147600</v>
      </c>
      <c r="K958" s="4" t="str">
        <f t="shared" si="43"/>
        <v>2024-05</v>
      </c>
      <c r="L958" s="4" t="str">
        <f t="shared" si="44"/>
        <v>금</v>
      </c>
      <c r="M958" s="2" t="str">
        <f>VLOOKUP($C958, 고객정보!$A$2:$E$151, 2, FALSE)</f>
        <v>서울</v>
      </c>
      <c r="N958" t="str">
        <f>VLOOKUP(C958,고객정보!$A$2:$D$151,4,FALSE)</f>
        <v>L2</v>
      </c>
      <c r="O958" t="str">
        <f>VLOOKUP($C958, 고객정보!$A$2:$E$151, 5, FALSE)</f>
        <v>40대</v>
      </c>
      <c r="P958" t="str">
        <f>VLOOKUP(D958,상품정보!$A$2:$E$61,2,FALSE)</f>
        <v>핸드폰케이스</v>
      </c>
      <c r="Q958" t="str">
        <f>VLOOKUP(D958,상품정보!$A$2:$D$151,3,FALSE)</f>
        <v>액세서리</v>
      </c>
      <c r="R958" t="str">
        <f>VLOOKUP(D958,상품정보!$A$2:$D$151,4,FALSE)</f>
        <v>브랜드F</v>
      </c>
    </row>
    <row r="959" spans="1:18" x14ac:dyDescent="0.45">
      <c r="A959" t="s">
        <v>81</v>
      </c>
      <c r="B959" t="s">
        <v>1358</v>
      </c>
      <c r="C959" t="s">
        <v>2523</v>
      </c>
      <c r="D959" t="s">
        <v>2590</v>
      </c>
      <c r="E959">
        <v>5</v>
      </c>
      <c r="F959">
        <v>68900</v>
      </c>
      <c r="G959">
        <v>500</v>
      </c>
      <c r="H959">
        <v>0</v>
      </c>
      <c r="I959" t="s">
        <v>2652</v>
      </c>
      <c r="J959" s="4">
        <f t="shared" si="42"/>
        <v>345000</v>
      </c>
      <c r="K959" s="4" t="str">
        <f t="shared" si="43"/>
        <v>2024-12</v>
      </c>
      <c r="L959" s="4" t="str">
        <f t="shared" si="44"/>
        <v>수</v>
      </c>
      <c r="M959" s="2" t="str">
        <f>VLOOKUP($C959, 고객정보!$A$2:$E$151, 2, FALSE)</f>
        <v>서울</v>
      </c>
      <c r="N959" t="str">
        <f>VLOOKUP(C959,고객정보!$A$2:$D$151,4,FALSE)</f>
        <v>L3</v>
      </c>
      <c r="O959" t="str">
        <f>VLOOKUP($C959, 고객정보!$A$2:$E$151, 5, FALSE)</f>
        <v>20대</v>
      </c>
      <c r="P959" t="str">
        <f>VLOOKUP(D959,상품정보!$A$2:$E$61,2,FALSE)</f>
        <v>반팔 티셔츠</v>
      </c>
      <c r="Q959" t="str">
        <f>VLOOKUP(D959,상품정보!$A$2:$D$151,3,FALSE)</f>
        <v>의류</v>
      </c>
      <c r="R959" t="str">
        <f>VLOOKUP(D959,상품정보!$A$2:$D$151,4,FALSE)</f>
        <v>브랜드A</v>
      </c>
    </row>
    <row r="960" spans="1:18" x14ac:dyDescent="0.45">
      <c r="A960" t="s">
        <v>192</v>
      </c>
      <c r="B960" t="s">
        <v>1359</v>
      </c>
      <c r="C960" t="s">
        <v>2504</v>
      </c>
      <c r="D960" t="s">
        <v>2607</v>
      </c>
      <c r="E960">
        <v>5</v>
      </c>
      <c r="F960">
        <v>16000</v>
      </c>
      <c r="G960">
        <v>0</v>
      </c>
      <c r="H960">
        <v>0</v>
      </c>
      <c r="I960" t="s">
        <v>2652</v>
      </c>
      <c r="J960" s="4">
        <f t="shared" si="42"/>
        <v>80000</v>
      </c>
      <c r="K960" s="4" t="str">
        <f t="shared" si="43"/>
        <v>2024-01</v>
      </c>
      <c r="L960" s="4" t="str">
        <f t="shared" si="44"/>
        <v>화</v>
      </c>
      <c r="M960" s="2" t="str">
        <f>VLOOKUP($C960, 고객정보!$A$2:$E$151, 2, FALSE)</f>
        <v>서울</v>
      </c>
      <c r="N960" t="str">
        <f>VLOOKUP(C960,고객정보!$A$2:$D$151,4,FALSE)</f>
        <v>L1</v>
      </c>
      <c r="O960" t="str">
        <f>VLOOKUP($C960, 고객정보!$A$2:$E$151, 5, FALSE)</f>
        <v>40대</v>
      </c>
      <c r="P960" t="str">
        <f>VLOOKUP(D960,상품정보!$A$2:$E$61,2,FALSE)</f>
        <v>목걸이</v>
      </c>
      <c r="Q960" t="str">
        <f>VLOOKUP(D960,상품정보!$A$2:$D$151,3,FALSE)</f>
        <v>액세서리</v>
      </c>
      <c r="R960" t="str">
        <f>VLOOKUP(D960,상품정보!$A$2:$D$151,4,FALSE)</f>
        <v>브랜드E</v>
      </c>
    </row>
    <row r="961" spans="1:18" x14ac:dyDescent="0.45">
      <c r="A961" t="s">
        <v>8</v>
      </c>
      <c r="B961" t="s">
        <v>1360</v>
      </c>
      <c r="C961" t="s">
        <v>2473</v>
      </c>
      <c r="D961" t="s">
        <v>2610</v>
      </c>
      <c r="E961">
        <v>1</v>
      </c>
      <c r="F961">
        <v>18800</v>
      </c>
      <c r="G961">
        <v>1500</v>
      </c>
      <c r="H961">
        <v>900</v>
      </c>
      <c r="I961" t="s">
        <v>2614</v>
      </c>
      <c r="J961" s="4">
        <f t="shared" si="42"/>
        <v>19400</v>
      </c>
      <c r="K961" s="4" t="str">
        <f t="shared" si="43"/>
        <v>2024-05</v>
      </c>
      <c r="L961" s="4" t="str">
        <f t="shared" si="44"/>
        <v>일</v>
      </c>
      <c r="M961" s="2" t="str">
        <f>VLOOKUP($C961, 고객정보!$A$2:$E$151, 2, FALSE)</f>
        <v>수원</v>
      </c>
      <c r="N961" t="str">
        <f>VLOOKUP(C961,고객정보!$A$2:$D$151,4,FALSE)</f>
        <v>L3</v>
      </c>
      <c r="O961" t="str">
        <f>VLOOKUP($C961, 고객정보!$A$2:$E$151, 5, FALSE)</f>
        <v>50대 이상</v>
      </c>
      <c r="P961" t="str">
        <f>VLOOKUP(D961,상품정보!$A$2:$E$61,2,FALSE)</f>
        <v>자켓</v>
      </c>
      <c r="Q961" t="str">
        <f>VLOOKUP(D961,상품정보!$A$2:$D$151,3,FALSE)</f>
        <v>의류</v>
      </c>
      <c r="R961" t="str">
        <f>VLOOKUP(D961,상품정보!$A$2:$D$151,4,FALSE)</f>
        <v>브랜드E</v>
      </c>
    </row>
    <row r="962" spans="1:18" x14ac:dyDescent="0.45">
      <c r="A962" t="s">
        <v>309</v>
      </c>
      <c r="B962" t="s">
        <v>1361</v>
      </c>
      <c r="C962" t="s">
        <v>2473</v>
      </c>
      <c r="D962" t="s">
        <v>2608</v>
      </c>
      <c r="E962">
        <v>3</v>
      </c>
      <c r="F962">
        <v>10600</v>
      </c>
      <c r="G962">
        <v>0</v>
      </c>
      <c r="H962">
        <v>0</v>
      </c>
      <c r="I962" t="s">
        <v>2652</v>
      </c>
      <c r="J962" s="4">
        <f t="shared" si="42"/>
        <v>31800</v>
      </c>
      <c r="K962" s="4" t="str">
        <f t="shared" si="43"/>
        <v>2024-07</v>
      </c>
      <c r="L962" s="4" t="str">
        <f t="shared" si="44"/>
        <v>월</v>
      </c>
      <c r="M962" s="2" t="str">
        <f>VLOOKUP($C962, 고객정보!$A$2:$E$151, 2, FALSE)</f>
        <v>수원</v>
      </c>
      <c r="N962" t="str">
        <f>VLOOKUP(C962,고객정보!$A$2:$D$151,4,FALSE)</f>
        <v>L3</v>
      </c>
      <c r="O962" t="str">
        <f>VLOOKUP($C962, 고객정보!$A$2:$E$151, 5, FALSE)</f>
        <v>50대 이상</v>
      </c>
      <c r="P962" t="str">
        <f>VLOOKUP(D962,상품정보!$A$2:$E$61,2,FALSE)</f>
        <v>셔츠</v>
      </c>
      <c r="Q962" t="str">
        <f>VLOOKUP(D962,상품정보!$A$2:$D$151,3,FALSE)</f>
        <v>의류</v>
      </c>
      <c r="R962" t="str">
        <f>VLOOKUP(D962,상품정보!$A$2:$D$151,4,FALSE)</f>
        <v>브랜드D</v>
      </c>
    </row>
    <row r="963" spans="1:18" x14ac:dyDescent="0.45">
      <c r="A963" t="s">
        <v>41</v>
      </c>
      <c r="B963" t="s">
        <v>1362</v>
      </c>
      <c r="C963" t="s">
        <v>2474</v>
      </c>
      <c r="D963" t="s">
        <v>2604</v>
      </c>
      <c r="E963">
        <v>1</v>
      </c>
      <c r="F963">
        <v>9700</v>
      </c>
      <c r="G963">
        <v>1500</v>
      </c>
      <c r="H963">
        <v>0</v>
      </c>
      <c r="I963" t="s">
        <v>2652</v>
      </c>
      <c r="J963" s="4">
        <f t="shared" ref="J963:J1026" si="45">E963*F963+G963-H963</f>
        <v>11200</v>
      </c>
      <c r="K963" s="4" t="str">
        <f t="shared" ref="K963:K1026" si="46">LEFT(A963,7)</f>
        <v>2024-10</v>
      </c>
      <c r="L963" s="4" t="str">
        <f t="shared" ref="L963:L1026" si="47">TEXT(WEEKDAY(A963),"aaa")</f>
        <v>목</v>
      </c>
      <c r="M963" s="2" t="str">
        <f>VLOOKUP($C963, 고객정보!$A$2:$E$151, 2, FALSE)</f>
        <v>인천</v>
      </c>
      <c r="N963" t="str">
        <f>VLOOKUP(C963,고객정보!$A$2:$D$151,4,FALSE)</f>
        <v>L2</v>
      </c>
      <c r="O963" t="str">
        <f>VLOOKUP($C963, 고객정보!$A$2:$E$151, 5, FALSE)</f>
        <v>10대</v>
      </c>
      <c r="P963" t="str">
        <f>VLOOKUP(D963,상품정보!$A$2:$E$61,2,FALSE)</f>
        <v>반팔 티셔츠</v>
      </c>
      <c r="Q963" t="str">
        <f>VLOOKUP(D963,상품정보!$A$2:$D$151,3,FALSE)</f>
        <v>의류</v>
      </c>
      <c r="R963" t="str">
        <f>VLOOKUP(D963,상품정보!$A$2:$D$151,4,FALSE)</f>
        <v>브랜드E</v>
      </c>
    </row>
    <row r="964" spans="1:18" x14ac:dyDescent="0.45">
      <c r="A964" t="s">
        <v>300</v>
      </c>
      <c r="B964" t="s">
        <v>1363</v>
      </c>
      <c r="C964" t="s">
        <v>2537</v>
      </c>
      <c r="D964" t="s">
        <v>2607</v>
      </c>
      <c r="E964">
        <v>3</v>
      </c>
      <c r="F964">
        <v>16000</v>
      </c>
      <c r="G964">
        <v>1000</v>
      </c>
      <c r="H964">
        <v>0</v>
      </c>
      <c r="I964" t="s">
        <v>2652</v>
      </c>
      <c r="J964" s="4">
        <f t="shared" si="45"/>
        <v>49000</v>
      </c>
      <c r="K964" s="4" t="str">
        <f t="shared" si="46"/>
        <v>2024-05</v>
      </c>
      <c r="L964" s="4" t="str">
        <f t="shared" si="47"/>
        <v>화</v>
      </c>
      <c r="M964" s="2" t="str">
        <f>VLOOKUP($C964, 고객정보!$A$2:$E$151, 2, FALSE)</f>
        <v>광주</v>
      </c>
      <c r="N964" t="str">
        <f>VLOOKUP(C964,고객정보!$A$2:$D$151,4,FALSE)</f>
        <v>L2</v>
      </c>
      <c r="O964" t="str">
        <f>VLOOKUP($C964, 고객정보!$A$2:$E$151, 5, FALSE)</f>
        <v>40대</v>
      </c>
      <c r="P964" t="str">
        <f>VLOOKUP(D964,상품정보!$A$2:$E$61,2,FALSE)</f>
        <v>목걸이</v>
      </c>
      <c r="Q964" t="str">
        <f>VLOOKUP(D964,상품정보!$A$2:$D$151,3,FALSE)</f>
        <v>액세서리</v>
      </c>
      <c r="R964" t="str">
        <f>VLOOKUP(D964,상품정보!$A$2:$D$151,4,FALSE)</f>
        <v>브랜드E</v>
      </c>
    </row>
    <row r="965" spans="1:18" x14ac:dyDescent="0.45">
      <c r="A965" t="s">
        <v>177</v>
      </c>
      <c r="B965" t="s">
        <v>1364</v>
      </c>
      <c r="C965" t="s">
        <v>2515</v>
      </c>
      <c r="D965" t="s">
        <v>2582</v>
      </c>
      <c r="E965">
        <v>3</v>
      </c>
      <c r="F965">
        <v>12500</v>
      </c>
      <c r="G965">
        <v>1000</v>
      </c>
      <c r="H965">
        <v>0</v>
      </c>
      <c r="I965" t="s">
        <v>2652</v>
      </c>
      <c r="J965" s="4">
        <f t="shared" si="45"/>
        <v>38500</v>
      </c>
      <c r="K965" s="4" t="str">
        <f t="shared" si="46"/>
        <v>2024-05</v>
      </c>
      <c r="L965" s="4" t="str">
        <f t="shared" si="47"/>
        <v>토</v>
      </c>
      <c r="M965" s="2" t="str">
        <f>VLOOKUP($C965, 고객정보!$A$2:$E$151, 2, FALSE)</f>
        <v>부산</v>
      </c>
      <c r="N965" t="str">
        <f>VLOOKUP(C965,고객정보!$A$2:$D$151,4,FALSE)</f>
        <v>L5</v>
      </c>
      <c r="O965" t="str">
        <f>VLOOKUP($C965, 고객정보!$A$2:$E$151, 5, FALSE)</f>
        <v>40대</v>
      </c>
      <c r="P965" t="str">
        <f>VLOOKUP(D965,상품정보!$A$2:$E$61,2,FALSE)</f>
        <v>셔츠</v>
      </c>
      <c r="Q965" t="str">
        <f>VLOOKUP(D965,상품정보!$A$2:$D$151,3,FALSE)</f>
        <v>의류</v>
      </c>
      <c r="R965" t="str">
        <f>VLOOKUP(D965,상품정보!$A$2:$D$151,4,FALSE)</f>
        <v>브랜드D</v>
      </c>
    </row>
    <row r="966" spans="1:18" x14ac:dyDescent="0.45">
      <c r="A966" t="s">
        <v>178</v>
      </c>
      <c r="B966" t="s">
        <v>1365</v>
      </c>
      <c r="C966" t="s">
        <v>2532</v>
      </c>
      <c r="D966" t="s">
        <v>2563</v>
      </c>
      <c r="E966">
        <v>3</v>
      </c>
      <c r="F966">
        <v>6900</v>
      </c>
      <c r="G966">
        <v>500</v>
      </c>
      <c r="H966">
        <v>0</v>
      </c>
      <c r="I966" t="s">
        <v>2652</v>
      </c>
      <c r="J966" s="4">
        <f t="shared" si="45"/>
        <v>21200</v>
      </c>
      <c r="K966" s="4" t="str">
        <f t="shared" si="46"/>
        <v>2024-03</v>
      </c>
      <c r="L966" s="4" t="str">
        <f t="shared" si="47"/>
        <v>토</v>
      </c>
      <c r="M966" s="2" t="str">
        <f>VLOOKUP($C966, 고객정보!$A$2:$E$151, 2, FALSE)</f>
        <v>서울</v>
      </c>
      <c r="N966" t="str">
        <f>VLOOKUP(C966,고객정보!$A$2:$D$151,4,FALSE)</f>
        <v>L2</v>
      </c>
      <c r="O966" t="str">
        <f>VLOOKUP($C966, 고객정보!$A$2:$E$151, 5, FALSE)</f>
        <v>50대 이상</v>
      </c>
      <c r="P966" t="str">
        <f>VLOOKUP(D966,상품정보!$A$2:$E$61,2,FALSE)</f>
        <v>귀걸이</v>
      </c>
      <c r="Q966" t="str">
        <f>VLOOKUP(D966,상품정보!$A$2:$D$151,3,FALSE)</f>
        <v>액세서리</v>
      </c>
      <c r="R966" t="str">
        <f>VLOOKUP(D966,상품정보!$A$2:$D$151,4,FALSE)</f>
        <v>브랜드D</v>
      </c>
    </row>
    <row r="967" spans="1:18" x14ac:dyDescent="0.45">
      <c r="A967" t="s">
        <v>340</v>
      </c>
      <c r="B967" t="s">
        <v>1366</v>
      </c>
      <c r="C967" t="s">
        <v>2519</v>
      </c>
      <c r="D967" t="s">
        <v>2579</v>
      </c>
      <c r="E967">
        <v>1</v>
      </c>
      <c r="F967">
        <v>51000</v>
      </c>
      <c r="G967">
        <v>2000</v>
      </c>
      <c r="H967">
        <v>0</v>
      </c>
      <c r="I967" t="s">
        <v>2652</v>
      </c>
      <c r="J967" s="4">
        <f t="shared" si="45"/>
        <v>53000</v>
      </c>
      <c r="K967" s="4" t="str">
        <f t="shared" si="46"/>
        <v>2024-04</v>
      </c>
      <c r="L967" s="4" t="str">
        <f t="shared" si="47"/>
        <v>월</v>
      </c>
      <c r="M967" s="2" t="str">
        <f>VLOOKUP($C967, 고객정보!$A$2:$E$151, 2, FALSE)</f>
        <v>서울</v>
      </c>
      <c r="N967" t="str">
        <f>VLOOKUP(C967,고객정보!$A$2:$D$151,4,FALSE)</f>
        <v>L4</v>
      </c>
      <c r="O967" t="str">
        <f>VLOOKUP($C967, 고객정보!$A$2:$E$151, 5, FALSE)</f>
        <v>20대</v>
      </c>
      <c r="P967" t="str">
        <f>VLOOKUP(D967,상품정보!$A$2:$E$61,2,FALSE)</f>
        <v>핸드폰케이스</v>
      </c>
      <c r="Q967" t="str">
        <f>VLOOKUP(D967,상품정보!$A$2:$D$151,3,FALSE)</f>
        <v>액세서리</v>
      </c>
      <c r="R967" t="str">
        <f>VLOOKUP(D967,상품정보!$A$2:$D$151,4,FALSE)</f>
        <v>브랜드F</v>
      </c>
    </row>
    <row r="968" spans="1:18" x14ac:dyDescent="0.45">
      <c r="A968" t="s">
        <v>181</v>
      </c>
      <c r="B968" t="s">
        <v>1367</v>
      </c>
      <c r="C968" t="s">
        <v>2402</v>
      </c>
      <c r="D968" t="s">
        <v>2570</v>
      </c>
      <c r="E968">
        <v>5</v>
      </c>
      <c r="F968">
        <v>73900</v>
      </c>
      <c r="G968">
        <v>500</v>
      </c>
      <c r="H968">
        <v>1800</v>
      </c>
      <c r="I968" t="s">
        <v>2614</v>
      </c>
      <c r="J968" s="4">
        <f t="shared" si="45"/>
        <v>368200</v>
      </c>
      <c r="K968" s="4" t="str">
        <f t="shared" si="46"/>
        <v>2024-01</v>
      </c>
      <c r="L968" s="4" t="str">
        <f t="shared" si="47"/>
        <v>수</v>
      </c>
      <c r="M968" s="2" t="str">
        <f>VLOOKUP($C968, 고객정보!$A$2:$E$151, 2, FALSE)</f>
        <v>서울</v>
      </c>
      <c r="N968" t="str">
        <f>VLOOKUP(C968,고객정보!$A$2:$D$151,4,FALSE)</f>
        <v>L2</v>
      </c>
      <c r="O968" t="str">
        <f>VLOOKUP($C968, 고객정보!$A$2:$E$151, 5, FALSE)</f>
        <v>30대</v>
      </c>
      <c r="P968" t="str">
        <f>VLOOKUP(D968,상품정보!$A$2:$E$61,2,FALSE)</f>
        <v>반지</v>
      </c>
      <c r="Q968" t="str">
        <f>VLOOKUP(D968,상품정보!$A$2:$D$151,3,FALSE)</f>
        <v>액세서리</v>
      </c>
      <c r="R968" t="str">
        <f>VLOOKUP(D968,상품정보!$A$2:$D$151,4,FALSE)</f>
        <v>브랜드B</v>
      </c>
    </row>
    <row r="969" spans="1:18" x14ac:dyDescent="0.45">
      <c r="A969" t="s">
        <v>90</v>
      </c>
      <c r="B969" t="s">
        <v>1368</v>
      </c>
      <c r="C969" t="s">
        <v>2461</v>
      </c>
      <c r="D969" t="s">
        <v>2571</v>
      </c>
      <c r="E969">
        <v>4</v>
      </c>
      <c r="F969">
        <v>55600</v>
      </c>
      <c r="G969">
        <v>1000</v>
      </c>
      <c r="H969">
        <v>0</v>
      </c>
      <c r="I969" t="s">
        <v>2652</v>
      </c>
      <c r="J969" s="4">
        <f t="shared" si="45"/>
        <v>223400</v>
      </c>
      <c r="K969" s="4" t="str">
        <f t="shared" si="46"/>
        <v>2024-05</v>
      </c>
      <c r="L969" s="4" t="str">
        <f t="shared" si="47"/>
        <v>금</v>
      </c>
      <c r="M969" s="2" t="str">
        <f>VLOOKUP($C969, 고객정보!$A$2:$E$151, 2, FALSE)</f>
        <v>부산</v>
      </c>
      <c r="N969" t="str">
        <f>VLOOKUP(C969,고객정보!$A$2:$D$151,4,FALSE)</f>
        <v>L2</v>
      </c>
      <c r="O969" t="str">
        <f>VLOOKUP($C969, 고객정보!$A$2:$E$151, 5, FALSE)</f>
        <v>40대</v>
      </c>
      <c r="P969" t="str">
        <f>VLOOKUP(D969,상품정보!$A$2:$E$61,2,FALSE)</f>
        <v>자켓</v>
      </c>
      <c r="Q969" t="str">
        <f>VLOOKUP(D969,상품정보!$A$2:$D$151,3,FALSE)</f>
        <v>의류</v>
      </c>
      <c r="R969" t="str">
        <f>VLOOKUP(D969,상품정보!$A$2:$D$151,4,FALSE)</f>
        <v>브랜드B</v>
      </c>
    </row>
    <row r="970" spans="1:18" x14ac:dyDescent="0.45">
      <c r="A970" t="s">
        <v>41</v>
      </c>
      <c r="B970" t="s">
        <v>1369</v>
      </c>
      <c r="C970" t="s">
        <v>2488</v>
      </c>
      <c r="D970" t="s">
        <v>2597</v>
      </c>
      <c r="E970">
        <v>1</v>
      </c>
      <c r="F970">
        <v>65300</v>
      </c>
      <c r="G970">
        <v>1500</v>
      </c>
      <c r="H970">
        <v>0</v>
      </c>
      <c r="I970" t="s">
        <v>2652</v>
      </c>
      <c r="J970" s="4">
        <f t="shared" si="45"/>
        <v>66800</v>
      </c>
      <c r="K970" s="4" t="str">
        <f t="shared" si="46"/>
        <v>2024-10</v>
      </c>
      <c r="L970" s="4" t="str">
        <f t="shared" si="47"/>
        <v>목</v>
      </c>
      <c r="M970" s="2" t="str">
        <f>VLOOKUP($C970, 고객정보!$A$2:$E$151, 2, FALSE)</f>
        <v>서울</v>
      </c>
      <c r="N970" t="str">
        <f>VLOOKUP(C970,고객정보!$A$2:$D$151,4,FALSE)</f>
        <v>L3</v>
      </c>
      <c r="O970" t="str">
        <f>VLOOKUP($C970, 고객정보!$A$2:$E$151, 5, FALSE)</f>
        <v>40대</v>
      </c>
      <c r="P970" t="str">
        <f>VLOOKUP(D970,상품정보!$A$2:$E$61,2,FALSE)</f>
        <v>반지</v>
      </c>
      <c r="Q970" t="str">
        <f>VLOOKUP(D970,상품정보!$A$2:$D$151,3,FALSE)</f>
        <v>액세서리</v>
      </c>
      <c r="R970" t="str">
        <f>VLOOKUP(D970,상품정보!$A$2:$D$151,4,FALSE)</f>
        <v>브랜드F</v>
      </c>
    </row>
    <row r="971" spans="1:18" x14ac:dyDescent="0.45">
      <c r="A971" t="s">
        <v>348</v>
      </c>
      <c r="B971" t="s">
        <v>1370</v>
      </c>
      <c r="C971" t="s">
        <v>2462</v>
      </c>
      <c r="D971" t="s">
        <v>2594</v>
      </c>
      <c r="E971">
        <v>3</v>
      </c>
      <c r="F971">
        <v>73000</v>
      </c>
      <c r="G971">
        <v>0</v>
      </c>
      <c r="H971">
        <v>0</v>
      </c>
      <c r="I971" t="s">
        <v>2652</v>
      </c>
      <c r="J971" s="4">
        <f t="shared" si="45"/>
        <v>219000</v>
      </c>
      <c r="K971" s="4" t="str">
        <f t="shared" si="46"/>
        <v>2024-04</v>
      </c>
      <c r="L971" s="4" t="str">
        <f t="shared" si="47"/>
        <v>금</v>
      </c>
      <c r="M971" s="2" t="str">
        <f>VLOOKUP($C971, 고객정보!$A$2:$E$151, 2, FALSE)</f>
        <v>광주</v>
      </c>
      <c r="N971" t="str">
        <f>VLOOKUP(C971,고객정보!$A$2:$D$151,4,FALSE)</f>
        <v>L5</v>
      </c>
      <c r="O971" t="str">
        <f>VLOOKUP($C971, 고객정보!$A$2:$E$151, 5, FALSE)</f>
        <v>50대 이상</v>
      </c>
      <c r="P971" t="str">
        <f>VLOOKUP(D971,상품정보!$A$2:$E$61,2,FALSE)</f>
        <v>자켓</v>
      </c>
      <c r="Q971" t="str">
        <f>VLOOKUP(D971,상품정보!$A$2:$D$151,3,FALSE)</f>
        <v>의류</v>
      </c>
      <c r="R971" t="str">
        <f>VLOOKUP(D971,상품정보!$A$2:$D$151,4,FALSE)</f>
        <v>브랜드A</v>
      </c>
    </row>
    <row r="972" spans="1:18" x14ac:dyDescent="0.45">
      <c r="A972" t="s">
        <v>279</v>
      </c>
      <c r="B972" t="s">
        <v>1371</v>
      </c>
      <c r="C972" t="s">
        <v>2417</v>
      </c>
      <c r="D972" t="s">
        <v>2563</v>
      </c>
      <c r="E972">
        <v>3</v>
      </c>
      <c r="F972">
        <v>6900</v>
      </c>
      <c r="G972">
        <v>1500</v>
      </c>
      <c r="H972">
        <v>0</v>
      </c>
      <c r="I972" t="s">
        <v>2652</v>
      </c>
      <c r="J972" s="4">
        <f t="shared" si="45"/>
        <v>22200</v>
      </c>
      <c r="K972" s="4" t="str">
        <f t="shared" si="46"/>
        <v>2025-01</v>
      </c>
      <c r="L972" s="4" t="str">
        <f t="shared" si="47"/>
        <v>월</v>
      </c>
      <c r="M972" s="2" t="str">
        <f>VLOOKUP($C972, 고객정보!$A$2:$E$151, 2, FALSE)</f>
        <v>인천</v>
      </c>
      <c r="N972" t="str">
        <f>VLOOKUP(C972,고객정보!$A$2:$D$151,4,FALSE)</f>
        <v>L1</v>
      </c>
      <c r="O972" t="str">
        <f>VLOOKUP($C972, 고객정보!$A$2:$E$151, 5, FALSE)</f>
        <v>30대</v>
      </c>
      <c r="P972" t="str">
        <f>VLOOKUP(D972,상품정보!$A$2:$E$61,2,FALSE)</f>
        <v>귀걸이</v>
      </c>
      <c r="Q972" t="str">
        <f>VLOOKUP(D972,상품정보!$A$2:$D$151,3,FALSE)</f>
        <v>액세서리</v>
      </c>
      <c r="R972" t="str">
        <f>VLOOKUP(D972,상품정보!$A$2:$D$151,4,FALSE)</f>
        <v>브랜드D</v>
      </c>
    </row>
    <row r="973" spans="1:18" x14ac:dyDescent="0.45">
      <c r="A973" t="s">
        <v>267</v>
      </c>
      <c r="B973" t="s">
        <v>1372</v>
      </c>
      <c r="C973" t="s">
        <v>2422</v>
      </c>
      <c r="D973" t="s">
        <v>2581</v>
      </c>
      <c r="E973">
        <v>3</v>
      </c>
      <c r="F973">
        <v>72900</v>
      </c>
      <c r="G973">
        <v>1000</v>
      </c>
      <c r="H973">
        <v>800</v>
      </c>
      <c r="I973" t="s">
        <v>2612</v>
      </c>
      <c r="J973" s="4">
        <f t="shared" si="45"/>
        <v>218900</v>
      </c>
      <c r="K973" s="4" t="str">
        <f t="shared" si="46"/>
        <v>2024-10</v>
      </c>
      <c r="L973" s="4" t="str">
        <f t="shared" si="47"/>
        <v>화</v>
      </c>
      <c r="M973" s="2" t="str">
        <f>VLOOKUP($C973, 고객정보!$A$2:$E$151, 2, FALSE)</f>
        <v>광주</v>
      </c>
      <c r="N973" t="str">
        <f>VLOOKUP(C973,고객정보!$A$2:$D$151,4,FALSE)</f>
        <v>L5</v>
      </c>
      <c r="O973" t="str">
        <f>VLOOKUP($C973, 고객정보!$A$2:$E$151, 5, FALSE)</f>
        <v>30대</v>
      </c>
      <c r="P973" t="str">
        <f>VLOOKUP(D973,상품정보!$A$2:$E$61,2,FALSE)</f>
        <v>귀걸이</v>
      </c>
      <c r="Q973" t="str">
        <f>VLOOKUP(D973,상품정보!$A$2:$D$151,3,FALSE)</f>
        <v>액세서리</v>
      </c>
      <c r="R973" t="str">
        <f>VLOOKUP(D973,상품정보!$A$2:$D$151,4,FALSE)</f>
        <v>브랜드F</v>
      </c>
    </row>
    <row r="974" spans="1:18" x14ac:dyDescent="0.45">
      <c r="A974" t="s">
        <v>291</v>
      </c>
      <c r="B974" t="s">
        <v>1373</v>
      </c>
      <c r="C974" t="s">
        <v>2534</v>
      </c>
      <c r="D974" t="s">
        <v>2587</v>
      </c>
      <c r="E974">
        <v>2</v>
      </c>
      <c r="F974">
        <v>50200</v>
      </c>
      <c r="G974">
        <v>500</v>
      </c>
      <c r="H974">
        <v>2700</v>
      </c>
      <c r="I974" t="s">
        <v>2611</v>
      </c>
      <c r="J974" s="4">
        <f t="shared" si="45"/>
        <v>98200</v>
      </c>
      <c r="K974" s="4" t="str">
        <f t="shared" si="46"/>
        <v>2025-01</v>
      </c>
      <c r="L974" s="4" t="str">
        <f t="shared" si="47"/>
        <v>금</v>
      </c>
      <c r="M974" s="2" t="str">
        <f>VLOOKUP($C974, 고객정보!$A$2:$E$151, 2, FALSE)</f>
        <v>광주</v>
      </c>
      <c r="N974" t="str">
        <f>VLOOKUP(C974,고객정보!$A$2:$D$151,4,FALSE)</f>
        <v>L2</v>
      </c>
      <c r="O974" t="str">
        <f>VLOOKUP($C974, 고객정보!$A$2:$E$151, 5, FALSE)</f>
        <v>10대</v>
      </c>
      <c r="P974" t="str">
        <f>VLOOKUP(D974,상품정보!$A$2:$E$61,2,FALSE)</f>
        <v>반지</v>
      </c>
      <c r="Q974" t="str">
        <f>VLOOKUP(D974,상품정보!$A$2:$D$151,3,FALSE)</f>
        <v>액세서리</v>
      </c>
      <c r="R974" t="str">
        <f>VLOOKUP(D974,상품정보!$A$2:$D$151,4,FALSE)</f>
        <v>브랜드B</v>
      </c>
    </row>
    <row r="975" spans="1:18" x14ac:dyDescent="0.45">
      <c r="A975" t="s">
        <v>185</v>
      </c>
      <c r="B975" t="s">
        <v>1374</v>
      </c>
      <c r="C975" t="s">
        <v>2403</v>
      </c>
      <c r="D975" t="s">
        <v>2557</v>
      </c>
      <c r="E975">
        <v>2</v>
      </c>
      <c r="F975">
        <v>77700</v>
      </c>
      <c r="G975">
        <v>1000</v>
      </c>
      <c r="H975">
        <v>0</v>
      </c>
      <c r="I975" t="s">
        <v>2652</v>
      </c>
      <c r="J975" s="4">
        <f t="shared" si="45"/>
        <v>156400</v>
      </c>
      <c r="K975" s="4" t="str">
        <f t="shared" si="46"/>
        <v>2024-03</v>
      </c>
      <c r="L975" s="4" t="str">
        <f t="shared" si="47"/>
        <v>월</v>
      </c>
      <c r="M975" s="2" t="str">
        <f>VLOOKUP($C975, 고객정보!$A$2:$E$151, 2, FALSE)</f>
        <v>수원</v>
      </c>
      <c r="N975" t="str">
        <f>VLOOKUP(C975,고객정보!$A$2:$D$151,4,FALSE)</f>
        <v>L3</v>
      </c>
      <c r="O975" t="str">
        <f>VLOOKUP($C975, 고객정보!$A$2:$E$151, 5, FALSE)</f>
        <v>30대</v>
      </c>
      <c r="P975" t="str">
        <f>VLOOKUP(D975,상품정보!$A$2:$E$61,2,FALSE)</f>
        <v>귀걸이</v>
      </c>
      <c r="Q975" t="str">
        <f>VLOOKUP(D975,상품정보!$A$2:$D$151,3,FALSE)</f>
        <v>액세서리</v>
      </c>
      <c r="R975" t="str">
        <f>VLOOKUP(D975,상품정보!$A$2:$D$151,4,FALSE)</f>
        <v>브랜드B</v>
      </c>
    </row>
    <row r="976" spans="1:18" x14ac:dyDescent="0.45">
      <c r="A976" t="s">
        <v>103</v>
      </c>
      <c r="B976" t="s">
        <v>1375</v>
      </c>
      <c r="C976" t="s">
        <v>2408</v>
      </c>
      <c r="D976" t="s">
        <v>2568</v>
      </c>
      <c r="E976">
        <v>4</v>
      </c>
      <c r="F976">
        <v>16800</v>
      </c>
      <c r="G976">
        <v>1000</v>
      </c>
      <c r="H976">
        <v>0</v>
      </c>
      <c r="I976" t="s">
        <v>2652</v>
      </c>
      <c r="J976" s="4">
        <f t="shared" si="45"/>
        <v>68200</v>
      </c>
      <c r="K976" s="4" t="str">
        <f t="shared" si="46"/>
        <v>2024-01</v>
      </c>
      <c r="L976" s="4" t="str">
        <f t="shared" si="47"/>
        <v>토</v>
      </c>
      <c r="M976" s="2" t="str">
        <f>VLOOKUP($C976, 고객정보!$A$2:$E$151, 2, FALSE)</f>
        <v>수원</v>
      </c>
      <c r="N976" t="str">
        <f>VLOOKUP(C976,고객정보!$A$2:$D$151,4,FALSE)</f>
        <v>L5</v>
      </c>
      <c r="O976" t="str">
        <f>VLOOKUP($C976, 고객정보!$A$2:$E$151, 5, FALSE)</f>
        <v>20대</v>
      </c>
      <c r="P976" t="str">
        <f>VLOOKUP(D976,상품정보!$A$2:$E$61,2,FALSE)</f>
        <v>청바지</v>
      </c>
      <c r="Q976" t="str">
        <f>VLOOKUP(D976,상품정보!$A$2:$D$151,3,FALSE)</f>
        <v>의류</v>
      </c>
      <c r="R976" t="str">
        <f>VLOOKUP(D976,상품정보!$A$2:$D$151,4,FALSE)</f>
        <v>브랜드C</v>
      </c>
    </row>
    <row r="977" spans="1:18" x14ac:dyDescent="0.45">
      <c r="A977" t="s">
        <v>25</v>
      </c>
      <c r="B977" t="s">
        <v>1376</v>
      </c>
      <c r="C977" t="s">
        <v>2405</v>
      </c>
      <c r="D977" t="s">
        <v>2561</v>
      </c>
      <c r="E977">
        <v>3</v>
      </c>
      <c r="F977">
        <v>63300</v>
      </c>
      <c r="G977">
        <v>1500</v>
      </c>
      <c r="H977">
        <v>0</v>
      </c>
      <c r="I977" t="s">
        <v>2652</v>
      </c>
      <c r="J977" s="4">
        <f t="shared" si="45"/>
        <v>191400</v>
      </c>
      <c r="K977" s="4" t="str">
        <f t="shared" si="46"/>
        <v>2024-11</v>
      </c>
      <c r="L977" s="4" t="str">
        <f t="shared" si="47"/>
        <v>목</v>
      </c>
      <c r="M977" s="2" t="str">
        <f>VLOOKUP($C977, 고객정보!$A$2:$E$151, 2, FALSE)</f>
        <v>부산</v>
      </c>
      <c r="N977" t="str">
        <f>VLOOKUP(C977,고객정보!$A$2:$D$151,4,FALSE)</f>
        <v>L3</v>
      </c>
      <c r="O977" t="str">
        <f>VLOOKUP($C977, 고객정보!$A$2:$E$151, 5, FALSE)</f>
        <v>40대</v>
      </c>
      <c r="P977" t="str">
        <f>VLOOKUP(D977,상품정보!$A$2:$E$61,2,FALSE)</f>
        <v>귀걸이</v>
      </c>
      <c r="Q977" t="str">
        <f>VLOOKUP(D977,상품정보!$A$2:$D$151,3,FALSE)</f>
        <v>액세서리</v>
      </c>
      <c r="R977" t="str">
        <f>VLOOKUP(D977,상품정보!$A$2:$D$151,4,FALSE)</f>
        <v>브랜드B</v>
      </c>
    </row>
    <row r="978" spans="1:18" x14ac:dyDescent="0.45">
      <c r="A978" t="s">
        <v>171</v>
      </c>
      <c r="B978" t="s">
        <v>1377</v>
      </c>
      <c r="C978" t="s">
        <v>2435</v>
      </c>
      <c r="D978" t="s">
        <v>2558</v>
      </c>
      <c r="E978">
        <v>1</v>
      </c>
      <c r="F978">
        <v>63700</v>
      </c>
      <c r="G978">
        <v>0</v>
      </c>
      <c r="H978">
        <v>0</v>
      </c>
      <c r="I978" t="s">
        <v>2652</v>
      </c>
      <c r="J978" s="4">
        <f t="shared" si="45"/>
        <v>63700</v>
      </c>
      <c r="K978" s="4" t="str">
        <f t="shared" si="46"/>
        <v>2025-01</v>
      </c>
      <c r="L978" s="4" t="str">
        <f t="shared" si="47"/>
        <v>목</v>
      </c>
      <c r="M978" s="2" t="str">
        <f>VLOOKUP($C978, 고객정보!$A$2:$E$151, 2, FALSE)</f>
        <v>인천</v>
      </c>
      <c r="N978" t="str">
        <f>VLOOKUP(C978,고객정보!$A$2:$D$151,4,FALSE)</f>
        <v>L5</v>
      </c>
      <c r="O978" t="str">
        <f>VLOOKUP($C978, 고객정보!$A$2:$E$151, 5, FALSE)</f>
        <v>30대</v>
      </c>
      <c r="P978" t="str">
        <f>VLOOKUP(D978,상품정보!$A$2:$E$61,2,FALSE)</f>
        <v>셔츠</v>
      </c>
      <c r="Q978" t="str">
        <f>VLOOKUP(D978,상품정보!$A$2:$D$151,3,FALSE)</f>
        <v>의류</v>
      </c>
      <c r="R978" t="str">
        <f>VLOOKUP(D978,상품정보!$A$2:$D$151,4,FALSE)</f>
        <v>브랜드A</v>
      </c>
    </row>
    <row r="979" spans="1:18" x14ac:dyDescent="0.45">
      <c r="A979" t="s">
        <v>363</v>
      </c>
      <c r="B979" t="s">
        <v>1378</v>
      </c>
      <c r="C979" t="s">
        <v>2538</v>
      </c>
      <c r="D979" t="s">
        <v>2610</v>
      </c>
      <c r="E979">
        <v>3</v>
      </c>
      <c r="F979">
        <v>18800</v>
      </c>
      <c r="G979">
        <v>1000</v>
      </c>
      <c r="H979">
        <v>0</v>
      </c>
      <c r="I979" t="s">
        <v>2652</v>
      </c>
      <c r="J979" s="4">
        <f t="shared" si="45"/>
        <v>57400</v>
      </c>
      <c r="K979" s="4" t="str">
        <f t="shared" si="46"/>
        <v>2024-02</v>
      </c>
      <c r="L979" s="4" t="str">
        <f t="shared" si="47"/>
        <v>금</v>
      </c>
      <c r="M979" s="2" t="str">
        <f>VLOOKUP($C979, 고객정보!$A$2:$E$151, 2, FALSE)</f>
        <v>대구</v>
      </c>
      <c r="N979" t="str">
        <f>VLOOKUP(C979,고객정보!$A$2:$D$151,4,FALSE)</f>
        <v>L4</v>
      </c>
      <c r="O979" t="str">
        <f>VLOOKUP($C979, 고객정보!$A$2:$E$151, 5, FALSE)</f>
        <v>40대</v>
      </c>
      <c r="P979" t="str">
        <f>VLOOKUP(D979,상품정보!$A$2:$E$61,2,FALSE)</f>
        <v>자켓</v>
      </c>
      <c r="Q979" t="str">
        <f>VLOOKUP(D979,상품정보!$A$2:$D$151,3,FALSE)</f>
        <v>의류</v>
      </c>
      <c r="R979" t="str">
        <f>VLOOKUP(D979,상품정보!$A$2:$D$151,4,FALSE)</f>
        <v>브랜드E</v>
      </c>
    </row>
    <row r="980" spans="1:18" x14ac:dyDescent="0.45">
      <c r="A980" t="s">
        <v>13</v>
      </c>
      <c r="B980" t="s">
        <v>1379</v>
      </c>
      <c r="C980" t="s">
        <v>2548</v>
      </c>
      <c r="D980" t="s">
        <v>2578</v>
      </c>
      <c r="E980">
        <v>2</v>
      </c>
      <c r="F980">
        <v>78000</v>
      </c>
      <c r="G980">
        <v>0</v>
      </c>
      <c r="H980">
        <v>0</v>
      </c>
      <c r="I980" t="s">
        <v>2652</v>
      </c>
      <c r="J980" s="4">
        <f t="shared" si="45"/>
        <v>156000</v>
      </c>
      <c r="K980" s="4" t="str">
        <f t="shared" si="46"/>
        <v>2024-08</v>
      </c>
      <c r="L980" s="4" t="str">
        <f t="shared" si="47"/>
        <v>금</v>
      </c>
      <c r="M980" s="2" t="str">
        <f>VLOOKUP($C980, 고객정보!$A$2:$E$151, 2, FALSE)</f>
        <v>수원</v>
      </c>
      <c r="N980" t="str">
        <f>VLOOKUP(C980,고객정보!$A$2:$D$151,4,FALSE)</f>
        <v>L2</v>
      </c>
      <c r="O980" t="str">
        <f>VLOOKUP($C980, 고객정보!$A$2:$E$151, 5, FALSE)</f>
        <v>50대 이상</v>
      </c>
      <c r="P980" t="str">
        <f>VLOOKUP(D980,상품정보!$A$2:$E$61,2,FALSE)</f>
        <v>귀걸이</v>
      </c>
      <c r="Q980" t="str">
        <f>VLOOKUP(D980,상품정보!$A$2:$D$151,3,FALSE)</f>
        <v>액세서리</v>
      </c>
      <c r="R980" t="str">
        <f>VLOOKUP(D980,상품정보!$A$2:$D$151,4,FALSE)</f>
        <v>브랜드B</v>
      </c>
    </row>
    <row r="981" spans="1:18" x14ac:dyDescent="0.45">
      <c r="A981" t="s">
        <v>283</v>
      </c>
      <c r="B981" t="s">
        <v>1380</v>
      </c>
      <c r="C981" t="s">
        <v>2510</v>
      </c>
      <c r="D981" t="s">
        <v>2596</v>
      </c>
      <c r="E981">
        <v>2</v>
      </c>
      <c r="F981">
        <v>59700</v>
      </c>
      <c r="G981">
        <v>0</v>
      </c>
      <c r="H981">
        <v>0</v>
      </c>
      <c r="I981" t="s">
        <v>2652</v>
      </c>
      <c r="J981" s="4">
        <f t="shared" si="45"/>
        <v>119400</v>
      </c>
      <c r="K981" s="4" t="str">
        <f t="shared" si="46"/>
        <v>2024-12</v>
      </c>
      <c r="L981" s="4" t="str">
        <f t="shared" si="47"/>
        <v>월</v>
      </c>
      <c r="M981" s="2" t="str">
        <f>VLOOKUP($C981, 고객정보!$A$2:$E$151, 2, FALSE)</f>
        <v>부산</v>
      </c>
      <c r="N981" t="str">
        <f>VLOOKUP(C981,고객정보!$A$2:$D$151,4,FALSE)</f>
        <v>L3</v>
      </c>
      <c r="O981" t="str">
        <f>VLOOKUP($C981, 고객정보!$A$2:$E$151, 5, FALSE)</f>
        <v>20대</v>
      </c>
      <c r="P981" t="str">
        <f>VLOOKUP(D981,상품정보!$A$2:$E$61,2,FALSE)</f>
        <v>청바지</v>
      </c>
      <c r="Q981" t="str">
        <f>VLOOKUP(D981,상품정보!$A$2:$D$151,3,FALSE)</f>
        <v>의류</v>
      </c>
      <c r="R981" t="str">
        <f>VLOOKUP(D981,상품정보!$A$2:$D$151,4,FALSE)</f>
        <v>브랜드A</v>
      </c>
    </row>
    <row r="982" spans="1:18" x14ac:dyDescent="0.45">
      <c r="A982" t="s">
        <v>138</v>
      </c>
      <c r="B982" t="s">
        <v>1381</v>
      </c>
      <c r="C982" t="s">
        <v>2458</v>
      </c>
      <c r="D982" t="s">
        <v>2553</v>
      </c>
      <c r="E982">
        <v>1</v>
      </c>
      <c r="F982">
        <v>63400</v>
      </c>
      <c r="G982">
        <v>0</v>
      </c>
      <c r="H982">
        <v>0</v>
      </c>
      <c r="I982" t="s">
        <v>2652</v>
      </c>
      <c r="J982" s="4">
        <f t="shared" si="45"/>
        <v>63400</v>
      </c>
      <c r="K982" s="4" t="str">
        <f t="shared" si="46"/>
        <v>2024-04</v>
      </c>
      <c r="L982" s="4" t="str">
        <f t="shared" si="47"/>
        <v>일</v>
      </c>
      <c r="M982" s="2" t="str">
        <f>VLOOKUP($C982, 고객정보!$A$2:$E$151, 2, FALSE)</f>
        <v>서울</v>
      </c>
      <c r="N982" t="str">
        <f>VLOOKUP(C982,고객정보!$A$2:$D$151,4,FALSE)</f>
        <v>L1</v>
      </c>
      <c r="O982" t="str">
        <f>VLOOKUP($C982, 고객정보!$A$2:$E$151, 5, FALSE)</f>
        <v>20대</v>
      </c>
      <c r="P982" t="str">
        <f>VLOOKUP(D982,상품정보!$A$2:$E$61,2,FALSE)</f>
        <v>귀걸이</v>
      </c>
      <c r="Q982" t="str">
        <f>VLOOKUP(D982,상품정보!$A$2:$D$151,3,FALSE)</f>
        <v>액세서리</v>
      </c>
      <c r="R982" t="str">
        <f>VLOOKUP(D982,상품정보!$A$2:$D$151,4,FALSE)</f>
        <v>브랜드F</v>
      </c>
    </row>
    <row r="983" spans="1:18" x14ac:dyDescent="0.45">
      <c r="A983" t="s">
        <v>86</v>
      </c>
      <c r="B983" t="s">
        <v>1382</v>
      </c>
      <c r="C983" t="s">
        <v>2468</v>
      </c>
      <c r="D983" t="s">
        <v>2592</v>
      </c>
      <c r="E983">
        <v>3</v>
      </c>
      <c r="F983">
        <v>72700</v>
      </c>
      <c r="G983">
        <v>2000</v>
      </c>
      <c r="H983">
        <v>8300</v>
      </c>
      <c r="I983" t="s">
        <v>2614</v>
      </c>
      <c r="J983" s="4">
        <f t="shared" si="45"/>
        <v>211800</v>
      </c>
      <c r="K983" s="4" t="str">
        <f t="shared" si="46"/>
        <v>2024-08</v>
      </c>
      <c r="L983" s="4" t="str">
        <f t="shared" si="47"/>
        <v>목</v>
      </c>
      <c r="M983" s="2" t="str">
        <f>VLOOKUP($C983, 고객정보!$A$2:$E$151, 2, FALSE)</f>
        <v>부산</v>
      </c>
      <c r="N983" t="str">
        <f>VLOOKUP(C983,고객정보!$A$2:$D$151,4,FALSE)</f>
        <v>L5</v>
      </c>
      <c r="O983" t="str">
        <f>VLOOKUP($C983, 고객정보!$A$2:$E$151, 5, FALSE)</f>
        <v>20대</v>
      </c>
      <c r="P983" t="str">
        <f>VLOOKUP(D983,상품정보!$A$2:$E$61,2,FALSE)</f>
        <v>귀걸이</v>
      </c>
      <c r="Q983" t="str">
        <f>VLOOKUP(D983,상품정보!$A$2:$D$151,3,FALSE)</f>
        <v>액세서리</v>
      </c>
      <c r="R983" t="str">
        <f>VLOOKUP(D983,상품정보!$A$2:$D$151,4,FALSE)</f>
        <v>브랜드A</v>
      </c>
    </row>
    <row r="984" spans="1:18" x14ac:dyDescent="0.45">
      <c r="A984" t="s">
        <v>248</v>
      </c>
      <c r="B984" t="s">
        <v>1383</v>
      </c>
      <c r="C984" t="s">
        <v>2444</v>
      </c>
      <c r="D984" t="s">
        <v>2589</v>
      </c>
      <c r="E984">
        <v>1</v>
      </c>
      <c r="F984">
        <v>71400</v>
      </c>
      <c r="G984">
        <v>2000</v>
      </c>
      <c r="H984">
        <v>0</v>
      </c>
      <c r="I984" t="s">
        <v>2652</v>
      </c>
      <c r="J984" s="4">
        <f t="shared" si="45"/>
        <v>73400</v>
      </c>
      <c r="K984" s="4" t="str">
        <f t="shared" si="46"/>
        <v>2024-09</v>
      </c>
      <c r="L984" s="4" t="str">
        <f t="shared" si="47"/>
        <v>일</v>
      </c>
      <c r="M984" s="2" t="str">
        <f>VLOOKUP($C984, 고객정보!$A$2:$E$151, 2, FALSE)</f>
        <v>서울</v>
      </c>
      <c r="N984" t="str">
        <f>VLOOKUP(C984,고객정보!$A$2:$D$151,4,FALSE)</f>
        <v>L4</v>
      </c>
      <c r="O984" t="str">
        <f>VLOOKUP($C984, 고객정보!$A$2:$E$151, 5, FALSE)</f>
        <v>40대</v>
      </c>
      <c r="P984" t="str">
        <f>VLOOKUP(D984,상품정보!$A$2:$E$61,2,FALSE)</f>
        <v>셔츠</v>
      </c>
      <c r="Q984" t="str">
        <f>VLOOKUP(D984,상품정보!$A$2:$D$151,3,FALSE)</f>
        <v>의류</v>
      </c>
      <c r="R984" t="str">
        <f>VLOOKUP(D984,상품정보!$A$2:$D$151,4,FALSE)</f>
        <v>브랜드A</v>
      </c>
    </row>
    <row r="985" spans="1:18" x14ac:dyDescent="0.45">
      <c r="A985" t="s">
        <v>70</v>
      </c>
      <c r="B985" t="s">
        <v>1384</v>
      </c>
      <c r="C985" t="s">
        <v>2525</v>
      </c>
      <c r="D985" t="s">
        <v>2601</v>
      </c>
      <c r="E985">
        <v>4</v>
      </c>
      <c r="F985">
        <v>17000</v>
      </c>
      <c r="G985">
        <v>1000</v>
      </c>
      <c r="H985">
        <v>0</v>
      </c>
      <c r="I985" t="s">
        <v>2652</v>
      </c>
      <c r="J985" s="4">
        <f t="shared" si="45"/>
        <v>69000</v>
      </c>
      <c r="K985" s="4" t="str">
        <f t="shared" si="46"/>
        <v>2024-02</v>
      </c>
      <c r="L985" s="4" t="str">
        <f t="shared" si="47"/>
        <v>목</v>
      </c>
      <c r="M985" s="2" t="str">
        <f>VLOOKUP($C985, 고객정보!$A$2:$E$151, 2, FALSE)</f>
        <v>수원</v>
      </c>
      <c r="N985" t="str">
        <f>VLOOKUP(C985,고객정보!$A$2:$D$151,4,FALSE)</f>
        <v>L4</v>
      </c>
      <c r="O985" t="str">
        <f>VLOOKUP($C985, 고객정보!$A$2:$E$151, 5, FALSE)</f>
        <v>20대</v>
      </c>
      <c r="P985" t="str">
        <f>VLOOKUP(D985,상품정보!$A$2:$E$61,2,FALSE)</f>
        <v>자켓</v>
      </c>
      <c r="Q985" t="str">
        <f>VLOOKUP(D985,상품정보!$A$2:$D$151,3,FALSE)</f>
        <v>의류</v>
      </c>
      <c r="R985" t="str">
        <f>VLOOKUP(D985,상품정보!$A$2:$D$151,4,FALSE)</f>
        <v>브랜드E</v>
      </c>
    </row>
    <row r="986" spans="1:18" x14ac:dyDescent="0.45">
      <c r="A986" t="s">
        <v>112</v>
      </c>
      <c r="B986" t="s">
        <v>1385</v>
      </c>
      <c r="C986" t="s">
        <v>2489</v>
      </c>
      <c r="D986" t="s">
        <v>2596</v>
      </c>
      <c r="E986">
        <v>4</v>
      </c>
      <c r="F986">
        <v>59700</v>
      </c>
      <c r="G986">
        <v>0</v>
      </c>
      <c r="H986">
        <v>7000</v>
      </c>
      <c r="I986" t="s">
        <v>2611</v>
      </c>
      <c r="J986" s="4">
        <f t="shared" si="45"/>
        <v>231800</v>
      </c>
      <c r="K986" s="4" t="str">
        <f t="shared" si="46"/>
        <v>2024-12</v>
      </c>
      <c r="L986" s="4" t="str">
        <f t="shared" si="47"/>
        <v>목</v>
      </c>
      <c r="M986" s="2" t="str">
        <f>VLOOKUP($C986, 고객정보!$A$2:$E$151, 2, FALSE)</f>
        <v>서울</v>
      </c>
      <c r="N986" t="str">
        <f>VLOOKUP(C986,고객정보!$A$2:$D$151,4,FALSE)</f>
        <v>L3</v>
      </c>
      <c r="O986" t="str">
        <f>VLOOKUP($C986, 고객정보!$A$2:$E$151, 5, FALSE)</f>
        <v>10대</v>
      </c>
      <c r="P986" t="str">
        <f>VLOOKUP(D986,상품정보!$A$2:$E$61,2,FALSE)</f>
        <v>청바지</v>
      </c>
      <c r="Q986" t="str">
        <f>VLOOKUP(D986,상품정보!$A$2:$D$151,3,FALSE)</f>
        <v>의류</v>
      </c>
      <c r="R986" t="str">
        <f>VLOOKUP(D986,상품정보!$A$2:$D$151,4,FALSE)</f>
        <v>브랜드A</v>
      </c>
    </row>
    <row r="987" spans="1:18" x14ac:dyDescent="0.45">
      <c r="A987" t="s">
        <v>364</v>
      </c>
      <c r="B987" t="s">
        <v>1386</v>
      </c>
      <c r="C987" t="s">
        <v>2469</v>
      </c>
      <c r="D987" t="s">
        <v>2585</v>
      </c>
      <c r="E987">
        <v>3</v>
      </c>
      <c r="F987">
        <v>14900</v>
      </c>
      <c r="G987">
        <v>500</v>
      </c>
      <c r="H987">
        <v>0</v>
      </c>
      <c r="I987" t="s">
        <v>2652</v>
      </c>
      <c r="J987" s="4">
        <f t="shared" si="45"/>
        <v>45200</v>
      </c>
      <c r="K987" s="4" t="str">
        <f t="shared" si="46"/>
        <v>2024-05</v>
      </c>
      <c r="L987" s="4" t="str">
        <f t="shared" si="47"/>
        <v>월</v>
      </c>
      <c r="M987" s="2" t="str">
        <f>VLOOKUP($C987, 고객정보!$A$2:$E$151, 2, FALSE)</f>
        <v>수원</v>
      </c>
      <c r="N987" t="str">
        <f>VLOOKUP(C987,고객정보!$A$2:$D$151,4,FALSE)</f>
        <v>L5</v>
      </c>
      <c r="O987" t="str">
        <f>VLOOKUP($C987, 고객정보!$A$2:$E$151, 5, FALSE)</f>
        <v>20대</v>
      </c>
      <c r="P987" t="str">
        <f>VLOOKUP(D987,상품정보!$A$2:$E$61,2,FALSE)</f>
        <v>반팔 티셔츠</v>
      </c>
      <c r="Q987" t="str">
        <f>VLOOKUP(D987,상품정보!$A$2:$D$151,3,FALSE)</f>
        <v>의류</v>
      </c>
      <c r="R987" t="str">
        <f>VLOOKUP(D987,상품정보!$A$2:$D$151,4,FALSE)</f>
        <v>브랜드C</v>
      </c>
    </row>
    <row r="988" spans="1:18" x14ac:dyDescent="0.45">
      <c r="A988" t="s">
        <v>228</v>
      </c>
      <c r="B988" t="s">
        <v>1387</v>
      </c>
      <c r="C988" t="s">
        <v>2426</v>
      </c>
      <c r="D988" t="s">
        <v>2568</v>
      </c>
      <c r="E988">
        <v>4</v>
      </c>
      <c r="F988">
        <v>16800</v>
      </c>
      <c r="G988">
        <v>0</v>
      </c>
      <c r="H988">
        <v>0</v>
      </c>
      <c r="I988" t="s">
        <v>2652</v>
      </c>
      <c r="J988" s="4">
        <f t="shared" si="45"/>
        <v>67200</v>
      </c>
      <c r="K988" s="4" t="str">
        <f t="shared" si="46"/>
        <v>2024-12</v>
      </c>
      <c r="L988" s="4" t="str">
        <f t="shared" si="47"/>
        <v>화</v>
      </c>
      <c r="M988" s="2" t="str">
        <f>VLOOKUP($C988, 고객정보!$A$2:$E$151, 2, FALSE)</f>
        <v>대전</v>
      </c>
      <c r="N988" t="str">
        <f>VLOOKUP(C988,고객정보!$A$2:$D$151,4,FALSE)</f>
        <v>L5</v>
      </c>
      <c r="O988" t="str">
        <f>VLOOKUP($C988, 고객정보!$A$2:$E$151, 5, FALSE)</f>
        <v>30대</v>
      </c>
      <c r="P988" t="str">
        <f>VLOOKUP(D988,상품정보!$A$2:$E$61,2,FALSE)</f>
        <v>청바지</v>
      </c>
      <c r="Q988" t="str">
        <f>VLOOKUP(D988,상품정보!$A$2:$D$151,3,FALSE)</f>
        <v>의류</v>
      </c>
      <c r="R988" t="str">
        <f>VLOOKUP(D988,상품정보!$A$2:$D$151,4,FALSE)</f>
        <v>브랜드C</v>
      </c>
    </row>
    <row r="989" spans="1:18" x14ac:dyDescent="0.45">
      <c r="A989" t="s">
        <v>145</v>
      </c>
      <c r="B989" t="s">
        <v>1388</v>
      </c>
      <c r="C989" t="s">
        <v>2424</v>
      </c>
      <c r="D989" t="s">
        <v>2597</v>
      </c>
      <c r="E989">
        <v>4</v>
      </c>
      <c r="F989">
        <v>65300</v>
      </c>
      <c r="G989">
        <v>2000</v>
      </c>
      <c r="H989">
        <v>0</v>
      </c>
      <c r="I989" t="s">
        <v>2652</v>
      </c>
      <c r="J989" s="4">
        <f t="shared" si="45"/>
        <v>263200</v>
      </c>
      <c r="K989" s="4" t="str">
        <f t="shared" si="46"/>
        <v>2024-05</v>
      </c>
      <c r="L989" s="4" t="str">
        <f t="shared" si="47"/>
        <v>일</v>
      </c>
      <c r="M989" s="2" t="str">
        <f>VLOOKUP($C989, 고객정보!$A$2:$E$151, 2, FALSE)</f>
        <v>서울</v>
      </c>
      <c r="N989" t="str">
        <f>VLOOKUP(C989,고객정보!$A$2:$D$151,4,FALSE)</f>
        <v>L1</v>
      </c>
      <c r="O989" t="str">
        <f>VLOOKUP($C989, 고객정보!$A$2:$E$151, 5, FALSE)</f>
        <v>30대</v>
      </c>
      <c r="P989" t="str">
        <f>VLOOKUP(D989,상품정보!$A$2:$E$61,2,FALSE)</f>
        <v>반지</v>
      </c>
      <c r="Q989" t="str">
        <f>VLOOKUP(D989,상품정보!$A$2:$D$151,3,FALSE)</f>
        <v>액세서리</v>
      </c>
      <c r="R989" t="str">
        <f>VLOOKUP(D989,상품정보!$A$2:$D$151,4,FALSE)</f>
        <v>브랜드F</v>
      </c>
    </row>
    <row r="990" spans="1:18" x14ac:dyDescent="0.45">
      <c r="A990" t="s">
        <v>303</v>
      </c>
      <c r="B990" t="s">
        <v>1389</v>
      </c>
      <c r="C990" t="s">
        <v>2405</v>
      </c>
      <c r="D990" t="s">
        <v>2571</v>
      </c>
      <c r="E990">
        <v>2</v>
      </c>
      <c r="F990">
        <v>55600</v>
      </c>
      <c r="G990">
        <v>0</v>
      </c>
      <c r="H990">
        <v>0</v>
      </c>
      <c r="I990" t="s">
        <v>2652</v>
      </c>
      <c r="J990" s="4">
        <f t="shared" si="45"/>
        <v>111200</v>
      </c>
      <c r="K990" s="4" t="str">
        <f t="shared" si="46"/>
        <v>2024-03</v>
      </c>
      <c r="L990" s="4" t="str">
        <f t="shared" si="47"/>
        <v>일</v>
      </c>
      <c r="M990" s="2" t="str">
        <f>VLOOKUP($C990, 고객정보!$A$2:$E$151, 2, FALSE)</f>
        <v>부산</v>
      </c>
      <c r="N990" t="str">
        <f>VLOOKUP(C990,고객정보!$A$2:$D$151,4,FALSE)</f>
        <v>L3</v>
      </c>
      <c r="O990" t="str">
        <f>VLOOKUP($C990, 고객정보!$A$2:$E$151, 5, FALSE)</f>
        <v>40대</v>
      </c>
      <c r="P990" t="str">
        <f>VLOOKUP(D990,상품정보!$A$2:$E$61,2,FALSE)</f>
        <v>자켓</v>
      </c>
      <c r="Q990" t="str">
        <f>VLOOKUP(D990,상품정보!$A$2:$D$151,3,FALSE)</f>
        <v>의류</v>
      </c>
      <c r="R990" t="str">
        <f>VLOOKUP(D990,상품정보!$A$2:$D$151,4,FALSE)</f>
        <v>브랜드B</v>
      </c>
    </row>
    <row r="991" spans="1:18" x14ac:dyDescent="0.45">
      <c r="A991" t="s">
        <v>307</v>
      </c>
      <c r="B991" t="s">
        <v>1390</v>
      </c>
      <c r="C991" t="s">
        <v>2429</v>
      </c>
      <c r="D991" t="s">
        <v>2591</v>
      </c>
      <c r="E991">
        <v>2</v>
      </c>
      <c r="F991">
        <v>69200</v>
      </c>
      <c r="G991">
        <v>1000</v>
      </c>
      <c r="H991">
        <v>6200</v>
      </c>
      <c r="I991" t="s">
        <v>2611</v>
      </c>
      <c r="J991" s="4">
        <f t="shared" si="45"/>
        <v>133200</v>
      </c>
      <c r="K991" s="4" t="str">
        <f t="shared" si="46"/>
        <v>2024-02</v>
      </c>
      <c r="L991" s="4" t="str">
        <f t="shared" si="47"/>
        <v>토</v>
      </c>
      <c r="M991" s="2" t="str">
        <f>VLOOKUP($C991, 고객정보!$A$2:$E$151, 2, FALSE)</f>
        <v>서울</v>
      </c>
      <c r="N991" t="str">
        <f>VLOOKUP(C991,고객정보!$A$2:$D$151,4,FALSE)</f>
        <v>L1</v>
      </c>
      <c r="O991" t="str">
        <f>VLOOKUP($C991, 고객정보!$A$2:$E$151, 5, FALSE)</f>
        <v>10대</v>
      </c>
      <c r="P991" t="str">
        <f>VLOOKUP(D991,상품정보!$A$2:$E$61,2,FALSE)</f>
        <v>셔츠</v>
      </c>
      <c r="Q991" t="str">
        <f>VLOOKUP(D991,상품정보!$A$2:$D$151,3,FALSE)</f>
        <v>의류</v>
      </c>
      <c r="R991" t="str">
        <f>VLOOKUP(D991,상품정보!$A$2:$D$151,4,FALSE)</f>
        <v>브랜드F</v>
      </c>
    </row>
    <row r="992" spans="1:18" x14ac:dyDescent="0.45">
      <c r="A992" t="s">
        <v>250</v>
      </c>
      <c r="B992" t="s">
        <v>1391</v>
      </c>
      <c r="C992" t="s">
        <v>2499</v>
      </c>
      <c r="D992" t="s">
        <v>2556</v>
      </c>
      <c r="E992">
        <v>4</v>
      </c>
      <c r="F992">
        <v>70100</v>
      </c>
      <c r="G992">
        <v>1500</v>
      </c>
      <c r="H992">
        <v>800</v>
      </c>
      <c r="I992" t="s">
        <v>2613</v>
      </c>
      <c r="J992" s="4">
        <f t="shared" si="45"/>
        <v>281100</v>
      </c>
      <c r="K992" s="4" t="str">
        <f t="shared" si="46"/>
        <v>2024-06</v>
      </c>
      <c r="L992" s="4" t="str">
        <f t="shared" si="47"/>
        <v>일</v>
      </c>
      <c r="M992" s="2" t="str">
        <f>VLOOKUP($C992, 고객정보!$A$2:$E$151, 2, FALSE)</f>
        <v>서울</v>
      </c>
      <c r="N992" t="str">
        <f>VLOOKUP(C992,고객정보!$A$2:$D$151,4,FALSE)</f>
        <v>L2</v>
      </c>
      <c r="O992" t="str">
        <f>VLOOKUP($C992, 고객정보!$A$2:$E$151, 5, FALSE)</f>
        <v>40대</v>
      </c>
      <c r="P992" t="str">
        <f>VLOOKUP(D992,상품정보!$A$2:$E$61,2,FALSE)</f>
        <v>핸드폰케이스</v>
      </c>
      <c r="Q992" t="str">
        <f>VLOOKUP(D992,상품정보!$A$2:$D$151,3,FALSE)</f>
        <v>액세서리</v>
      </c>
      <c r="R992" t="str">
        <f>VLOOKUP(D992,상품정보!$A$2:$D$151,4,FALSE)</f>
        <v>브랜드F</v>
      </c>
    </row>
    <row r="993" spans="1:18" x14ac:dyDescent="0.45">
      <c r="A993" t="s">
        <v>18</v>
      </c>
      <c r="B993" t="s">
        <v>1392</v>
      </c>
      <c r="C993" t="s">
        <v>2460</v>
      </c>
      <c r="D993" t="s">
        <v>2580</v>
      </c>
      <c r="E993">
        <v>5</v>
      </c>
      <c r="F993">
        <v>77800</v>
      </c>
      <c r="G993">
        <v>2000</v>
      </c>
      <c r="H993">
        <v>0</v>
      </c>
      <c r="I993" t="s">
        <v>2652</v>
      </c>
      <c r="J993" s="4">
        <f t="shared" si="45"/>
        <v>391000</v>
      </c>
      <c r="K993" s="4" t="str">
        <f t="shared" si="46"/>
        <v>2024-07</v>
      </c>
      <c r="L993" s="4" t="str">
        <f t="shared" si="47"/>
        <v>화</v>
      </c>
      <c r="M993" s="2" t="str">
        <f>VLOOKUP($C993, 고객정보!$A$2:$E$151, 2, FALSE)</f>
        <v>대전</v>
      </c>
      <c r="N993" t="str">
        <f>VLOOKUP(C993,고객정보!$A$2:$D$151,4,FALSE)</f>
        <v>L4</v>
      </c>
      <c r="O993" t="str">
        <f>VLOOKUP($C993, 고객정보!$A$2:$E$151, 5, FALSE)</f>
        <v>20대</v>
      </c>
      <c r="P993" t="str">
        <f>VLOOKUP(D993,상품정보!$A$2:$E$61,2,FALSE)</f>
        <v>청바지</v>
      </c>
      <c r="Q993" t="str">
        <f>VLOOKUP(D993,상품정보!$A$2:$D$151,3,FALSE)</f>
        <v>의류</v>
      </c>
      <c r="R993" t="str">
        <f>VLOOKUP(D993,상품정보!$A$2:$D$151,4,FALSE)</f>
        <v>브랜드A</v>
      </c>
    </row>
    <row r="994" spans="1:18" x14ac:dyDescent="0.45">
      <c r="A994" t="s">
        <v>129</v>
      </c>
      <c r="B994" t="s">
        <v>1393</v>
      </c>
      <c r="C994" t="s">
        <v>2420</v>
      </c>
      <c r="D994" t="s">
        <v>2556</v>
      </c>
      <c r="E994">
        <v>3</v>
      </c>
      <c r="F994">
        <v>70100</v>
      </c>
      <c r="G994">
        <v>0</v>
      </c>
      <c r="H994">
        <v>0</v>
      </c>
      <c r="I994" t="s">
        <v>2652</v>
      </c>
      <c r="J994" s="4">
        <f t="shared" si="45"/>
        <v>210300</v>
      </c>
      <c r="K994" s="4" t="str">
        <f t="shared" si="46"/>
        <v>2024-08</v>
      </c>
      <c r="L994" s="4" t="str">
        <f t="shared" si="47"/>
        <v>일</v>
      </c>
      <c r="M994" s="2" t="str">
        <f>VLOOKUP($C994, 고객정보!$A$2:$E$151, 2, FALSE)</f>
        <v>대전</v>
      </c>
      <c r="N994" t="str">
        <f>VLOOKUP(C994,고객정보!$A$2:$D$151,4,FALSE)</f>
        <v>L3</v>
      </c>
      <c r="O994" t="str">
        <f>VLOOKUP($C994, 고객정보!$A$2:$E$151, 5, FALSE)</f>
        <v>30대</v>
      </c>
      <c r="P994" t="str">
        <f>VLOOKUP(D994,상품정보!$A$2:$E$61,2,FALSE)</f>
        <v>핸드폰케이스</v>
      </c>
      <c r="Q994" t="str">
        <f>VLOOKUP(D994,상품정보!$A$2:$D$151,3,FALSE)</f>
        <v>액세서리</v>
      </c>
      <c r="R994" t="str">
        <f>VLOOKUP(D994,상품정보!$A$2:$D$151,4,FALSE)</f>
        <v>브랜드F</v>
      </c>
    </row>
    <row r="995" spans="1:18" x14ac:dyDescent="0.45">
      <c r="A995" t="s">
        <v>38</v>
      </c>
      <c r="B995" t="s">
        <v>1394</v>
      </c>
      <c r="C995" t="s">
        <v>2428</v>
      </c>
      <c r="D995" t="s">
        <v>2610</v>
      </c>
      <c r="E995">
        <v>1</v>
      </c>
      <c r="F995">
        <v>18800</v>
      </c>
      <c r="G995">
        <v>0</v>
      </c>
      <c r="H995">
        <v>0</v>
      </c>
      <c r="I995" t="s">
        <v>2652</v>
      </c>
      <c r="J995" s="4">
        <f t="shared" si="45"/>
        <v>18800</v>
      </c>
      <c r="K995" s="4" t="str">
        <f t="shared" si="46"/>
        <v>2024-02</v>
      </c>
      <c r="L995" s="4" t="str">
        <f t="shared" si="47"/>
        <v>금</v>
      </c>
      <c r="M995" s="2" t="str">
        <f>VLOOKUP($C995, 고객정보!$A$2:$E$151, 2, FALSE)</f>
        <v>광주</v>
      </c>
      <c r="N995" t="str">
        <f>VLOOKUP(C995,고객정보!$A$2:$D$151,4,FALSE)</f>
        <v>L4</v>
      </c>
      <c r="O995" t="str">
        <f>VLOOKUP($C995, 고객정보!$A$2:$E$151, 5, FALSE)</f>
        <v>10대</v>
      </c>
      <c r="P995" t="str">
        <f>VLOOKUP(D995,상품정보!$A$2:$E$61,2,FALSE)</f>
        <v>자켓</v>
      </c>
      <c r="Q995" t="str">
        <f>VLOOKUP(D995,상품정보!$A$2:$D$151,3,FALSE)</f>
        <v>의류</v>
      </c>
      <c r="R995" t="str">
        <f>VLOOKUP(D995,상품정보!$A$2:$D$151,4,FALSE)</f>
        <v>브랜드E</v>
      </c>
    </row>
    <row r="996" spans="1:18" x14ac:dyDescent="0.45">
      <c r="A996" t="s">
        <v>22</v>
      </c>
      <c r="B996" t="s">
        <v>1395</v>
      </c>
      <c r="C996" t="s">
        <v>2432</v>
      </c>
      <c r="D996" t="s">
        <v>2570</v>
      </c>
      <c r="E996">
        <v>3</v>
      </c>
      <c r="F996">
        <v>73900</v>
      </c>
      <c r="G996">
        <v>500</v>
      </c>
      <c r="H996">
        <v>0</v>
      </c>
      <c r="I996" t="s">
        <v>2652</v>
      </c>
      <c r="J996" s="4">
        <f t="shared" si="45"/>
        <v>222200</v>
      </c>
      <c r="K996" s="4" t="str">
        <f t="shared" si="46"/>
        <v>2024-12</v>
      </c>
      <c r="L996" s="4" t="str">
        <f t="shared" si="47"/>
        <v>목</v>
      </c>
      <c r="M996" s="2" t="str">
        <f>VLOOKUP($C996, 고객정보!$A$2:$E$151, 2, FALSE)</f>
        <v>서울</v>
      </c>
      <c r="N996" t="str">
        <f>VLOOKUP(C996,고객정보!$A$2:$D$151,4,FALSE)</f>
        <v>L5</v>
      </c>
      <c r="O996" t="str">
        <f>VLOOKUP($C996, 고객정보!$A$2:$E$151, 5, FALSE)</f>
        <v>20대</v>
      </c>
      <c r="P996" t="str">
        <f>VLOOKUP(D996,상품정보!$A$2:$E$61,2,FALSE)</f>
        <v>반지</v>
      </c>
      <c r="Q996" t="str">
        <f>VLOOKUP(D996,상품정보!$A$2:$D$151,3,FALSE)</f>
        <v>액세서리</v>
      </c>
      <c r="R996" t="str">
        <f>VLOOKUP(D996,상품정보!$A$2:$D$151,4,FALSE)</f>
        <v>브랜드B</v>
      </c>
    </row>
    <row r="997" spans="1:18" x14ac:dyDescent="0.45">
      <c r="A997" t="s">
        <v>123</v>
      </c>
      <c r="B997" t="s">
        <v>1396</v>
      </c>
      <c r="C997" t="s">
        <v>2476</v>
      </c>
      <c r="D997" t="s">
        <v>2572</v>
      </c>
      <c r="E997">
        <v>3</v>
      </c>
      <c r="F997">
        <v>61700</v>
      </c>
      <c r="G997">
        <v>0</v>
      </c>
      <c r="H997">
        <v>0</v>
      </c>
      <c r="I997" t="s">
        <v>2652</v>
      </c>
      <c r="J997" s="4">
        <f t="shared" si="45"/>
        <v>185100</v>
      </c>
      <c r="K997" s="4" t="str">
        <f t="shared" si="46"/>
        <v>2024-03</v>
      </c>
      <c r="L997" s="4" t="str">
        <f t="shared" si="47"/>
        <v>토</v>
      </c>
      <c r="M997" s="2" t="str">
        <f>VLOOKUP($C997, 고객정보!$A$2:$E$151, 2, FALSE)</f>
        <v>서울</v>
      </c>
      <c r="N997" t="str">
        <f>VLOOKUP(C997,고객정보!$A$2:$D$151,4,FALSE)</f>
        <v>L2</v>
      </c>
      <c r="O997" t="str">
        <f>VLOOKUP($C997, 고객정보!$A$2:$E$151, 5, FALSE)</f>
        <v>10대</v>
      </c>
      <c r="P997" t="str">
        <f>VLOOKUP(D997,상품정보!$A$2:$E$61,2,FALSE)</f>
        <v>반팔 티셔츠</v>
      </c>
      <c r="Q997" t="str">
        <f>VLOOKUP(D997,상품정보!$A$2:$D$151,3,FALSE)</f>
        <v>의류</v>
      </c>
      <c r="R997" t="str">
        <f>VLOOKUP(D997,상품정보!$A$2:$D$151,4,FALSE)</f>
        <v>브랜드F</v>
      </c>
    </row>
    <row r="998" spans="1:18" x14ac:dyDescent="0.45">
      <c r="A998" t="s">
        <v>290</v>
      </c>
      <c r="B998" t="s">
        <v>1397</v>
      </c>
      <c r="C998" t="s">
        <v>2411</v>
      </c>
      <c r="D998" t="s">
        <v>2588</v>
      </c>
      <c r="E998">
        <v>2</v>
      </c>
      <c r="F998">
        <v>7700</v>
      </c>
      <c r="G998">
        <v>1500</v>
      </c>
      <c r="H998">
        <v>1800</v>
      </c>
      <c r="I998" t="s">
        <v>2612</v>
      </c>
      <c r="J998" s="4">
        <f t="shared" si="45"/>
        <v>15100</v>
      </c>
      <c r="K998" s="4" t="str">
        <f t="shared" si="46"/>
        <v>2024-07</v>
      </c>
      <c r="L998" s="4" t="str">
        <f t="shared" si="47"/>
        <v>월</v>
      </c>
      <c r="M998" s="2" t="str">
        <f>VLOOKUP($C998, 고객정보!$A$2:$E$151, 2, FALSE)</f>
        <v>부산</v>
      </c>
      <c r="N998" t="str">
        <f>VLOOKUP(C998,고객정보!$A$2:$D$151,4,FALSE)</f>
        <v>L5</v>
      </c>
      <c r="O998" t="str">
        <f>VLOOKUP($C998, 고객정보!$A$2:$E$151, 5, FALSE)</f>
        <v>30대</v>
      </c>
      <c r="P998" t="str">
        <f>VLOOKUP(D998,상품정보!$A$2:$E$61,2,FALSE)</f>
        <v>귀걸이</v>
      </c>
      <c r="Q998" t="str">
        <f>VLOOKUP(D998,상품정보!$A$2:$D$151,3,FALSE)</f>
        <v>액세서리</v>
      </c>
      <c r="R998" t="str">
        <f>VLOOKUP(D998,상품정보!$A$2:$D$151,4,FALSE)</f>
        <v>브랜드D</v>
      </c>
    </row>
    <row r="999" spans="1:18" x14ac:dyDescent="0.45">
      <c r="A999" t="s">
        <v>9</v>
      </c>
      <c r="B999" t="s">
        <v>1398</v>
      </c>
      <c r="C999" t="s">
        <v>2533</v>
      </c>
      <c r="D999" t="s">
        <v>2554</v>
      </c>
      <c r="E999">
        <v>1</v>
      </c>
      <c r="F999">
        <v>12100</v>
      </c>
      <c r="G999">
        <v>0</v>
      </c>
      <c r="H999">
        <v>0</v>
      </c>
      <c r="I999" t="s">
        <v>2652</v>
      </c>
      <c r="J999" s="4">
        <f t="shared" si="45"/>
        <v>12100</v>
      </c>
      <c r="K999" s="4" t="str">
        <f t="shared" si="46"/>
        <v>2024-12</v>
      </c>
      <c r="L999" s="4" t="str">
        <f t="shared" si="47"/>
        <v>목</v>
      </c>
      <c r="M999" s="2" t="str">
        <f>VLOOKUP($C999, 고객정보!$A$2:$E$151, 2, FALSE)</f>
        <v>인천</v>
      </c>
      <c r="N999" t="str">
        <f>VLOOKUP(C999,고객정보!$A$2:$D$151,4,FALSE)</f>
        <v>L5</v>
      </c>
      <c r="O999" t="str">
        <f>VLOOKUP($C999, 고객정보!$A$2:$E$151, 5, FALSE)</f>
        <v>30대</v>
      </c>
      <c r="P999" t="str">
        <f>VLOOKUP(D999,상품정보!$A$2:$E$61,2,FALSE)</f>
        <v>귀걸이</v>
      </c>
      <c r="Q999" t="str">
        <f>VLOOKUP(D999,상품정보!$A$2:$D$151,3,FALSE)</f>
        <v>액세서리</v>
      </c>
      <c r="R999" t="str">
        <f>VLOOKUP(D999,상품정보!$A$2:$D$151,4,FALSE)</f>
        <v>브랜드D</v>
      </c>
    </row>
    <row r="1000" spans="1:18" x14ac:dyDescent="0.45">
      <c r="A1000" t="s">
        <v>343</v>
      </c>
      <c r="B1000" t="s">
        <v>1399</v>
      </c>
      <c r="C1000" t="s">
        <v>2528</v>
      </c>
      <c r="D1000" t="s">
        <v>2605</v>
      </c>
      <c r="E1000">
        <v>2</v>
      </c>
      <c r="F1000">
        <v>6800</v>
      </c>
      <c r="G1000">
        <v>500</v>
      </c>
      <c r="H1000">
        <v>1400</v>
      </c>
      <c r="I1000" t="s">
        <v>2612</v>
      </c>
      <c r="J1000" s="4">
        <f t="shared" si="45"/>
        <v>12700</v>
      </c>
      <c r="K1000" s="4" t="str">
        <f t="shared" si="46"/>
        <v>2024-01</v>
      </c>
      <c r="L1000" s="4" t="str">
        <f t="shared" si="47"/>
        <v>화</v>
      </c>
      <c r="M1000" s="2" t="str">
        <f>VLOOKUP($C1000, 고객정보!$A$2:$E$151, 2, FALSE)</f>
        <v>광주</v>
      </c>
      <c r="N1000" t="str">
        <f>VLOOKUP(C1000,고객정보!$A$2:$D$151,4,FALSE)</f>
        <v>L3</v>
      </c>
      <c r="O1000" t="str">
        <f>VLOOKUP($C1000, 고객정보!$A$2:$E$151, 5, FALSE)</f>
        <v>10대</v>
      </c>
      <c r="P1000" t="str">
        <f>VLOOKUP(D1000,상품정보!$A$2:$E$61,2,FALSE)</f>
        <v>핸드폰케이스</v>
      </c>
      <c r="Q1000" t="str">
        <f>VLOOKUP(D1000,상품정보!$A$2:$D$151,3,FALSE)</f>
        <v>액세서리</v>
      </c>
      <c r="R1000" t="str">
        <f>VLOOKUP(D1000,상품정보!$A$2:$D$151,4,FALSE)</f>
        <v>브랜드D</v>
      </c>
    </row>
    <row r="1001" spans="1:18" x14ac:dyDescent="0.45">
      <c r="A1001" t="s">
        <v>332</v>
      </c>
      <c r="B1001" t="s">
        <v>1400</v>
      </c>
      <c r="C1001" t="s">
        <v>2456</v>
      </c>
      <c r="D1001" t="s">
        <v>2610</v>
      </c>
      <c r="E1001">
        <v>4</v>
      </c>
      <c r="F1001">
        <v>18800</v>
      </c>
      <c r="G1001">
        <v>1500</v>
      </c>
      <c r="H1001">
        <v>0</v>
      </c>
      <c r="I1001" t="s">
        <v>2652</v>
      </c>
      <c r="J1001" s="4">
        <f t="shared" si="45"/>
        <v>76700</v>
      </c>
      <c r="K1001" s="4" t="str">
        <f t="shared" si="46"/>
        <v>2024-10</v>
      </c>
      <c r="L1001" s="4" t="str">
        <f t="shared" si="47"/>
        <v>금</v>
      </c>
      <c r="M1001" s="2" t="str">
        <f>VLOOKUP($C1001, 고객정보!$A$2:$E$151, 2, FALSE)</f>
        <v>대구</v>
      </c>
      <c r="N1001" t="str">
        <f>VLOOKUP(C1001,고객정보!$A$2:$D$151,4,FALSE)</f>
        <v>L3</v>
      </c>
      <c r="O1001" t="str">
        <f>VLOOKUP($C1001, 고객정보!$A$2:$E$151, 5, FALSE)</f>
        <v>30대</v>
      </c>
      <c r="P1001" t="str">
        <f>VLOOKUP(D1001,상품정보!$A$2:$E$61,2,FALSE)</f>
        <v>자켓</v>
      </c>
      <c r="Q1001" t="str">
        <f>VLOOKUP(D1001,상품정보!$A$2:$D$151,3,FALSE)</f>
        <v>의류</v>
      </c>
      <c r="R1001" t="str">
        <f>VLOOKUP(D1001,상품정보!$A$2:$D$151,4,FALSE)</f>
        <v>브랜드E</v>
      </c>
    </row>
    <row r="1002" spans="1:18" x14ac:dyDescent="0.45">
      <c r="A1002" t="s">
        <v>207</v>
      </c>
      <c r="B1002" t="s">
        <v>1401</v>
      </c>
      <c r="C1002" t="s">
        <v>2495</v>
      </c>
      <c r="D1002" t="s">
        <v>2585</v>
      </c>
      <c r="E1002">
        <v>1</v>
      </c>
      <c r="F1002">
        <v>14900</v>
      </c>
      <c r="G1002">
        <v>1500</v>
      </c>
      <c r="H1002">
        <v>0</v>
      </c>
      <c r="I1002" t="s">
        <v>2652</v>
      </c>
      <c r="J1002" s="4">
        <f t="shared" si="45"/>
        <v>16400</v>
      </c>
      <c r="K1002" s="4" t="str">
        <f t="shared" si="46"/>
        <v>2024-08</v>
      </c>
      <c r="L1002" s="4" t="str">
        <f t="shared" si="47"/>
        <v>토</v>
      </c>
      <c r="M1002" s="2" t="str">
        <f>VLOOKUP($C1002, 고객정보!$A$2:$E$151, 2, FALSE)</f>
        <v>N/A</v>
      </c>
      <c r="N1002" t="str">
        <f>VLOOKUP(C1002,고객정보!$A$2:$D$151,4,FALSE)</f>
        <v>L1</v>
      </c>
      <c r="O1002" t="str">
        <f>VLOOKUP($C1002, 고객정보!$A$2:$E$151, 5, FALSE)</f>
        <v>50대 이상</v>
      </c>
      <c r="P1002" t="str">
        <f>VLOOKUP(D1002,상품정보!$A$2:$E$61,2,FALSE)</f>
        <v>반팔 티셔츠</v>
      </c>
      <c r="Q1002" t="str">
        <f>VLOOKUP(D1002,상품정보!$A$2:$D$151,3,FALSE)</f>
        <v>의류</v>
      </c>
      <c r="R1002" t="str">
        <f>VLOOKUP(D1002,상품정보!$A$2:$D$151,4,FALSE)</f>
        <v>브랜드C</v>
      </c>
    </row>
    <row r="1003" spans="1:18" x14ac:dyDescent="0.45">
      <c r="A1003" t="s">
        <v>130</v>
      </c>
      <c r="B1003" t="s">
        <v>1402</v>
      </c>
      <c r="C1003" t="s">
        <v>2523</v>
      </c>
      <c r="D1003" t="s">
        <v>2570</v>
      </c>
      <c r="E1003">
        <v>2</v>
      </c>
      <c r="F1003">
        <v>73900</v>
      </c>
      <c r="G1003">
        <v>1000</v>
      </c>
      <c r="H1003">
        <v>0</v>
      </c>
      <c r="I1003" t="s">
        <v>2652</v>
      </c>
      <c r="J1003" s="4">
        <f t="shared" si="45"/>
        <v>148800</v>
      </c>
      <c r="K1003" s="4" t="str">
        <f t="shared" si="46"/>
        <v>2024-03</v>
      </c>
      <c r="L1003" s="4" t="str">
        <f t="shared" si="47"/>
        <v>일</v>
      </c>
      <c r="M1003" s="2" t="str">
        <f>VLOOKUP($C1003, 고객정보!$A$2:$E$151, 2, FALSE)</f>
        <v>서울</v>
      </c>
      <c r="N1003" t="str">
        <f>VLOOKUP(C1003,고객정보!$A$2:$D$151,4,FALSE)</f>
        <v>L3</v>
      </c>
      <c r="O1003" t="str">
        <f>VLOOKUP($C1003, 고객정보!$A$2:$E$151, 5, FALSE)</f>
        <v>20대</v>
      </c>
      <c r="P1003" t="str">
        <f>VLOOKUP(D1003,상품정보!$A$2:$E$61,2,FALSE)</f>
        <v>반지</v>
      </c>
      <c r="Q1003" t="str">
        <f>VLOOKUP(D1003,상품정보!$A$2:$D$151,3,FALSE)</f>
        <v>액세서리</v>
      </c>
      <c r="R1003" t="str">
        <f>VLOOKUP(D1003,상품정보!$A$2:$D$151,4,FALSE)</f>
        <v>브랜드B</v>
      </c>
    </row>
    <row r="1004" spans="1:18" x14ac:dyDescent="0.45">
      <c r="A1004" t="s">
        <v>240</v>
      </c>
      <c r="B1004" t="s">
        <v>1403</v>
      </c>
      <c r="C1004" t="s">
        <v>2514</v>
      </c>
      <c r="D1004" t="s">
        <v>2596</v>
      </c>
      <c r="E1004">
        <v>2</v>
      </c>
      <c r="F1004">
        <v>59700</v>
      </c>
      <c r="G1004">
        <v>0</v>
      </c>
      <c r="H1004">
        <v>1300</v>
      </c>
      <c r="I1004" t="s">
        <v>2612</v>
      </c>
      <c r="J1004" s="4">
        <f t="shared" si="45"/>
        <v>118100</v>
      </c>
      <c r="K1004" s="4" t="str">
        <f t="shared" si="46"/>
        <v>2024-03</v>
      </c>
      <c r="L1004" s="4" t="str">
        <f t="shared" si="47"/>
        <v>목</v>
      </c>
      <c r="M1004" s="2" t="str">
        <f>VLOOKUP($C1004, 고객정보!$A$2:$E$151, 2, FALSE)</f>
        <v>대구</v>
      </c>
      <c r="N1004" t="str">
        <f>VLOOKUP(C1004,고객정보!$A$2:$D$151,4,FALSE)</f>
        <v>L1</v>
      </c>
      <c r="O1004" t="str">
        <f>VLOOKUP($C1004, 고객정보!$A$2:$E$151, 5, FALSE)</f>
        <v>20대</v>
      </c>
      <c r="P1004" t="str">
        <f>VLOOKUP(D1004,상품정보!$A$2:$E$61,2,FALSE)</f>
        <v>청바지</v>
      </c>
      <c r="Q1004" t="str">
        <f>VLOOKUP(D1004,상품정보!$A$2:$D$151,3,FALSE)</f>
        <v>의류</v>
      </c>
      <c r="R1004" t="str">
        <f>VLOOKUP(D1004,상품정보!$A$2:$D$151,4,FALSE)</f>
        <v>브랜드A</v>
      </c>
    </row>
    <row r="1005" spans="1:18" x14ac:dyDescent="0.45">
      <c r="A1005" t="s">
        <v>282</v>
      </c>
      <c r="B1005" t="s">
        <v>1404</v>
      </c>
      <c r="C1005" t="s">
        <v>2486</v>
      </c>
      <c r="D1005" t="s">
        <v>2602</v>
      </c>
      <c r="E1005">
        <v>4</v>
      </c>
      <c r="F1005">
        <v>59900</v>
      </c>
      <c r="G1005">
        <v>1500</v>
      </c>
      <c r="H1005">
        <v>11900</v>
      </c>
      <c r="I1005" t="s">
        <v>2613</v>
      </c>
      <c r="J1005" s="4">
        <f t="shared" si="45"/>
        <v>229200</v>
      </c>
      <c r="K1005" s="4" t="str">
        <f t="shared" si="46"/>
        <v>2024-07</v>
      </c>
      <c r="L1005" s="4" t="str">
        <f t="shared" si="47"/>
        <v>화</v>
      </c>
      <c r="M1005" s="2" t="str">
        <f>VLOOKUP($C1005, 고객정보!$A$2:$E$151, 2, FALSE)</f>
        <v>수원</v>
      </c>
      <c r="N1005" t="str">
        <f>VLOOKUP(C1005,고객정보!$A$2:$D$151,4,FALSE)</f>
        <v>L1</v>
      </c>
      <c r="O1005" t="str">
        <f>VLOOKUP($C1005, 고객정보!$A$2:$E$151, 5, FALSE)</f>
        <v>40대</v>
      </c>
      <c r="P1005" t="str">
        <f>VLOOKUP(D1005,상품정보!$A$2:$E$61,2,FALSE)</f>
        <v>셔츠</v>
      </c>
      <c r="Q1005" t="str">
        <f>VLOOKUP(D1005,상품정보!$A$2:$D$151,3,FALSE)</f>
        <v>의류</v>
      </c>
      <c r="R1005" t="str">
        <f>VLOOKUP(D1005,상품정보!$A$2:$D$151,4,FALSE)</f>
        <v>브랜드A</v>
      </c>
    </row>
    <row r="1006" spans="1:18" x14ac:dyDescent="0.45">
      <c r="A1006" t="s">
        <v>365</v>
      </c>
      <c r="B1006" t="s">
        <v>1405</v>
      </c>
      <c r="C1006" t="s">
        <v>2444</v>
      </c>
      <c r="D1006" t="s">
        <v>2589</v>
      </c>
      <c r="E1006">
        <v>5</v>
      </c>
      <c r="F1006">
        <v>71400</v>
      </c>
      <c r="G1006">
        <v>1500</v>
      </c>
      <c r="H1006">
        <v>31600</v>
      </c>
      <c r="I1006" t="s">
        <v>2613</v>
      </c>
      <c r="J1006" s="4">
        <f t="shared" si="45"/>
        <v>326900</v>
      </c>
      <c r="K1006" s="4" t="str">
        <f t="shared" si="46"/>
        <v>2024-05</v>
      </c>
      <c r="L1006" s="4" t="str">
        <f t="shared" si="47"/>
        <v>일</v>
      </c>
      <c r="M1006" s="2" t="str">
        <f>VLOOKUP($C1006, 고객정보!$A$2:$E$151, 2, FALSE)</f>
        <v>서울</v>
      </c>
      <c r="N1006" t="str">
        <f>VLOOKUP(C1006,고객정보!$A$2:$D$151,4,FALSE)</f>
        <v>L4</v>
      </c>
      <c r="O1006" t="str">
        <f>VLOOKUP($C1006, 고객정보!$A$2:$E$151, 5, FALSE)</f>
        <v>40대</v>
      </c>
      <c r="P1006" t="str">
        <f>VLOOKUP(D1006,상품정보!$A$2:$E$61,2,FALSE)</f>
        <v>셔츠</v>
      </c>
      <c r="Q1006" t="str">
        <f>VLOOKUP(D1006,상품정보!$A$2:$D$151,3,FALSE)</f>
        <v>의류</v>
      </c>
      <c r="R1006" t="str">
        <f>VLOOKUP(D1006,상품정보!$A$2:$D$151,4,FALSE)</f>
        <v>브랜드A</v>
      </c>
    </row>
    <row r="1007" spans="1:18" x14ac:dyDescent="0.45">
      <c r="A1007" t="s">
        <v>312</v>
      </c>
      <c r="B1007" t="s">
        <v>1406</v>
      </c>
      <c r="C1007" t="s">
        <v>2532</v>
      </c>
      <c r="D1007" t="s">
        <v>2551</v>
      </c>
      <c r="E1007">
        <v>1</v>
      </c>
      <c r="F1007">
        <v>66600</v>
      </c>
      <c r="G1007">
        <v>500</v>
      </c>
      <c r="H1007">
        <v>0</v>
      </c>
      <c r="I1007" t="s">
        <v>2652</v>
      </c>
      <c r="J1007" s="4">
        <f t="shared" si="45"/>
        <v>67100</v>
      </c>
      <c r="K1007" s="4" t="str">
        <f t="shared" si="46"/>
        <v>2024-04</v>
      </c>
      <c r="L1007" s="4" t="str">
        <f t="shared" si="47"/>
        <v>목</v>
      </c>
      <c r="M1007" s="2" t="str">
        <f>VLOOKUP($C1007, 고객정보!$A$2:$E$151, 2, FALSE)</f>
        <v>서울</v>
      </c>
      <c r="N1007" t="str">
        <f>VLOOKUP(C1007,고객정보!$A$2:$D$151,4,FALSE)</f>
        <v>L2</v>
      </c>
      <c r="O1007" t="str">
        <f>VLOOKUP($C1007, 고객정보!$A$2:$E$151, 5, FALSE)</f>
        <v>50대 이상</v>
      </c>
      <c r="P1007" t="str">
        <f>VLOOKUP(D1007,상품정보!$A$2:$E$61,2,FALSE)</f>
        <v>반지</v>
      </c>
      <c r="Q1007" t="str">
        <f>VLOOKUP(D1007,상품정보!$A$2:$D$151,3,FALSE)</f>
        <v>액세서리</v>
      </c>
      <c r="R1007" t="str">
        <f>VLOOKUP(D1007,상품정보!$A$2:$D$151,4,FALSE)</f>
        <v>브랜드B</v>
      </c>
    </row>
    <row r="1008" spans="1:18" x14ac:dyDescent="0.45">
      <c r="A1008" t="s">
        <v>173</v>
      </c>
      <c r="B1008" t="s">
        <v>1407</v>
      </c>
      <c r="C1008" t="s">
        <v>2459</v>
      </c>
      <c r="D1008" t="s">
        <v>2570</v>
      </c>
      <c r="E1008">
        <v>2</v>
      </c>
      <c r="F1008">
        <v>73900</v>
      </c>
      <c r="G1008">
        <v>1500</v>
      </c>
      <c r="H1008">
        <v>0</v>
      </c>
      <c r="I1008" t="s">
        <v>2652</v>
      </c>
      <c r="J1008" s="4">
        <f t="shared" si="45"/>
        <v>149300</v>
      </c>
      <c r="K1008" s="4" t="str">
        <f t="shared" si="46"/>
        <v>2024-02</v>
      </c>
      <c r="L1008" s="4" t="str">
        <f t="shared" si="47"/>
        <v>토</v>
      </c>
      <c r="M1008" s="2" t="str">
        <f>VLOOKUP($C1008, 고객정보!$A$2:$E$151, 2, FALSE)</f>
        <v>광주</v>
      </c>
      <c r="N1008" t="str">
        <f>VLOOKUP(C1008,고객정보!$A$2:$D$151,4,FALSE)</f>
        <v>L4</v>
      </c>
      <c r="O1008" t="str">
        <f>VLOOKUP($C1008, 고객정보!$A$2:$E$151, 5, FALSE)</f>
        <v>50대 이상</v>
      </c>
      <c r="P1008" t="str">
        <f>VLOOKUP(D1008,상품정보!$A$2:$E$61,2,FALSE)</f>
        <v>반지</v>
      </c>
      <c r="Q1008" t="str">
        <f>VLOOKUP(D1008,상품정보!$A$2:$D$151,3,FALSE)</f>
        <v>액세서리</v>
      </c>
      <c r="R1008" t="str">
        <f>VLOOKUP(D1008,상품정보!$A$2:$D$151,4,FALSE)</f>
        <v>브랜드B</v>
      </c>
    </row>
    <row r="1009" spans="1:18" x14ac:dyDescent="0.45">
      <c r="A1009" t="s">
        <v>207</v>
      </c>
      <c r="B1009" t="s">
        <v>1408</v>
      </c>
      <c r="C1009" t="s">
        <v>2481</v>
      </c>
      <c r="D1009" t="s">
        <v>2580</v>
      </c>
      <c r="E1009">
        <v>1</v>
      </c>
      <c r="F1009">
        <v>77800</v>
      </c>
      <c r="G1009">
        <v>0</v>
      </c>
      <c r="H1009">
        <v>300</v>
      </c>
      <c r="I1009" t="s">
        <v>2612</v>
      </c>
      <c r="J1009" s="4">
        <f t="shared" si="45"/>
        <v>77500</v>
      </c>
      <c r="K1009" s="4" t="str">
        <f t="shared" si="46"/>
        <v>2024-08</v>
      </c>
      <c r="L1009" s="4" t="str">
        <f t="shared" si="47"/>
        <v>토</v>
      </c>
      <c r="M1009" s="2" t="str">
        <f>VLOOKUP($C1009, 고객정보!$A$2:$E$151, 2, FALSE)</f>
        <v>부산</v>
      </c>
      <c r="N1009" t="str">
        <f>VLOOKUP(C1009,고객정보!$A$2:$D$151,4,FALSE)</f>
        <v>L5</v>
      </c>
      <c r="O1009" t="str">
        <f>VLOOKUP($C1009, 고객정보!$A$2:$E$151, 5, FALSE)</f>
        <v>20대</v>
      </c>
      <c r="P1009" t="str">
        <f>VLOOKUP(D1009,상품정보!$A$2:$E$61,2,FALSE)</f>
        <v>청바지</v>
      </c>
      <c r="Q1009" t="str">
        <f>VLOOKUP(D1009,상품정보!$A$2:$D$151,3,FALSE)</f>
        <v>의류</v>
      </c>
      <c r="R1009" t="str">
        <f>VLOOKUP(D1009,상품정보!$A$2:$D$151,4,FALSE)</f>
        <v>브랜드A</v>
      </c>
    </row>
    <row r="1010" spans="1:18" x14ac:dyDescent="0.45">
      <c r="A1010" t="s">
        <v>200</v>
      </c>
      <c r="B1010" t="s">
        <v>1409</v>
      </c>
      <c r="C1010" t="s">
        <v>2431</v>
      </c>
      <c r="D1010" t="s">
        <v>2566</v>
      </c>
      <c r="E1010">
        <v>5</v>
      </c>
      <c r="F1010">
        <v>60600</v>
      </c>
      <c r="G1010">
        <v>0</v>
      </c>
      <c r="H1010">
        <v>0</v>
      </c>
      <c r="I1010" t="s">
        <v>2652</v>
      </c>
      <c r="J1010" s="4">
        <f t="shared" si="45"/>
        <v>303000</v>
      </c>
      <c r="K1010" s="4" t="str">
        <f t="shared" si="46"/>
        <v>2024-08</v>
      </c>
      <c r="L1010" s="4" t="str">
        <f t="shared" si="47"/>
        <v>금</v>
      </c>
      <c r="M1010" s="2" t="str">
        <f>VLOOKUP($C1010, 고객정보!$A$2:$E$151, 2, FALSE)</f>
        <v>광주</v>
      </c>
      <c r="N1010" t="str">
        <f>VLOOKUP(C1010,고객정보!$A$2:$D$151,4,FALSE)</f>
        <v>L3</v>
      </c>
      <c r="O1010" t="str">
        <f>VLOOKUP($C1010, 고객정보!$A$2:$E$151, 5, FALSE)</f>
        <v>40대</v>
      </c>
      <c r="P1010" t="str">
        <f>VLOOKUP(D1010,상품정보!$A$2:$E$61,2,FALSE)</f>
        <v>반팔 티셔츠</v>
      </c>
      <c r="Q1010" t="str">
        <f>VLOOKUP(D1010,상품정보!$A$2:$D$151,3,FALSE)</f>
        <v>의류</v>
      </c>
      <c r="R1010" t="str">
        <f>VLOOKUP(D1010,상품정보!$A$2:$D$151,4,FALSE)</f>
        <v>브랜드A</v>
      </c>
    </row>
    <row r="1011" spans="1:18" x14ac:dyDescent="0.45">
      <c r="A1011" t="s">
        <v>247</v>
      </c>
      <c r="B1011" t="s">
        <v>1410</v>
      </c>
      <c r="C1011" t="s">
        <v>2533</v>
      </c>
      <c r="D1011" t="s">
        <v>2583</v>
      </c>
      <c r="E1011">
        <v>1</v>
      </c>
      <c r="F1011">
        <v>6600</v>
      </c>
      <c r="G1011">
        <v>1000</v>
      </c>
      <c r="H1011">
        <v>0</v>
      </c>
      <c r="I1011" t="s">
        <v>2652</v>
      </c>
      <c r="J1011" s="4">
        <f t="shared" si="45"/>
        <v>7600</v>
      </c>
      <c r="K1011" s="4" t="str">
        <f t="shared" si="46"/>
        <v>2024-07</v>
      </c>
      <c r="L1011" s="4" t="str">
        <f t="shared" si="47"/>
        <v>일</v>
      </c>
      <c r="M1011" s="2" t="str">
        <f>VLOOKUP($C1011, 고객정보!$A$2:$E$151, 2, FALSE)</f>
        <v>인천</v>
      </c>
      <c r="N1011" t="str">
        <f>VLOOKUP(C1011,고객정보!$A$2:$D$151,4,FALSE)</f>
        <v>L5</v>
      </c>
      <c r="O1011" t="str">
        <f>VLOOKUP($C1011, 고객정보!$A$2:$E$151, 5, FALSE)</f>
        <v>30대</v>
      </c>
      <c r="P1011" t="str">
        <f>VLOOKUP(D1011,상품정보!$A$2:$E$61,2,FALSE)</f>
        <v>셔츠</v>
      </c>
      <c r="Q1011" t="str">
        <f>VLOOKUP(D1011,상품정보!$A$2:$D$151,3,FALSE)</f>
        <v>의류</v>
      </c>
      <c r="R1011" t="str">
        <f>VLOOKUP(D1011,상품정보!$A$2:$D$151,4,FALSE)</f>
        <v>브랜드E</v>
      </c>
    </row>
    <row r="1012" spans="1:18" x14ac:dyDescent="0.45">
      <c r="A1012" t="s">
        <v>74</v>
      </c>
      <c r="B1012" t="s">
        <v>1411</v>
      </c>
      <c r="C1012" t="s">
        <v>2501</v>
      </c>
      <c r="D1012" t="s">
        <v>2604</v>
      </c>
      <c r="E1012">
        <v>3</v>
      </c>
      <c r="F1012">
        <v>9700</v>
      </c>
      <c r="G1012">
        <v>500</v>
      </c>
      <c r="H1012">
        <v>0</v>
      </c>
      <c r="I1012" t="s">
        <v>2652</v>
      </c>
      <c r="J1012" s="4">
        <f t="shared" si="45"/>
        <v>29600</v>
      </c>
      <c r="K1012" s="4" t="str">
        <f t="shared" si="46"/>
        <v>2024-04</v>
      </c>
      <c r="L1012" s="4" t="str">
        <f t="shared" si="47"/>
        <v>금</v>
      </c>
      <c r="M1012" s="2" t="str">
        <f>VLOOKUP($C1012, 고객정보!$A$2:$E$151, 2, FALSE)</f>
        <v>서울</v>
      </c>
      <c r="N1012" t="str">
        <f>VLOOKUP(C1012,고객정보!$A$2:$D$151,4,FALSE)</f>
        <v>L4</v>
      </c>
      <c r="O1012" t="str">
        <f>VLOOKUP($C1012, 고객정보!$A$2:$E$151, 5, FALSE)</f>
        <v>50대 이상</v>
      </c>
      <c r="P1012" t="str">
        <f>VLOOKUP(D1012,상품정보!$A$2:$E$61,2,FALSE)</f>
        <v>반팔 티셔츠</v>
      </c>
      <c r="Q1012" t="str">
        <f>VLOOKUP(D1012,상품정보!$A$2:$D$151,3,FALSE)</f>
        <v>의류</v>
      </c>
      <c r="R1012" t="str">
        <f>VLOOKUP(D1012,상품정보!$A$2:$D$151,4,FALSE)</f>
        <v>브랜드E</v>
      </c>
    </row>
    <row r="1013" spans="1:18" x14ac:dyDescent="0.45">
      <c r="A1013" t="s">
        <v>322</v>
      </c>
      <c r="B1013" t="s">
        <v>1412</v>
      </c>
      <c r="C1013" t="s">
        <v>2543</v>
      </c>
      <c r="D1013" t="s">
        <v>2565</v>
      </c>
      <c r="E1013">
        <v>3</v>
      </c>
      <c r="F1013">
        <v>50000</v>
      </c>
      <c r="G1013">
        <v>0</v>
      </c>
      <c r="H1013">
        <v>3900</v>
      </c>
      <c r="I1013" t="s">
        <v>2613</v>
      </c>
      <c r="J1013" s="4">
        <f t="shared" si="45"/>
        <v>146100</v>
      </c>
      <c r="K1013" s="4" t="str">
        <f t="shared" si="46"/>
        <v>2024-08</v>
      </c>
      <c r="L1013" s="4" t="str">
        <f t="shared" si="47"/>
        <v>금</v>
      </c>
      <c r="M1013" s="2" t="str">
        <f>VLOOKUP($C1013, 고객정보!$A$2:$E$151, 2, FALSE)</f>
        <v>대구</v>
      </c>
      <c r="N1013" t="str">
        <f>VLOOKUP(C1013,고객정보!$A$2:$D$151,4,FALSE)</f>
        <v>L2</v>
      </c>
      <c r="O1013" t="str">
        <f>VLOOKUP($C1013, 고객정보!$A$2:$E$151, 5, FALSE)</f>
        <v>10대</v>
      </c>
      <c r="P1013" t="str">
        <f>VLOOKUP(D1013,상품정보!$A$2:$E$61,2,FALSE)</f>
        <v>핸드폰케이스</v>
      </c>
      <c r="Q1013" t="str">
        <f>VLOOKUP(D1013,상품정보!$A$2:$D$151,3,FALSE)</f>
        <v>액세서리</v>
      </c>
      <c r="R1013" t="str">
        <f>VLOOKUP(D1013,상품정보!$A$2:$D$151,4,FALSE)</f>
        <v>브랜드B</v>
      </c>
    </row>
    <row r="1014" spans="1:18" x14ac:dyDescent="0.45">
      <c r="A1014" t="s">
        <v>101</v>
      </c>
      <c r="B1014" t="s">
        <v>1413</v>
      </c>
      <c r="C1014" t="s">
        <v>2474</v>
      </c>
      <c r="D1014" t="s">
        <v>2564</v>
      </c>
      <c r="E1014">
        <v>5</v>
      </c>
      <c r="F1014">
        <v>66600</v>
      </c>
      <c r="G1014">
        <v>500</v>
      </c>
      <c r="H1014">
        <v>8000</v>
      </c>
      <c r="I1014" t="s">
        <v>2613</v>
      </c>
      <c r="J1014" s="4">
        <f t="shared" si="45"/>
        <v>325500</v>
      </c>
      <c r="K1014" s="4" t="str">
        <f t="shared" si="46"/>
        <v>2024-11</v>
      </c>
      <c r="L1014" s="4" t="str">
        <f t="shared" si="47"/>
        <v>수</v>
      </c>
      <c r="M1014" s="2" t="str">
        <f>VLOOKUP($C1014, 고객정보!$A$2:$E$151, 2, FALSE)</f>
        <v>인천</v>
      </c>
      <c r="N1014" t="str">
        <f>VLOOKUP(C1014,고객정보!$A$2:$D$151,4,FALSE)</f>
        <v>L2</v>
      </c>
      <c r="O1014" t="str">
        <f>VLOOKUP($C1014, 고객정보!$A$2:$E$151, 5, FALSE)</f>
        <v>10대</v>
      </c>
      <c r="P1014" t="str">
        <f>VLOOKUP(D1014,상품정보!$A$2:$E$61,2,FALSE)</f>
        <v>청바지</v>
      </c>
      <c r="Q1014" t="str">
        <f>VLOOKUP(D1014,상품정보!$A$2:$D$151,3,FALSE)</f>
        <v>의류</v>
      </c>
      <c r="R1014" t="str">
        <f>VLOOKUP(D1014,상품정보!$A$2:$D$151,4,FALSE)</f>
        <v>브랜드B</v>
      </c>
    </row>
    <row r="1015" spans="1:18" x14ac:dyDescent="0.45">
      <c r="A1015" t="s">
        <v>301</v>
      </c>
      <c r="B1015" t="s">
        <v>1414</v>
      </c>
      <c r="C1015" t="s">
        <v>2422</v>
      </c>
      <c r="D1015" t="s">
        <v>2593</v>
      </c>
      <c r="E1015">
        <v>3</v>
      </c>
      <c r="F1015">
        <v>74600</v>
      </c>
      <c r="G1015">
        <v>0</v>
      </c>
      <c r="H1015">
        <v>0</v>
      </c>
      <c r="I1015" t="s">
        <v>2652</v>
      </c>
      <c r="J1015" s="4">
        <f t="shared" si="45"/>
        <v>223800</v>
      </c>
      <c r="K1015" s="4" t="str">
        <f t="shared" si="46"/>
        <v>2024-09</v>
      </c>
      <c r="L1015" s="4" t="str">
        <f t="shared" si="47"/>
        <v>목</v>
      </c>
      <c r="M1015" s="2" t="str">
        <f>VLOOKUP($C1015, 고객정보!$A$2:$E$151, 2, FALSE)</f>
        <v>광주</v>
      </c>
      <c r="N1015" t="str">
        <f>VLOOKUP(C1015,고객정보!$A$2:$D$151,4,FALSE)</f>
        <v>L5</v>
      </c>
      <c r="O1015" t="str">
        <f>VLOOKUP($C1015, 고객정보!$A$2:$E$151, 5, FALSE)</f>
        <v>30대</v>
      </c>
      <c r="P1015" t="str">
        <f>VLOOKUP(D1015,상품정보!$A$2:$E$61,2,FALSE)</f>
        <v>반팔 티셔츠</v>
      </c>
      <c r="Q1015" t="str">
        <f>VLOOKUP(D1015,상품정보!$A$2:$D$151,3,FALSE)</f>
        <v>의류</v>
      </c>
      <c r="R1015" t="str">
        <f>VLOOKUP(D1015,상품정보!$A$2:$D$151,4,FALSE)</f>
        <v>브랜드B</v>
      </c>
    </row>
    <row r="1016" spans="1:18" x14ac:dyDescent="0.45">
      <c r="A1016" t="s">
        <v>366</v>
      </c>
      <c r="B1016" t="s">
        <v>1415</v>
      </c>
      <c r="C1016" t="s">
        <v>2524</v>
      </c>
      <c r="D1016" t="s">
        <v>2584</v>
      </c>
      <c r="E1016">
        <v>5</v>
      </c>
      <c r="F1016">
        <v>59700</v>
      </c>
      <c r="G1016">
        <v>0</v>
      </c>
      <c r="H1016">
        <v>2900</v>
      </c>
      <c r="I1016" t="s">
        <v>2613</v>
      </c>
      <c r="J1016" s="4">
        <f t="shared" si="45"/>
        <v>295600</v>
      </c>
      <c r="K1016" s="4" t="str">
        <f t="shared" si="46"/>
        <v>2024-09</v>
      </c>
      <c r="L1016" s="4" t="str">
        <f t="shared" si="47"/>
        <v>월</v>
      </c>
      <c r="M1016" s="2" t="str">
        <f>VLOOKUP($C1016, 고객정보!$A$2:$E$151, 2, FALSE)</f>
        <v>서울</v>
      </c>
      <c r="N1016" t="str">
        <f>VLOOKUP(C1016,고객정보!$A$2:$D$151,4,FALSE)</f>
        <v>L5</v>
      </c>
      <c r="O1016" t="str">
        <f>VLOOKUP($C1016, 고객정보!$A$2:$E$151, 5, FALSE)</f>
        <v>10대</v>
      </c>
      <c r="P1016" t="str">
        <f>VLOOKUP(D1016,상품정보!$A$2:$E$61,2,FALSE)</f>
        <v>목걸이</v>
      </c>
      <c r="Q1016" t="str">
        <f>VLOOKUP(D1016,상품정보!$A$2:$D$151,3,FALSE)</f>
        <v>액세서리</v>
      </c>
      <c r="R1016" t="str">
        <f>VLOOKUP(D1016,상품정보!$A$2:$D$151,4,FALSE)</f>
        <v>브랜드B</v>
      </c>
    </row>
    <row r="1017" spans="1:18" x14ac:dyDescent="0.45">
      <c r="A1017" t="s">
        <v>309</v>
      </c>
      <c r="B1017" t="s">
        <v>1416</v>
      </c>
      <c r="C1017" t="s">
        <v>2497</v>
      </c>
      <c r="D1017" t="s">
        <v>2553</v>
      </c>
      <c r="E1017">
        <v>3</v>
      </c>
      <c r="F1017">
        <v>63400</v>
      </c>
      <c r="G1017">
        <v>500</v>
      </c>
      <c r="H1017">
        <v>800</v>
      </c>
      <c r="I1017" t="s">
        <v>2612</v>
      </c>
      <c r="J1017" s="4">
        <f t="shared" si="45"/>
        <v>189900</v>
      </c>
      <c r="K1017" s="4" t="str">
        <f t="shared" si="46"/>
        <v>2024-07</v>
      </c>
      <c r="L1017" s="4" t="str">
        <f t="shared" si="47"/>
        <v>월</v>
      </c>
      <c r="M1017" s="2" t="str">
        <f>VLOOKUP($C1017, 고객정보!$A$2:$E$151, 2, FALSE)</f>
        <v>서울</v>
      </c>
      <c r="N1017" t="str">
        <f>VLOOKUP(C1017,고객정보!$A$2:$D$151,4,FALSE)</f>
        <v>L3</v>
      </c>
      <c r="O1017" t="str">
        <f>VLOOKUP($C1017, 고객정보!$A$2:$E$151, 5, FALSE)</f>
        <v>10대</v>
      </c>
      <c r="P1017" t="str">
        <f>VLOOKUP(D1017,상품정보!$A$2:$E$61,2,FALSE)</f>
        <v>귀걸이</v>
      </c>
      <c r="Q1017" t="str">
        <f>VLOOKUP(D1017,상품정보!$A$2:$D$151,3,FALSE)</f>
        <v>액세서리</v>
      </c>
      <c r="R1017" t="str">
        <f>VLOOKUP(D1017,상품정보!$A$2:$D$151,4,FALSE)</f>
        <v>브랜드F</v>
      </c>
    </row>
    <row r="1018" spans="1:18" x14ac:dyDescent="0.45">
      <c r="A1018" t="s">
        <v>244</v>
      </c>
      <c r="B1018" t="s">
        <v>1417</v>
      </c>
      <c r="C1018" t="s">
        <v>2430</v>
      </c>
      <c r="D1018" t="s">
        <v>2592</v>
      </c>
      <c r="E1018">
        <v>2</v>
      </c>
      <c r="F1018">
        <v>72700</v>
      </c>
      <c r="G1018">
        <v>2000</v>
      </c>
      <c r="H1018">
        <v>0</v>
      </c>
      <c r="I1018" t="s">
        <v>2652</v>
      </c>
      <c r="J1018" s="4">
        <f t="shared" si="45"/>
        <v>147400</v>
      </c>
      <c r="K1018" s="4" t="str">
        <f t="shared" si="46"/>
        <v>2024-11</v>
      </c>
      <c r="L1018" s="4" t="str">
        <f t="shared" si="47"/>
        <v>월</v>
      </c>
      <c r="M1018" s="2" t="str">
        <f>VLOOKUP($C1018, 고객정보!$A$2:$E$151, 2, FALSE)</f>
        <v>광주</v>
      </c>
      <c r="N1018" t="str">
        <f>VLOOKUP(C1018,고객정보!$A$2:$D$151,4,FALSE)</f>
        <v>L4</v>
      </c>
      <c r="O1018" t="str">
        <f>VLOOKUP($C1018, 고객정보!$A$2:$E$151, 5, FALSE)</f>
        <v>30대</v>
      </c>
      <c r="P1018" t="str">
        <f>VLOOKUP(D1018,상품정보!$A$2:$E$61,2,FALSE)</f>
        <v>귀걸이</v>
      </c>
      <c r="Q1018" t="str">
        <f>VLOOKUP(D1018,상품정보!$A$2:$D$151,3,FALSE)</f>
        <v>액세서리</v>
      </c>
      <c r="R1018" t="str">
        <f>VLOOKUP(D1018,상품정보!$A$2:$D$151,4,FALSE)</f>
        <v>브랜드A</v>
      </c>
    </row>
    <row r="1019" spans="1:18" x14ac:dyDescent="0.45">
      <c r="A1019" t="s">
        <v>285</v>
      </c>
      <c r="B1019" t="s">
        <v>1418</v>
      </c>
      <c r="C1019" t="s">
        <v>2513</v>
      </c>
      <c r="D1019" t="s">
        <v>2585</v>
      </c>
      <c r="E1019">
        <v>5</v>
      </c>
      <c r="F1019">
        <v>14900</v>
      </c>
      <c r="G1019">
        <v>1000</v>
      </c>
      <c r="H1019">
        <v>0</v>
      </c>
      <c r="I1019" t="s">
        <v>2652</v>
      </c>
      <c r="J1019" s="4">
        <f t="shared" si="45"/>
        <v>75500</v>
      </c>
      <c r="K1019" s="4" t="str">
        <f t="shared" si="46"/>
        <v>2024-01</v>
      </c>
      <c r="L1019" s="4" t="str">
        <f t="shared" si="47"/>
        <v>수</v>
      </c>
      <c r="M1019" s="2" t="str">
        <f>VLOOKUP($C1019, 고객정보!$A$2:$E$151, 2, FALSE)</f>
        <v>수원</v>
      </c>
      <c r="N1019" t="str">
        <f>VLOOKUP(C1019,고객정보!$A$2:$D$151,4,FALSE)</f>
        <v>L5</v>
      </c>
      <c r="O1019" t="str">
        <f>VLOOKUP($C1019, 고객정보!$A$2:$E$151, 5, FALSE)</f>
        <v>20대</v>
      </c>
      <c r="P1019" t="str">
        <f>VLOOKUP(D1019,상품정보!$A$2:$E$61,2,FALSE)</f>
        <v>반팔 티셔츠</v>
      </c>
      <c r="Q1019" t="str">
        <f>VLOOKUP(D1019,상품정보!$A$2:$D$151,3,FALSE)</f>
        <v>의류</v>
      </c>
      <c r="R1019" t="str">
        <f>VLOOKUP(D1019,상품정보!$A$2:$D$151,4,FALSE)</f>
        <v>브랜드C</v>
      </c>
    </row>
    <row r="1020" spans="1:18" x14ac:dyDescent="0.45">
      <c r="A1020" t="s">
        <v>366</v>
      </c>
      <c r="B1020" t="s">
        <v>1419</v>
      </c>
      <c r="C1020" t="s">
        <v>2418</v>
      </c>
      <c r="D1020" t="s">
        <v>2577</v>
      </c>
      <c r="E1020">
        <v>3</v>
      </c>
      <c r="F1020">
        <v>10200</v>
      </c>
      <c r="G1020">
        <v>1000</v>
      </c>
      <c r="H1020">
        <v>6300</v>
      </c>
      <c r="I1020" t="s">
        <v>2612</v>
      </c>
      <c r="J1020" s="4">
        <f t="shared" si="45"/>
        <v>25300</v>
      </c>
      <c r="K1020" s="4" t="str">
        <f t="shared" si="46"/>
        <v>2024-09</v>
      </c>
      <c r="L1020" s="4" t="str">
        <f t="shared" si="47"/>
        <v>월</v>
      </c>
      <c r="M1020" s="2" t="str">
        <f>VLOOKUP($C1020, 고객정보!$A$2:$E$151, 2, FALSE)</f>
        <v>부산</v>
      </c>
      <c r="N1020" t="str">
        <f>VLOOKUP(C1020,고객정보!$A$2:$D$151,4,FALSE)</f>
        <v>L5</v>
      </c>
      <c r="O1020" t="str">
        <f>VLOOKUP($C1020, 고객정보!$A$2:$E$151, 5, FALSE)</f>
        <v>30대</v>
      </c>
      <c r="P1020" t="str">
        <f>VLOOKUP(D1020,상품정보!$A$2:$E$61,2,FALSE)</f>
        <v>셔츠</v>
      </c>
      <c r="Q1020" t="str">
        <f>VLOOKUP(D1020,상품정보!$A$2:$D$151,3,FALSE)</f>
        <v>의류</v>
      </c>
      <c r="R1020" t="str">
        <f>VLOOKUP(D1020,상품정보!$A$2:$D$151,4,FALSE)</f>
        <v>브랜드C</v>
      </c>
    </row>
    <row r="1021" spans="1:18" x14ac:dyDescent="0.45">
      <c r="A1021" t="s">
        <v>176</v>
      </c>
      <c r="B1021" t="s">
        <v>1420</v>
      </c>
      <c r="C1021" t="s">
        <v>2403</v>
      </c>
      <c r="D1021" t="s">
        <v>2577</v>
      </c>
      <c r="E1021">
        <v>4</v>
      </c>
      <c r="F1021">
        <v>10200</v>
      </c>
      <c r="G1021">
        <v>500</v>
      </c>
      <c r="H1021">
        <v>0</v>
      </c>
      <c r="I1021" t="s">
        <v>2652</v>
      </c>
      <c r="J1021" s="4">
        <f t="shared" si="45"/>
        <v>41300</v>
      </c>
      <c r="K1021" s="4" t="str">
        <f t="shared" si="46"/>
        <v>2024-06</v>
      </c>
      <c r="L1021" s="4" t="str">
        <f t="shared" si="47"/>
        <v>화</v>
      </c>
      <c r="M1021" s="2" t="str">
        <f>VLOOKUP($C1021, 고객정보!$A$2:$E$151, 2, FALSE)</f>
        <v>수원</v>
      </c>
      <c r="N1021" t="str">
        <f>VLOOKUP(C1021,고객정보!$A$2:$D$151,4,FALSE)</f>
        <v>L3</v>
      </c>
      <c r="O1021" t="str">
        <f>VLOOKUP($C1021, 고객정보!$A$2:$E$151, 5, FALSE)</f>
        <v>30대</v>
      </c>
      <c r="P1021" t="str">
        <f>VLOOKUP(D1021,상품정보!$A$2:$E$61,2,FALSE)</f>
        <v>셔츠</v>
      </c>
      <c r="Q1021" t="str">
        <f>VLOOKUP(D1021,상품정보!$A$2:$D$151,3,FALSE)</f>
        <v>의류</v>
      </c>
      <c r="R1021" t="str">
        <f>VLOOKUP(D1021,상품정보!$A$2:$D$151,4,FALSE)</f>
        <v>브랜드C</v>
      </c>
    </row>
    <row r="1022" spans="1:18" x14ac:dyDescent="0.45">
      <c r="A1022" t="s">
        <v>273</v>
      </c>
      <c r="B1022" t="s">
        <v>1421</v>
      </c>
      <c r="C1022" t="s">
        <v>2500</v>
      </c>
      <c r="D1022" t="s">
        <v>2554</v>
      </c>
      <c r="E1022">
        <v>3</v>
      </c>
      <c r="F1022">
        <v>12100</v>
      </c>
      <c r="G1022">
        <v>500</v>
      </c>
      <c r="H1022">
        <v>0</v>
      </c>
      <c r="I1022" t="s">
        <v>2652</v>
      </c>
      <c r="J1022" s="4">
        <f t="shared" si="45"/>
        <v>36800</v>
      </c>
      <c r="K1022" s="4" t="str">
        <f t="shared" si="46"/>
        <v>2024-07</v>
      </c>
      <c r="L1022" s="4" t="str">
        <f t="shared" si="47"/>
        <v>수</v>
      </c>
      <c r="M1022" s="2" t="str">
        <f>VLOOKUP($C1022, 고객정보!$A$2:$E$151, 2, FALSE)</f>
        <v>서울</v>
      </c>
      <c r="N1022" t="str">
        <f>VLOOKUP(C1022,고객정보!$A$2:$D$151,4,FALSE)</f>
        <v>L3</v>
      </c>
      <c r="O1022" t="str">
        <f>VLOOKUP($C1022, 고객정보!$A$2:$E$151, 5, FALSE)</f>
        <v>20대</v>
      </c>
      <c r="P1022" t="str">
        <f>VLOOKUP(D1022,상품정보!$A$2:$E$61,2,FALSE)</f>
        <v>귀걸이</v>
      </c>
      <c r="Q1022" t="str">
        <f>VLOOKUP(D1022,상품정보!$A$2:$D$151,3,FALSE)</f>
        <v>액세서리</v>
      </c>
      <c r="R1022" t="str">
        <f>VLOOKUP(D1022,상품정보!$A$2:$D$151,4,FALSE)</f>
        <v>브랜드D</v>
      </c>
    </row>
    <row r="1023" spans="1:18" x14ac:dyDescent="0.45">
      <c r="A1023" t="s">
        <v>313</v>
      </c>
      <c r="B1023" t="s">
        <v>1422</v>
      </c>
      <c r="C1023" t="s">
        <v>2423</v>
      </c>
      <c r="D1023" t="s">
        <v>2604</v>
      </c>
      <c r="E1023">
        <v>1</v>
      </c>
      <c r="F1023">
        <v>9700</v>
      </c>
      <c r="G1023">
        <v>500</v>
      </c>
      <c r="H1023">
        <v>0</v>
      </c>
      <c r="I1023" t="s">
        <v>2652</v>
      </c>
      <c r="J1023" s="4">
        <f t="shared" si="45"/>
        <v>10200</v>
      </c>
      <c r="K1023" s="4" t="str">
        <f t="shared" si="46"/>
        <v>2024-06</v>
      </c>
      <c r="L1023" s="4" t="str">
        <f t="shared" si="47"/>
        <v>수</v>
      </c>
      <c r="M1023" s="2" t="str">
        <f>VLOOKUP($C1023, 고객정보!$A$2:$E$151, 2, FALSE)</f>
        <v>수원</v>
      </c>
      <c r="N1023" t="str">
        <f>VLOOKUP(C1023,고객정보!$A$2:$D$151,4,FALSE)</f>
        <v>L5</v>
      </c>
      <c r="O1023" t="str">
        <f>VLOOKUP($C1023, 고객정보!$A$2:$E$151, 5, FALSE)</f>
        <v>30대</v>
      </c>
      <c r="P1023" t="str">
        <f>VLOOKUP(D1023,상품정보!$A$2:$E$61,2,FALSE)</f>
        <v>반팔 티셔츠</v>
      </c>
      <c r="Q1023" t="str">
        <f>VLOOKUP(D1023,상품정보!$A$2:$D$151,3,FALSE)</f>
        <v>의류</v>
      </c>
      <c r="R1023" t="str">
        <f>VLOOKUP(D1023,상품정보!$A$2:$D$151,4,FALSE)</f>
        <v>브랜드E</v>
      </c>
    </row>
    <row r="1024" spans="1:18" x14ac:dyDescent="0.45">
      <c r="A1024" t="s">
        <v>77</v>
      </c>
      <c r="B1024" t="s">
        <v>1423</v>
      </c>
      <c r="C1024" t="s">
        <v>2407</v>
      </c>
      <c r="D1024" t="s">
        <v>2551</v>
      </c>
      <c r="E1024">
        <v>3</v>
      </c>
      <c r="F1024">
        <v>66600</v>
      </c>
      <c r="G1024">
        <v>0</v>
      </c>
      <c r="H1024">
        <v>3200</v>
      </c>
      <c r="I1024" t="s">
        <v>2612</v>
      </c>
      <c r="J1024" s="4">
        <f t="shared" si="45"/>
        <v>196600</v>
      </c>
      <c r="K1024" s="4" t="str">
        <f t="shared" si="46"/>
        <v>2024-01</v>
      </c>
      <c r="L1024" s="4" t="str">
        <f t="shared" si="47"/>
        <v>화</v>
      </c>
      <c r="M1024" s="2" t="str">
        <f>VLOOKUP($C1024, 고객정보!$A$2:$E$151, 2, FALSE)</f>
        <v>서울</v>
      </c>
      <c r="N1024" t="str">
        <f>VLOOKUP(C1024,고객정보!$A$2:$D$151,4,FALSE)</f>
        <v>L5</v>
      </c>
      <c r="O1024" t="str">
        <f>VLOOKUP($C1024, 고객정보!$A$2:$E$151, 5, FALSE)</f>
        <v>30대</v>
      </c>
      <c r="P1024" t="str">
        <f>VLOOKUP(D1024,상품정보!$A$2:$E$61,2,FALSE)</f>
        <v>반지</v>
      </c>
      <c r="Q1024" t="str">
        <f>VLOOKUP(D1024,상품정보!$A$2:$D$151,3,FALSE)</f>
        <v>액세서리</v>
      </c>
      <c r="R1024" t="str">
        <f>VLOOKUP(D1024,상품정보!$A$2:$D$151,4,FALSE)</f>
        <v>브랜드B</v>
      </c>
    </row>
    <row r="1025" spans="1:18" x14ac:dyDescent="0.45">
      <c r="A1025" t="s">
        <v>135</v>
      </c>
      <c r="B1025" t="s">
        <v>1424</v>
      </c>
      <c r="C1025" t="s">
        <v>2550</v>
      </c>
      <c r="D1025" t="s">
        <v>2578</v>
      </c>
      <c r="E1025">
        <v>3</v>
      </c>
      <c r="F1025">
        <v>78000</v>
      </c>
      <c r="G1025">
        <v>0</v>
      </c>
      <c r="H1025">
        <v>1300</v>
      </c>
      <c r="I1025" t="s">
        <v>2613</v>
      </c>
      <c r="J1025" s="4">
        <f t="shared" si="45"/>
        <v>232700</v>
      </c>
      <c r="K1025" s="4" t="str">
        <f t="shared" si="46"/>
        <v>2025-01</v>
      </c>
      <c r="L1025" s="4" t="str">
        <f t="shared" si="47"/>
        <v>월</v>
      </c>
      <c r="M1025" s="2" t="str">
        <f>VLOOKUP($C1025, 고객정보!$A$2:$E$151, 2, FALSE)</f>
        <v>광주</v>
      </c>
      <c r="N1025" t="str">
        <f>VLOOKUP(C1025,고객정보!$A$2:$D$151,4,FALSE)</f>
        <v>L1</v>
      </c>
      <c r="O1025" t="str">
        <f>VLOOKUP($C1025, 고객정보!$A$2:$E$151, 5, FALSE)</f>
        <v>40대</v>
      </c>
      <c r="P1025" t="str">
        <f>VLOOKUP(D1025,상품정보!$A$2:$E$61,2,FALSE)</f>
        <v>귀걸이</v>
      </c>
      <c r="Q1025" t="str">
        <f>VLOOKUP(D1025,상품정보!$A$2:$D$151,3,FALSE)</f>
        <v>액세서리</v>
      </c>
      <c r="R1025" t="str">
        <f>VLOOKUP(D1025,상품정보!$A$2:$D$151,4,FALSE)</f>
        <v>브랜드B</v>
      </c>
    </row>
    <row r="1026" spans="1:18" x14ac:dyDescent="0.45">
      <c r="A1026" t="s">
        <v>24</v>
      </c>
      <c r="B1026" t="s">
        <v>1425</v>
      </c>
      <c r="C1026" t="s">
        <v>2429</v>
      </c>
      <c r="D1026" t="s">
        <v>2607</v>
      </c>
      <c r="E1026">
        <v>2</v>
      </c>
      <c r="F1026">
        <v>16000</v>
      </c>
      <c r="G1026">
        <v>500</v>
      </c>
      <c r="H1026">
        <v>1000</v>
      </c>
      <c r="I1026" t="s">
        <v>2612</v>
      </c>
      <c r="J1026" s="4">
        <f t="shared" si="45"/>
        <v>31500</v>
      </c>
      <c r="K1026" s="4" t="str">
        <f t="shared" si="46"/>
        <v>2024-02</v>
      </c>
      <c r="L1026" s="4" t="str">
        <f t="shared" si="47"/>
        <v>수</v>
      </c>
      <c r="M1026" s="2" t="str">
        <f>VLOOKUP($C1026, 고객정보!$A$2:$E$151, 2, FALSE)</f>
        <v>서울</v>
      </c>
      <c r="N1026" t="str">
        <f>VLOOKUP(C1026,고객정보!$A$2:$D$151,4,FALSE)</f>
        <v>L1</v>
      </c>
      <c r="O1026" t="str">
        <f>VLOOKUP($C1026, 고객정보!$A$2:$E$151, 5, FALSE)</f>
        <v>10대</v>
      </c>
      <c r="P1026" t="str">
        <f>VLOOKUP(D1026,상품정보!$A$2:$E$61,2,FALSE)</f>
        <v>목걸이</v>
      </c>
      <c r="Q1026" t="str">
        <f>VLOOKUP(D1026,상품정보!$A$2:$D$151,3,FALSE)</f>
        <v>액세서리</v>
      </c>
      <c r="R1026" t="str">
        <f>VLOOKUP(D1026,상품정보!$A$2:$D$151,4,FALSE)</f>
        <v>브랜드E</v>
      </c>
    </row>
    <row r="1027" spans="1:18" x14ac:dyDescent="0.45">
      <c r="A1027" t="s">
        <v>197</v>
      </c>
      <c r="B1027" t="s">
        <v>1426</v>
      </c>
      <c r="C1027" t="s">
        <v>2427</v>
      </c>
      <c r="D1027" t="s">
        <v>2567</v>
      </c>
      <c r="E1027">
        <v>2</v>
      </c>
      <c r="F1027">
        <v>58600</v>
      </c>
      <c r="G1027">
        <v>500</v>
      </c>
      <c r="H1027">
        <v>0</v>
      </c>
      <c r="I1027" t="s">
        <v>2652</v>
      </c>
      <c r="J1027" s="4">
        <f t="shared" ref="J1027:J1090" si="48">E1027*F1027+G1027-H1027</f>
        <v>117700</v>
      </c>
      <c r="K1027" s="4" t="str">
        <f t="shared" ref="K1027:K1090" si="49">LEFT(A1027,7)</f>
        <v>2024-05</v>
      </c>
      <c r="L1027" s="4" t="str">
        <f t="shared" ref="L1027:L1090" si="50">TEXT(WEEKDAY(A1027),"aaa")</f>
        <v>목</v>
      </c>
      <c r="M1027" s="2" t="str">
        <f>VLOOKUP($C1027, 고객정보!$A$2:$E$151, 2, FALSE)</f>
        <v>부산</v>
      </c>
      <c r="N1027" t="str">
        <f>VLOOKUP(C1027,고객정보!$A$2:$D$151,4,FALSE)</f>
        <v>L4</v>
      </c>
      <c r="O1027" t="str">
        <f>VLOOKUP($C1027, 고객정보!$A$2:$E$151, 5, FALSE)</f>
        <v>20대</v>
      </c>
      <c r="P1027" t="str">
        <f>VLOOKUP(D1027,상품정보!$A$2:$E$61,2,FALSE)</f>
        <v>귀걸이</v>
      </c>
      <c r="Q1027" t="str">
        <f>VLOOKUP(D1027,상품정보!$A$2:$D$151,3,FALSE)</f>
        <v>액세서리</v>
      </c>
      <c r="R1027" t="str">
        <f>VLOOKUP(D1027,상품정보!$A$2:$D$151,4,FALSE)</f>
        <v>브랜드B</v>
      </c>
    </row>
    <row r="1028" spans="1:18" x14ac:dyDescent="0.45">
      <c r="A1028" t="s">
        <v>143</v>
      </c>
      <c r="B1028" t="s">
        <v>1427</v>
      </c>
      <c r="C1028" t="s">
        <v>2445</v>
      </c>
      <c r="D1028" t="s">
        <v>2602</v>
      </c>
      <c r="E1028">
        <v>1</v>
      </c>
      <c r="F1028">
        <v>59900</v>
      </c>
      <c r="G1028">
        <v>0</v>
      </c>
      <c r="H1028">
        <v>5200</v>
      </c>
      <c r="I1028" t="s">
        <v>2613</v>
      </c>
      <c r="J1028" s="4">
        <f t="shared" si="48"/>
        <v>54700</v>
      </c>
      <c r="K1028" s="4" t="str">
        <f t="shared" si="49"/>
        <v>2025-01</v>
      </c>
      <c r="L1028" s="4" t="str">
        <f t="shared" si="50"/>
        <v>일</v>
      </c>
      <c r="M1028" s="2" t="str">
        <f>VLOOKUP($C1028, 고객정보!$A$2:$E$151, 2, FALSE)</f>
        <v>대구</v>
      </c>
      <c r="N1028" t="str">
        <f>VLOOKUP(C1028,고객정보!$A$2:$D$151,4,FALSE)</f>
        <v>L3</v>
      </c>
      <c r="O1028" t="str">
        <f>VLOOKUP($C1028, 고객정보!$A$2:$E$151, 5, FALSE)</f>
        <v>10대</v>
      </c>
      <c r="P1028" t="str">
        <f>VLOOKUP(D1028,상품정보!$A$2:$E$61,2,FALSE)</f>
        <v>셔츠</v>
      </c>
      <c r="Q1028" t="str">
        <f>VLOOKUP(D1028,상품정보!$A$2:$D$151,3,FALSE)</f>
        <v>의류</v>
      </c>
      <c r="R1028" t="str">
        <f>VLOOKUP(D1028,상품정보!$A$2:$D$151,4,FALSE)</f>
        <v>브랜드A</v>
      </c>
    </row>
    <row r="1029" spans="1:18" x14ac:dyDescent="0.45">
      <c r="A1029" t="s">
        <v>26</v>
      </c>
      <c r="B1029" t="s">
        <v>1428</v>
      </c>
      <c r="C1029" t="s">
        <v>2407</v>
      </c>
      <c r="D1029" t="s">
        <v>2563</v>
      </c>
      <c r="E1029">
        <v>4</v>
      </c>
      <c r="F1029">
        <v>6900</v>
      </c>
      <c r="G1029">
        <v>0</v>
      </c>
      <c r="H1029">
        <v>3400</v>
      </c>
      <c r="I1029" t="s">
        <v>2614</v>
      </c>
      <c r="J1029" s="4">
        <f t="shared" si="48"/>
        <v>24200</v>
      </c>
      <c r="K1029" s="4" t="str">
        <f t="shared" si="49"/>
        <v>2024-06</v>
      </c>
      <c r="L1029" s="4" t="str">
        <f t="shared" si="50"/>
        <v>일</v>
      </c>
      <c r="M1029" s="2" t="str">
        <f>VLOOKUP($C1029, 고객정보!$A$2:$E$151, 2, FALSE)</f>
        <v>서울</v>
      </c>
      <c r="N1029" t="str">
        <f>VLOOKUP(C1029,고객정보!$A$2:$D$151,4,FALSE)</f>
        <v>L5</v>
      </c>
      <c r="O1029" t="str">
        <f>VLOOKUP($C1029, 고객정보!$A$2:$E$151, 5, FALSE)</f>
        <v>30대</v>
      </c>
      <c r="P1029" t="str">
        <f>VLOOKUP(D1029,상품정보!$A$2:$E$61,2,FALSE)</f>
        <v>귀걸이</v>
      </c>
      <c r="Q1029" t="str">
        <f>VLOOKUP(D1029,상품정보!$A$2:$D$151,3,FALSE)</f>
        <v>액세서리</v>
      </c>
      <c r="R1029" t="str">
        <f>VLOOKUP(D1029,상품정보!$A$2:$D$151,4,FALSE)</f>
        <v>브랜드D</v>
      </c>
    </row>
    <row r="1030" spans="1:18" x14ac:dyDescent="0.45">
      <c r="A1030" t="s">
        <v>147</v>
      </c>
      <c r="B1030" t="s">
        <v>1429</v>
      </c>
      <c r="C1030" t="s">
        <v>2536</v>
      </c>
      <c r="D1030" t="s">
        <v>2604</v>
      </c>
      <c r="E1030">
        <v>2</v>
      </c>
      <c r="F1030">
        <v>9700</v>
      </c>
      <c r="G1030">
        <v>0</v>
      </c>
      <c r="H1030">
        <v>0</v>
      </c>
      <c r="I1030" t="s">
        <v>2652</v>
      </c>
      <c r="J1030" s="4">
        <f t="shared" si="48"/>
        <v>19400</v>
      </c>
      <c r="K1030" s="4" t="str">
        <f t="shared" si="49"/>
        <v>2024-10</v>
      </c>
      <c r="L1030" s="4" t="str">
        <f t="shared" si="50"/>
        <v>수</v>
      </c>
      <c r="M1030" s="2" t="str">
        <f>VLOOKUP($C1030, 고객정보!$A$2:$E$151, 2, FALSE)</f>
        <v>서울</v>
      </c>
      <c r="N1030" t="str">
        <f>VLOOKUP(C1030,고객정보!$A$2:$D$151,4,FALSE)</f>
        <v>L5</v>
      </c>
      <c r="O1030" t="str">
        <f>VLOOKUP($C1030, 고객정보!$A$2:$E$151, 5, FALSE)</f>
        <v>20대</v>
      </c>
      <c r="P1030" t="str">
        <f>VLOOKUP(D1030,상품정보!$A$2:$E$61,2,FALSE)</f>
        <v>반팔 티셔츠</v>
      </c>
      <c r="Q1030" t="str">
        <f>VLOOKUP(D1030,상품정보!$A$2:$D$151,3,FALSE)</f>
        <v>의류</v>
      </c>
      <c r="R1030" t="str">
        <f>VLOOKUP(D1030,상품정보!$A$2:$D$151,4,FALSE)</f>
        <v>브랜드E</v>
      </c>
    </row>
    <row r="1031" spans="1:18" x14ac:dyDescent="0.45">
      <c r="A1031" t="s">
        <v>267</v>
      </c>
      <c r="B1031" t="s">
        <v>1430</v>
      </c>
      <c r="C1031" t="s">
        <v>2546</v>
      </c>
      <c r="D1031" t="s">
        <v>2570</v>
      </c>
      <c r="E1031">
        <v>3</v>
      </c>
      <c r="F1031">
        <v>73900</v>
      </c>
      <c r="G1031">
        <v>0</v>
      </c>
      <c r="H1031">
        <v>4000</v>
      </c>
      <c r="I1031" t="s">
        <v>2613</v>
      </c>
      <c r="J1031" s="4">
        <f t="shared" si="48"/>
        <v>217700</v>
      </c>
      <c r="K1031" s="4" t="str">
        <f t="shared" si="49"/>
        <v>2024-10</v>
      </c>
      <c r="L1031" s="4" t="str">
        <f t="shared" si="50"/>
        <v>화</v>
      </c>
      <c r="M1031" s="2" t="str">
        <f>VLOOKUP($C1031, 고객정보!$A$2:$E$151, 2, FALSE)</f>
        <v>인천</v>
      </c>
      <c r="N1031" t="str">
        <f>VLOOKUP(C1031,고객정보!$A$2:$D$151,4,FALSE)</f>
        <v>L4</v>
      </c>
      <c r="O1031" t="str">
        <f>VLOOKUP($C1031, 고객정보!$A$2:$E$151, 5, FALSE)</f>
        <v>50대 이상</v>
      </c>
      <c r="P1031" t="str">
        <f>VLOOKUP(D1031,상품정보!$A$2:$E$61,2,FALSE)</f>
        <v>반지</v>
      </c>
      <c r="Q1031" t="str">
        <f>VLOOKUP(D1031,상품정보!$A$2:$D$151,3,FALSE)</f>
        <v>액세서리</v>
      </c>
      <c r="R1031" t="str">
        <f>VLOOKUP(D1031,상품정보!$A$2:$D$151,4,FALSE)</f>
        <v>브랜드B</v>
      </c>
    </row>
    <row r="1032" spans="1:18" x14ac:dyDescent="0.45">
      <c r="A1032" t="s">
        <v>33</v>
      </c>
      <c r="B1032" t="s">
        <v>1431</v>
      </c>
      <c r="C1032" t="s">
        <v>2503</v>
      </c>
      <c r="D1032" t="s">
        <v>2588</v>
      </c>
      <c r="E1032">
        <v>3</v>
      </c>
      <c r="F1032">
        <v>7700</v>
      </c>
      <c r="G1032">
        <v>500</v>
      </c>
      <c r="H1032">
        <v>0</v>
      </c>
      <c r="I1032" t="s">
        <v>2652</v>
      </c>
      <c r="J1032" s="4">
        <f t="shared" si="48"/>
        <v>23600</v>
      </c>
      <c r="K1032" s="4" t="str">
        <f t="shared" si="49"/>
        <v>2024-10</v>
      </c>
      <c r="L1032" s="4" t="str">
        <f t="shared" si="50"/>
        <v>목</v>
      </c>
      <c r="M1032" s="2" t="str">
        <f>VLOOKUP($C1032, 고객정보!$A$2:$E$151, 2, FALSE)</f>
        <v>대전</v>
      </c>
      <c r="N1032" t="str">
        <f>VLOOKUP(C1032,고객정보!$A$2:$D$151,4,FALSE)</f>
        <v>L3</v>
      </c>
      <c r="O1032" t="str">
        <f>VLOOKUP($C1032, 고객정보!$A$2:$E$151, 5, FALSE)</f>
        <v>40대</v>
      </c>
      <c r="P1032" t="str">
        <f>VLOOKUP(D1032,상품정보!$A$2:$E$61,2,FALSE)</f>
        <v>귀걸이</v>
      </c>
      <c r="Q1032" t="str">
        <f>VLOOKUP(D1032,상품정보!$A$2:$D$151,3,FALSE)</f>
        <v>액세서리</v>
      </c>
      <c r="R1032" t="str">
        <f>VLOOKUP(D1032,상품정보!$A$2:$D$151,4,FALSE)</f>
        <v>브랜드D</v>
      </c>
    </row>
    <row r="1033" spans="1:18" x14ac:dyDescent="0.45">
      <c r="A1033" t="s">
        <v>214</v>
      </c>
      <c r="B1033" t="s">
        <v>1432</v>
      </c>
      <c r="C1033" t="s">
        <v>2500</v>
      </c>
      <c r="D1033" t="s">
        <v>2573</v>
      </c>
      <c r="E1033">
        <v>5</v>
      </c>
      <c r="F1033">
        <v>6400</v>
      </c>
      <c r="G1033">
        <v>0</v>
      </c>
      <c r="H1033">
        <v>0</v>
      </c>
      <c r="I1033" t="s">
        <v>2652</v>
      </c>
      <c r="J1033" s="4">
        <f t="shared" si="48"/>
        <v>32000</v>
      </c>
      <c r="K1033" s="4" t="str">
        <f t="shared" si="49"/>
        <v>2024-04</v>
      </c>
      <c r="L1033" s="4" t="str">
        <f t="shared" si="50"/>
        <v>토</v>
      </c>
      <c r="M1033" s="2" t="str">
        <f>VLOOKUP($C1033, 고객정보!$A$2:$E$151, 2, FALSE)</f>
        <v>서울</v>
      </c>
      <c r="N1033" t="str">
        <f>VLOOKUP(C1033,고객정보!$A$2:$D$151,4,FALSE)</f>
        <v>L3</v>
      </c>
      <c r="O1033" t="str">
        <f>VLOOKUP($C1033, 고객정보!$A$2:$E$151, 5, FALSE)</f>
        <v>20대</v>
      </c>
      <c r="P1033" t="str">
        <f>VLOOKUP(D1033,상품정보!$A$2:$E$61,2,FALSE)</f>
        <v>귀걸이</v>
      </c>
      <c r="Q1033" t="str">
        <f>VLOOKUP(D1033,상품정보!$A$2:$D$151,3,FALSE)</f>
        <v>액세서리</v>
      </c>
      <c r="R1033" t="str">
        <f>VLOOKUP(D1033,상품정보!$A$2:$D$151,4,FALSE)</f>
        <v>브랜드E</v>
      </c>
    </row>
    <row r="1034" spans="1:18" x14ac:dyDescent="0.45">
      <c r="A1034" t="s">
        <v>319</v>
      </c>
      <c r="B1034" t="s">
        <v>1433</v>
      </c>
      <c r="C1034" t="s">
        <v>2534</v>
      </c>
      <c r="D1034" t="s">
        <v>2561</v>
      </c>
      <c r="E1034">
        <v>3</v>
      </c>
      <c r="F1034">
        <v>63300</v>
      </c>
      <c r="G1034">
        <v>0</v>
      </c>
      <c r="H1034">
        <v>0</v>
      </c>
      <c r="I1034" t="s">
        <v>2652</v>
      </c>
      <c r="J1034" s="4">
        <f t="shared" si="48"/>
        <v>189900</v>
      </c>
      <c r="K1034" s="4" t="str">
        <f t="shared" si="49"/>
        <v>2024-03</v>
      </c>
      <c r="L1034" s="4" t="str">
        <f t="shared" si="50"/>
        <v>토</v>
      </c>
      <c r="M1034" s="2" t="str">
        <f>VLOOKUP($C1034, 고객정보!$A$2:$E$151, 2, FALSE)</f>
        <v>광주</v>
      </c>
      <c r="N1034" t="str">
        <f>VLOOKUP(C1034,고객정보!$A$2:$D$151,4,FALSE)</f>
        <v>L2</v>
      </c>
      <c r="O1034" t="str">
        <f>VLOOKUP($C1034, 고객정보!$A$2:$E$151, 5, FALSE)</f>
        <v>10대</v>
      </c>
      <c r="P1034" t="str">
        <f>VLOOKUP(D1034,상품정보!$A$2:$E$61,2,FALSE)</f>
        <v>귀걸이</v>
      </c>
      <c r="Q1034" t="str">
        <f>VLOOKUP(D1034,상품정보!$A$2:$D$151,3,FALSE)</f>
        <v>액세서리</v>
      </c>
      <c r="R1034" t="str">
        <f>VLOOKUP(D1034,상품정보!$A$2:$D$151,4,FALSE)</f>
        <v>브랜드B</v>
      </c>
    </row>
    <row r="1035" spans="1:18" x14ac:dyDescent="0.45">
      <c r="A1035" t="s">
        <v>259</v>
      </c>
      <c r="B1035" t="s">
        <v>1434</v>
      </c>
      <c r="C1035" t="s">
        <v>2510</v>
      </c>
      <c r="D1035" t="s">
        <v>2564</v>
      </c>
      <c r="E1035">
        <v>1</v>
      </c>
      <c r="F1035">
        <v>66600</v>
      </c>
      <c r="G1035">
        <v>0</v>
      </c>
      <c r="H1035">
        <v>0</v>
      </c>
      <c r="I1035" t="s">
        <v>2652</v>
      </c>
      <c r="J1035" s="4">
        <f t="shared" si="48"/>
        <v>66600</v>
      </c>
      <c r="K1035" s="4" t="str">
        <f t="shared" si="49"/>
        <v>2024-01</v>
      </c>
      <c r="L1035" s="4" t="str">
        <f t="shared" si="50"/>
        <v>월</v>
      </c>
      <c r="M1035" s="2" t="str">
        <f>VLOOKUP($C1035, 고객정보!$A$2:$E$151, 2, FALSE)</f>
        <v>부산</v>
      </c>
      <c r="N1035" t="str">
        <f>VLOOKUP(C1035,고객정보!$A$2:$D$151,4,FALSE)</f>
        <v>L3</v>
      </c>
      <c r="O1035" t="str">
        <f>VLOOKUP($C1035, 고객정보!$A$2:$E$151, 5, FALSE)</f>
        <v>20대</v>
      </c>
      <c r="P1035" t="str">
        <f>VLOOKUP(D1035,상품정보!$A$2:$E$61,2,FALSE)</f>
        <v>청바지</v>
      </c>
      <c r="Q1035" t="str">
        <f>VLOOKUP(D1035,상품정보!$A$2:$D$151,3,FALSE)</f>
        <v>의류</v>
      </c>
      <c r="R1035" t="str">
        <f>VLOOKUP(D1035,상품정보!$A$2:$D$151,4,FALSE)</f>
        <v>브랜드B</v>
      </c>
    </row>
    <row r="1036" spans="1:18" x14ac:dyDescent="0.45">
      <c r="A1036" t="s">
        <v>152</v>
      </c>
      <c r="B1036" t="s">
        <v>1435</v>
      </c>
      <c r="C1036" t="s">
        <v>2405</v>
      </c>
      <c r="D1036" t="s">
        <v>2560</v>
      </c>
      <c r="E1036">
        <v>2</v>
      </c>
      <c r="F1036">
        <v>60600</v>
      </c>
      <c r="G1036">
        <v>0</v>
      </c>
      <c r="H1036">
        <v>0</v>
      </c>
      <c r="I1036" t="s">
        <v>2652</v>
      </c>
      <c r="J1036" s="4">
        <f t="shared" si="48"/>
        <v>121200</v>
      </c>
      <c r="K1036" s="4" t="str">
        <f t="shared" si="49"/>
        <v>2024-01</v>
      </c>
      <c r="L1036" s="4" t="str">
        <f t="shared" si="50"/>
        <v>목</v>
      </c>
      <c r="M1036" s="2" t="str">
        <f>VLOOKUP($C1036, 고객정보!$A$2:$E$151, 2, FALSE)</f>
        <v>부산</v>
      </c>
      <c r="N1036" t="str">
        <f>VLOOKUP(C1036,고객정보!$A$2:$D$151,4,FALSE)</f>
        <v>L3</v>
      </c>
      <c r="O1036" t="str">
        <f>VLOOKUP($C1036, 고객정보!$A$2:$E$151, 5, FALSE)</f>
        <v>40대</v>
      </c>
      <c r="P1036" t="str">
        <f>VLOOKUP(D1036,상품정보!$A$2:$E$61,2,FALSE)</f>
        <v>반팔 티셔츠</v>
      </c>
      <c r="Q1036" t="str">
        <f>VLOOKUP(D1036,상품정보!$A$2:$D$151,3,FALSE)</f>
        <v>의류</v>
      </c>
      <c r="R1036" t="str">
        <f>VLOOKUP(D1036,상품정보!$A$2:$D$151,4,FALSE)</f>
        <v>브랜드F</v>
      </c>
    </row>
    <row r="1037" spans="1:18" x14ac:dyDescent="0.45">
      <c r="A1037" t="s">
        <v>61</v>
      </c>
      <c r="B1037" t="s">
        <v>1436</v>
      </c>
      <c r="C1037" t="s">
        <v>2513</v>
      </c>
      <c r="D1037" t="s">
        <v>2608</v>
      </c>
      <c r="E1037">
        <v>1</v>
      </c>
      <c r="F1037">
        <v>10600</v>
      </c>
      <c r="G1037">
        <v>0</v>
      </c>
      <c r="H1037">
        <v>0</v>
      </c>
      <c r="I1037" t="s">
        <v>2652</v>
      </c>
      <c r="J1037" s="4">
        <f t="shared" si="48"/>
        <v>10600</v>
      </c>
      <c r="K1037" s="4" t="str">
        <f t="shared" si="49"/>
        <v>2024-06</v>
      </c>
      <c r="L1037" s="4" t="str">
        <f t="shared" si="50"/>
        <v>화</v>
      </c>
      <c r="M1037" s="2" t="str">
        <f>VLOOKUP($C1037, 고객정보!$A$2:$E$151, 2, FALSE)</f>
        <v>수원</v>
      </c>
      <c r="N1037" t="str">
        <f>VLOOKUP(C1037,고객정보!$A$2:$D$151,4,FALSE)</f>
        <v>L5</v>
      </c>
      <c r="O1037" t="str">
        <f>VLOOKUP($C1037, 고객정보!$A$2:$E$151, 5, FALSE)</f>
        <v>20대</v>
      </c>
      <c r="P1037" t="str">
        <f>VLOOKUP(D1037,상품정보!$A$2:$E$61,2,FALSE)</f>
        <v>셔츠</v>
      </c>
      <c r="Q1037" t="str">
        <f>VLOOKUP(D1037,상품정보!$A$2:$D$151,3,FALSE)</f>
        <v>의류</v>
      </c>
      <c r="R1037" t="str">
        <f>VLOOKUP(D1037,상품정보!$A$2:$D$151,4,FALSE)</f>
        <v>브랜드D</v>
      </c>
    </row>
    <row r="1038" spans="1:18" x14ac:dyDescent="0.45">
      <c r="A1038" t="s">
        <v>168</v>
      </c>
      <c r="B1038" t="s">
        <v>1437</v>
      </c>
      <c r="C1038" t="s">
        <v>2448</v>
      </c>
      <c r="D1038" t="s">
        <v>2570</v>
      </c>
      <c r="E1038">
        <v>2</v>
      </c>
      <c r="F1038">
        <v>73900</v>
      </c>
      <c r="G1038">
        <v>0</v>
      </c>
      <c r="H1038">
        <v>0</v>
      </c>
      <c r="I1038" t="s">
        <v>2652</v>
      </c>
      <c r="J1038" s="4">
        <f t="shared" si="48"/>
        <v>147800</v>
      </c>
      <c r="K1038" s="4" t="str">
        <f t="shared" si="49"/>
        <v>2024-06</v>
      </c>
      <c r="L1038" s="4" t="str">
        <f t="shared" si="50"/>
        <v>일</v>
      </c>
      <c r="M1038" s="2" t="str">
        <f>VLOOKUP($C1038, 고객정보!$A$2:$E$151, 2, FALSE)</f>
        <v>광주</v>
      </c>
      <c r="N1038" t="str">
        <f>VLOOKUP(C1038,고객정보!$A$2:$D$151,4,FALSE)</f>
        <v>L3</v>
      </c>
      <c r="O1038" t="str">
        <f>VLOOKUP($C1038, 고객정보!$A$2:$E$151, 5, FALSE)</f>
        <v>50대 이상</v>
      </c>
      <c r="P1038" t="str">
        <f>VLOOKUP(D1038,상품정보!$A$2:$E$61,2,FALSE)</f>
        <v>반지</v>
      </c>
      <c r="Q1038" t="str">
        <f>VLOOKUP(D1038,상품정보!$A$2:$D$151,3,FALSE)</f>
        <v>액세서리</v>
      </c>
      <c r="R1038" t="str">
        <f>VLOOKUP(D1038,상품정보!$A$2:$D$151,4,FALSE)</f>
        <v>브랜드B</v>
      </c>
    </row>
    <row r="1039" spans="1:18" x14ac:dyDescent="0.45">
      <c r="A1039" t="s">
        <v>353</v>
      </c>
      <c r="B1039" t="s">
        <v>1438</v>
      </c>
      <c r="C1039" t="s">
        <v>2478</v>
      </c>
      <c r="D1039" t="s">
        <v>2582</v>
      </c>
      <c r="E1039">
        <v>3</v>
      </c>
      <c r="F1039">
        <v>12500</v>
      </c>
      <c r="G1039">
        <v>0</v>
      </c>
      <c r="H1039">
        <v>18600</v>
      </c>
      <c r="I1039" t="s">
        <v>2611</v>
      </c>
      <c r="J1039" s="4">
        <f t="shared" si="48"/>
        <v>18900</v>
      </c>
      <c r="K1039" s="4" t="str">
        <f t="shared" si="49"/>
        <v>2024-01</v>
      </c>
      <c r="L1039" s="4" t="str">
        <f t="shared" si="50"/>
        <v>수</v>
      </c>
      <c r="M1039" s="2" t="str">
        <f>VLOOKUP($C1039, 고객정보!$A$2:$E$151, 2, FALSE)</f>
        <v>인천</v>
      </c>
      <c r="N1039" t="str">
        <f>VLOOKUP(C1039,고객정보!$A$2:$D$151,4,FALSE)</f>
        <v>L1</v>
      </c>
      <c r="O1039" t="str">
        <f>VLOOKUP($C1039, 고객정보!$A$2:$E$151, 5, FALSE)</f>
        <v>40대</v>
      </c>
      <c r="P1039" t="str">
        <f>VLOOKUP(D1039,상품정보!$A$2:$E$61,2,FALSE)</f>
        <v>셔츠</v>
      </c>
      <c r="Q1039" t="str">
        <f>VLOOKUP(D1039,상품정보!$A$2:$D$151,3,FALSE)</f>
        <v>의류</v>
      </c>
      <c r="R1039" t="str">
        <f>VLOOKUP(D1039,상품정보!$A$2:$D$151,4,FALSE)</f>
        <v>브랜드D</v>
      </c>
    </row>
    <row r="1040" spans="1:18" x14ac:dyDescent="0.45">
      <c r="A1040" t="s">
        <v>22</v>
      </c>
      <c r="B1040" t="s">
        <v>1439</v>
      </c>
      <c r="C1040" t="s">
        <v>2520</v>
      </c>
      <c r="D1040" t="s">
        <v>2573</v>
      </c>
      <c r="E1040">
        <v>5</v>
      </c>
      <c r="F1040">
        <v>6400</v>
      </c>
      <c r="G1040">
        <v>500</v>
      </c>
      <c r="H1040">
        <v>0</v>
      </c>
      <c r="I1040" t="s">
        <v>2652</v>
      </c>
      <c r="J1040" s="4">
        <f t="shared" si="48"/>
        <v>32500</v>
      </c>
      <c r="K1040" s="4" t="str">
        <f t="shared" si="49"/>
        <v>2024-12</v>
      </c>
      <c r="L1040" s="4" t="str">
        <f t="shared" si="50"/>
        <v>목</v>
      </c>
      <c r="M1040" s="2" t="str">
        <f>VLOOKUP($C1040, 고객정보!$A$2:$E$151, 2, FALSE)</f>
        <v>서울</v>
      </c>
      <c r="N1040" t="str">
        <f>VLOOKUP(C1040,고객정보!$A$2:$D$151,4,FALSE)</f>
        <v>L2</v>
      </c>
      <c r="O1040" t="str">
        <f>VLOOKUP($C1040, 고객정보!$A$2:$E$151, 5, FALSE)</f>
        <v>40대</v>
      </c>
      <c r="P1040" t="str">
        <f>VLOOKUP(D1040,상품정보!$A$2:$E$61,2,FALSE)</f>
        <v>귀걸이</v>
      </c>
      <c r="Q1040" t="str">
        <f>VLOOKUP(D1040,상품정보!$A$2:$D$151,3,FALSE)</f>
        <v>액세서리</v>
      </c>
      <c r="R1040" t="str">
        <f>VLOOKUP(D1040,상품정보!$A$2:$D$151,4,FALSE)</f>
        <v>브랜드E</v>
      </c>
    </row>
    <row r="1041" spans="1:18" x14ac:dyDescent="0.45">
      <c r="A1041" t="s">
        <v>367</v>
      </c>
      <c r="B1041" t="s">
        <v>1440</v>
      </c>
      <c r="C1041" t="s">
        <v>2518</v>
      </c>
      <c r="D1041" t="s">
        <v>2587</v>
      </c>
      <c r="E1041">
        <v>1</v>
      </c>
      <c r="F1041">
        <v>50200</v>
      </c>
      <c r="G1041">
        <v>0</v>
      </c>
      <c r="H1041">
        <v>0</v>
      </c>
      <c r="I1041" t="s">
        <v>2652</v>
      </c>
      <c r="J1041" s="4">
        <f t="shared" si="48"/>
        <v>50200</v>
      </c>
      <c r="K1041" s="4" t="str">
        <f t="shared" si="49"/>
        <v>2024-09</v>
      </c>
      <c r="L1041" s="4" t="str">
        <f t="shared" si="50"/>
        <v>목</v>
      </c>
      <c r="M1041" s="2" t="str">
        <f>VLOOKUP($C1041, 고객정보!$A$2:$E$151, 2, FALSE)</f>
        <v>부산</v>
      </c>
      <c r="N1041" t="str">
        <f>VLOOKUP(C1041,고객정보!$A$2:$D$151,4,FALSE)</f>
        <v>L2</v>
      </c>
      <c r="O1041" t="str">
        <f>VLOOKUP($C1041, 고객정보!$A$2:$E$151, 5, FALSE)</f>
        <v>40대</v>
      </c>
      <c r="P1041" t="str">
        <f>VLOOKUP(D1041,상품정보!$A$2:$E$61,2,FALSE)</f>
        <v>반지</v>
      </c>
      <c r="Q1041" t="str">
        <f>VLOOKUP(D1041,상품정보!$A$2:$D$151,3,FALSE)</f>
        <v>액세서리</v>
      </c>
      <c r="R1041" t="str">
        <f>VLOOKUP(D1041,상품정보!$A$2:$D$151,4,FALSE)</f>
        <v>브랜드B</v>
      </c>
    </row>
    <row r="1042" spans="1:18" x14ac:dyDescent="0.45">
      <c r="A1042" t="s">
        <v>22</v>
      </c>
      <c r="B1042" t="s">
        <v>1441</v>
      </c>
      <c r="C1042" t="s">
        <v>2419</v>
      </c>
      <c r="D1042" t="s">
        <v>2571</v>
      </c>
      <c r="E1042">
        <v>3</v>
      </c>
      <c r="F1042">
        <v>55600</v>
      </c>
      <c r="G1042">
        <v>1500</v>
      </c>
      <c r="H1042">
        <v>0</v>
      </c>
      <c r="I1042" t="s">
        <v>2652</v>
      </c>
      <c r="J1042" s="4">
        <f t="shared" si="48"/>
        <v>168300</v>
      </c>
      <c r="K1042" s="4" t="str">
        <f t="shared" si="49"/>
        <v>2024-12</v>
      </c>
      <c r="L1042" s="4" t="str">
        <f t="shared" si="50"/>
        <v>목</v>
      </c>
      <c r="M1042" s="2" t="str">
        <f>VLOOKUP($C1042, 고객정보!$A$2:$E$151, 2, FALSE)</f>
        <v>대구</v>
      </c>
      <c r="N1042" t="str">
        <f>VLOOKUP(C1042,고객정보!$A$2:$D$151,4,FALSE)</f>
        <v>L2</v>
      </c>
      <c r="O1042" t="str">
        <f>VLOOKUP($C1042, 고객정보!$A$2:$E$151, 5, FALSE)</f>
        <v>20대</v>
      </c>
      <c r="P1042" t="str">
        <f>VLOOKUP(D1042,상품정보!$A$2:$E$61,2,FALSE)</f>
        <v>자켓</v>
      </c>
      <c r="Q1042" t="str">
        <f>VLOOKUP(D1042,상품정보!$A$2:$D$151,3,FALSE)</f>
        <v>의류</v>
      </c>
      <c r="R1042" t="str">
        <f>VLOOKUP(D1042,상품정보!$A$2:$D$151,4,FALSE)</f>
        <v>브랜드B</v>
      </c>
    </row>
    <row r="1043" spans="1:18" x14ac:dyDescent="0.45">
      <c r="A1043" t="s">
        <v>149</v>
      </c>
      <c r="B1043" t="s">
        <v>1442</v>
      </c>
      <c r="C1043" t="s">
        <v>2533</v>
      </c>
      <c r="D1043" t="s">
        <v>2589</v>
      </c>
      <c r="E1043">
        <v>1</v>
      </c>
      <c r="F1043">
        <v>71400</v>
      </c>
      <c r="G1043">
        <v>1000</v>
      </c>
      <c r="H1043">
        <v>4000</v>
      </c>
      <c r="I1043" t="s">
        <v>2612</v>
      </c>
      <c r="J1043" s="4">
        <f t="shared" si="48"/>
        <v>68400</v>
      </c>
      <c r="K1043" s="4" t="str">
        <f t="shared" si="49"/>
        <v>2024-06</v>
      </c>
      <c r="L1043" s="4" t="str">
        <f t="shared" si="50"/>
        <v>금</v>
      </c>
      <c r="M1043" s="2" t="str">
        <f>VLOOKUP($C1043, 고객정보!$A$2:$E$151, 2, FALSE)</f>
        <v>인천</v>
      </c>
      <c r="N1043" t="str">
        <f>VLOOKUP(C1043,고객정보!$A$2:$D$151,4,FALSE)</f>
        <v>L5</v>
      </c>
      <c r="O1043" t="str">
        <f>VLOOKUP($C1043, 고객정보!$A$2:$E$151, 5, FALSE)</f>
        <v>30대</v>
      </c>
      <c r="P1043" t="str">
        <f>VLOOKUP(D1043,상품정보!$A$2:$E$61,2,FALSE)</f>
        <v>셔츠</v>
      </c>
      <c r="Q1043" t="str">
        <f>VLOOKUP(D1043,상품정보!$A$2:$D$151,3,FALSE)</f>
        <v>의류</v>
      </c>
      <c r="R1043" t="str">
        <f>VLOOKUP(D1043,상품정보!$A$2:$D$151,4,FALSE)</f>
        <v>브랜드A</v>
      </c>
    </row>
    <row r="1044" spans="1:18" x14ac:dyDescent="0.45">
      <c r="A1044" t="s">
        <v>79</v>
      </c>
      <c r="B1044" t="s">
        <v>1443</v>
      </c>
      <c r="C1044" t="s">
        <v>2471</v>
      </c>
      <c r="D1044" t="s">
        <v>2597</v>
      </c>
      <c r="E1044">
        <v>2</v>
      </c>
      <c r="F1044">
        <v>65300</v>
      </c>
      <c r="G1044">
        <v>1000</v>
      </c>
      <c r="H1044">
        <v>0</v>
      </c>
      <c r="I1044" t="s">
        <v>2652</v>
      </c>
      <c r="J1044" s="4">
        <f t="shared" si="48"/>
        <v>131600</v>
      </c>
      <c r="K1044" s="4" t="str">
        <f t="shared" si="49"/>
        <v>2024-03</v>
      </c>
      <c r="L1044" s="4" t="str">
        <f t="shared" si="50"/>
        <v>목</v>
      </c>
      <c r="M1044" s="2" t="str">
        <f>VLOOKUP($C1044, 고객정보!$A$2:$E$151, 2, FALSE)</f>
        <v>서울</v>
      </c>
      <c r="N1044" t="str">
        <f>VLOOKUP(C1044,고객정보!$A$2:$D$151,4,FALSE)</f>
        <v>L5</v>
      </c>
      <c r="O1044" t="str">
        <f>VLOOKUP($C1044, 고객정보!$A$2:$E$151, 5, FALSE)</f>
        <v>40대</v>
      </c>
      <c r="P1044" t="str">
        <f>VLOOKUP(D1044,상품정보!$A$2:$E$61,2,FALSE)</f>
        <v>반지</v>
      </c>
      <c r="Q1044" t="str">
        <f>VLOOKUP(D1044,상품정보!$A$2:$D$151,3,FALSE)</f>
        <v>액세서리</v>
      </c>
      <c r="R1044" t="str">
        <f>VLOOKUP(D1044,상품정보!$A$2:$D$151,4,FALSE)</f>
        <v>브랜드F</v>
      </c>
    </row>
    <row r="1045" spans="1:18" x14ac:dyDescent="0.45">
      <c r="A1045" t="s">
        <v>221</v>
      </c>
      <c r="B1045" t="s">
        <v>1444</v>
      </c>
      <c r="C1045" t="s">
        <v>2485</v>
      </c>
      <c r="D1045" t="s">
        <v>2577</v>
      </c>
      <c r="E1045">
        <v>4</v>
      </c>
      <c r="F1045">
        <v>10200</v>
      </c>
      <c r="G1045">
        <v>1000</v>
      </c>
      <c r="H1045">
        <v>0</v>
      </c>
      <c r="I1045" t="s">
        <v>2652</v>
      </c>
      <c r="J1045" s="4">
        <f t="shared" si="48"/>
        <v>41800</v>
      </c>
      <c r="K1045" s="4" t="str">
        <f t="shared" si="49"/>
        <v>2024-11</v>
      </c>
      <c r="L1045" s="4" t="str">
        <f t="shared" si="50"/>
        <v>목</v>
      </c>
      <c r="M1045" s="2" t="str">
        <f>VLOOKUP($C1045, 고객정보!$A$2:$E$151, 2, FALSE)</f>
        <v>서울</v>
      </c>
      <c r="N1045" t="str">
        <f>VLOOKUP(C1045,고객정보!$A$2:$D$151,4,FALSE)</f>
        <v>L4</v>
      </c>
      <c r="O1045" t="str">
        <f>VLOOKUP($C1045, 고객정보!$A$2:$E$151, 5, FALSE)</f>
        <v>40대</v>
      </c>
      <c r="P1045" t="str">
        <f>VLOOKUP(D1045,상품정보!$A$2:$E$61,2,FALSE)</f>
        <v>셔츠</v>
      </c>
      <c r="Q1045" t="str">
        <f>VLOOKUP(D1045,상품정보!$A$2:$D$151,3,FALSE)</f>
        <v>의류</v>
      </c>
      <c r="R1045" t="str">
        <f>VLOOKUP(D1045,상품정보!$A$2:$D$151,4,FALSE)</f>
        <v>브랜드C</v>
      </c>
    </row>
    <row r="1046" spans="1:18" x14ac:dyDescent="0.45">
      <c r="A1046" t="s">
        <v>224</v>
      </c>
      <c r="B1046" t="s">
        <v>1445</v>
      </c>
      <c r="C1046" t="s">
        <v>2546</v>
      </c>
      <c r="D1046" t="s">
        <v>2604</v>
      </c>
      <c r="E1046">
        <v>5</v>
      </c>
      <c r="F1046">
        <v>9700</v>
      </c>
      <c r="G1046">
        <v>500</v>
      </c>
      <c r="H1046">
        <v>19500</v>
      </c>
      <c r="I1046" t="s">
        <v>2612</v>
      </c>
      <c r="J1046" s="4">
        <f t="shared" si="48"/>
        <v>29500</v>
      </c>
      <c r="K1046" s="4" t="str">
        <f t="shared" si="49"/>
        <v>2024-12</v>
      </c>
      <c r="L1046" s="4" t="str">
        <f t="shared" si="50"/>
        <v>토</v>
      </c>
      <c r="M1046" s="2" t="str">
        <f>VLOOKUP($C1046, 고객정보!$A$2:$E$151, 2, FALSE)</f>
        <v>인천</v>
      </c>
      <c r="N1046" t="str">
        <f>VLOOKUP(C1046,고객정보!$A$2:$D$151,4,FALSE)</f>
        <v>L4</v>
      </c>
      <c r="O1046" t="str">
        <f>VLOOKUP($C1046, 고객정보!$A$2:$E$151, 5, FALSE)</f>
        <v>50대 이상</v>
      </c>
      <c r="P1046" t="str">
        <f>VLOOKUP(D1046,상품정보!$A$2:$E$61,2,FALSE)</f>
        <v>반팔 티셔츠</v>
      </c>
      <c r="Q1046" t="str">
        <f>VLOOKUP(D1046,상품정보!$A$2:$D$151,3,FALSE)</f>
        <v>의류</v>
      </c>
      <c r="R1046" t="str">
        <f>VLOOKUP(D1046,상품정보!$A$2:$D$151,4,FALSE)</f>
        <v>브랜드E</v>
      </c>
    </row>
    <row r="1047" spans="1:18" x14ac:dyDescent="0.45">
      <c r="A1047" t="s">
        <v>319</v>
      </c>
      <c r="B1047" t="s">
        <v>1446</v>
      </c>
      <c r="C1047" t="s">
        <v>2529</v>
      </c>
      <c r="D1047" t="s">
        <v>2607</v>
      </c>
      <c r="E1047">
        <v>5</v>
      </c>
      <c r="F1047">
        <v>16000</v>
      </c>
      <c r="G1047">
        <v>500</v>
      </c>
      <c r="H1047">
        <v>0</v>
      </c>
      <c r="I1047" t="s">
        <v>2652</v>
      </c>
      <c r="J1047" s="4">
        <f t="shared" si="48"/>
        <v>80500</v>
      </c>
      <c r="K1047" s="4" t="str">
        <f t="shared" si="49"/>
        <v>2024-03</v>
      </c>
      <c r="L1047" s="4" t="str">
        <f t="shared" si="50"/>
        <v>토</v>
      </c>
      <c r="M1047" s="2" t="str">
        <f>VLOOKUP($C1047, 고객정보!$A$2:$E$151, 2, FALSE)</f>
        <v>인천</v>
      </c>
      <c r="N1047" t="str">
        <f>VLOOKUP(C1047,고객정보!$A$2:$D$151,4,FALSE)</f>
        <v>L2</v>
      </c>
      <c r="O1047" t="str">
        <f>VLOOKUP($C1047, 고객정보!$A$2:$E$151, 5, FALSE)</f>
        <v>30대</v>
      </c>
      <c r="P1047" t="str">
        <f>VLOOKUP(D1047,상품정보!$A$2:$E$61,2,FALSE)</f>
        <v>목걸이</v>
      </c>
      <c r="Q1047" t="str">
        <f>VLOOKUP(D1047,상품정보!$A$2:$D$151,3,FALSE)</f>
        <v>액세서리</v>
      </c>
      <c r="R1047" t="str">
        <f>VLOOKUP(D1047,상품정보!$A$2:$D$151,4,FALSE)</f>
        <v>브랜드E</v>
      </c>
    </row>
    <row r="1048" spans="1:18" x14ac:dyDescent="0.45">
      <c r="A1048" t="s">
        <v>54</v>
      </c>
      <c r="B1048" t="s">
        <v>1447</v>
      </c>
      <c r="C1048" t="s">
        <v>2538</v>
      </c>
      <c r="D1048" t="s">
        <v>2600</v>
      </c>
      <c r="E1048">
        <v>3</v>
      </c>
      <c r="F1048">
        <v>10900</v>
      </c>
      <c r="G1048">
        <v>500</v>
      </c>
      <c r="H1048">
        <v>0</v>
      </c>
      <c r="I1048" t="s">
        <v>2652</v>
      </c>
      <c r="J1048" s="4">
        <f t="shared" si="48"/>
        <v>33200</v>
      </c>
      <c r="K1048" s="4" t="str">
        <f t="shared" si="49"/>
        <v>2024-03</v>
      </c>
      <c r="L1048" s="4" t="str">
        <f t="shared" si="50"/>
        <v>수</v>
      </c>
      <c r="M1048" s="2" t="str">
        <f>VLOOKUP($C1048, 고객정보!$A$2:$E$151, 2, FALSE)</f>
        <v>대구</v>
      </c>
      <c r="N1048" t="str">
        <f>VLOOKUP(C1048,고객정보!$A$2:$D$151,4,FALSE)</f>
        <v>L4</v>
      </c>
      <c r="O1048" t="str">
        <f>VLOOKUP($C1048, 고객정보!$A$2:$E$151, 5, FALSE)</f>
        <v>40대</v>
      </c>
      <c r="P1048" t="str">
        <f>VLOOKUP(D1048,상품정보!$A$2:$E$61,2,FALSE)</f>
        <v>셔츠</v>
      </c>
      <c r="Q1048" t="str">
        <f>VLOOKUP(D1048,상품정보!$A$2:$D$151,3,FALSE)</f>
        <v>의류</v>
      </c>
      <c r="R1048" t="str">
        <f>VLOOKUP(D1048,상품정보!$A$2:$D$151,4,FALSE)</f>
        <v>브랜드E</v>
      </c>
    </row>
    <row r="1049" spans="1:18" x14ac:dyDescent="0.45">
      <c r="A1049" t="s">
        <v>27</v>
      </c>
      <c r="B1049" t="s">
        <v>1448</v>
      </c>
      <c r="C1049" t="s">
        <v>2478</v>
      </c>
      <c r="D1049" t="s">
        <v>2586</v>
      </c>
      <c r="E1049">
        <v>1</v>
      </c>
      <c r="F1049">
        <v>73000</v>
      </c>
      <c r="G1049">
        <v>0</v>
      </c>
      <c r="H1049">
        <v>0</v>
      </c>
      <c r="I1049" t="s">
        <v>2652</v>
      </c>
      <c r="J1049" s="4">
        <f t="shared" si="48"/>
        <v>73000</v>
      </c>
      <c r="K1049" s="4" t="str">
        <f t="shared" si="49"/>
        <v>2024-12</v>
      </c>
      <c r="L1049" s="4" t="str">
        <f t="shared" si="50"/>
        <v>수</v>
      </c>
      <c r="M1049" s="2" t="str">
        <f>VLOOKUP($C1049, 고객정보!$A$2:$E$151, 2, FALSE)</f>
        <v>인천</v>
      </c>
      <c r="N1049" t="str">
        <f>VLOOKUP(C1049,고객정보!$A$2:$D$151,4,FALSE)</f>
        <v>L1</v>
      </c>
      <c r="O1049" t="str">
        <f>VLOOKUP($C1049, 고객정보!$A$2:$E$151, 5, FALSE)</f>
        <v>40대</v>
      </c>
      <c r="P1049" t="str">
        <f>VLOOKUP(D1049,상품정보!$A$2:$E$61,2,FALSE)</f>
        <v>귀걸이</v>
      </c>
      <c r="Q1049" t="str">
        <f>VLOOKUP(D1049,상품정보!$A$2:$D$151,3,FALSE)</f>
        <v>액세서리</v>
      </c>
      <c r="R1049" t="str">
        <f>VLOOKUP(D1049,상품정보!$A$2:$D$151,4,FALSE)</f>
        <v>브랜드B</v>
      </c>
    </row>
    <row r="1050" spans="1:18" x14ac:dyDescent="0.45">
      <c r="A1050" t="s">
        <v>315</v>
      </c>
      <c r="B1050" t="s">
        <v>1449</v>
      </c>
      <c r="C1050" t="s">
        <v>2453</v>
      </c>
      <c r="D1050" t="s">
        <v>2575</v>
      </c>
      <c r="E1050">
        <v>5</v>
      </c>
      <c r="F1050">
        <v>7200</v>
      </c>
      <c r="G1050">
        <v>0</v>
      </c>
      <c r="H1050">
        <v>6700</v>
      </c>
      <c r="I1050" t="s">
        <v>2611</v>
      </c>
      <c r="J1050" s="4">
        <f t="shared" si="48"/>
        <v>29300</v>
      </c>
      <c r="K1050" s="4" t="str">
        <f t="shared" si="49"/>
        <v>2024-01</v>
      </c>
      <c r="L1050" s="4" t="str">
        <f t="shared" si="50"/>
        <v>수</v>
      </c>
      <c r="M1050" s="2" t="str">
        <f>VLOOKUP($C1050, 고객정보!$A$2:$E$151, 2, FALSE)</f>
        <v>대구</v>
      </c>
      <c r="N1050" t="str">
        <f>VLOOKUP(C1050,고객정보!$A$2:$D$151,4,FALSE)</f>
        <v>L5</v>
      </c>
      <c r="O1050" t="str">
        <f>VLOOKUP($C1050, 고객정보!$A$2:$E$151, 5, FALSE)</f>
        <v>50대 이상</v>
      </c>
      <c r="P1050" t="str">
        <f>VLOOKUP(D1050,상품정보!$A$2:$E$61,2,FALSE)</f>
        <v>반지</v>
      </c>
      <c r="Q1050" t="str">
        <f>VLOOKUP(D1050,상품정보!$A$2:$D$151,3,FALSE)</f>
        <v>액세서리</v>
      </c>
      <c r="R1050" t="str">
        <f>VLOOKUP(D1050,상품정보!$A$2:$D$151,4,FALSE)</f>
        <v>브랜드E</v>
      </c>
    </row>
    <row r="1051" spans="1:18" x14ac:dyDescent="0.45">
      <c r="A1051" t="s">
        <v>361</v>
      </c>
      <c r="B1051" t="s">
        <v>1450</v>
      </c>
      <c r="C1051" t="s">
        <v>2522</v>
      </c>
      <c r="D1051" t="s">
        <v>2560</v>
      </c>
      <c r="E1051">
        <v>3</v>
      </c>
      <c r="F1051">
        <v>60600</v>
      </c>
      <c r="G1051">
        <v>0</v>
      </c>
      <c r="H1051">
        <v>0</v>
      </c>
      <c r="I1051" t="s">
        <v>2652</v>
      </c>
      <c r="J1051" s="4">
        <f t="shared" si="48"/>
        <v>181800</v>
      </c>
      <c r="K1051" s="4" t="str">
        <f t="shared" si="49"/>
        <v>2024-11</v>
      </c>
      <c r="L1051" s="4" t="str">
        <f t="shared" si="50"/>
        <v>토</v>
      </c>
      <c r="M1051" s="2" t="str">
        <f>VLOOKUP($C1051, 고객정보!$A$2:$E$151, 2, FALSE)</f>
        <v>부산</v>
      </c>
      <c r="N1051" t="str">
        <f>VLOOKUP(C1051,고객정보!$A$2:$D$151,4,FALSE)</f>
        <v>L4</v>
      </c>
      <c r="O1051" t="str">
        <f>VLOOKUP($C1051, 고객정보!$A$2:$E$151, 5, FALSE)</f>
        <v>40대</v>
      </c>
      <c r="P1051" t="str">
        <f>VLOOKUP(D1051,상품정보!$A$2:$E$61,2,FALSE)</f>
        <v>반팔 티셔츠</v>
      </c>
      <c r="Q1051" t="str">
        <f>VLOOKUP(D1051,상품정보!$A$2:$D$151,3,FALSE)</f>
        <v>의류</v>
      </c>
      <c r="R1051" t="str">
        <f>VLOOKUP(D1051,상품정보!$A$2:$D$151,4,FALSE)</f>
        <v>브랜드F</v>
      </c>
    </row>
    <row r="1052" spans="1:18" x14ac:dyDescent="0.45">
      <c r="A1052" t="s">
        <v>363</v>
      </c>
      <c r="B1052" t="s">
        <v>1451</v>
      </c>
      <c r="C1052" t="s">
        <v>2407</v>
      </c>
      <c r="D1052" t="s">
        <v>2601</v>
      </c>
      <c r="E1052">
        <v>5</v>
      </c>
      <c r="F1052">
        <v>17000</v>
      </c>
      <c r="G1052">
        <v>2000</v>
      </c>
      <c r="H1052">
        <v>700</v>
      </c>
      <c r="I1052" t="s">
        <v>2613</v>
      </c>
      <c r="J1052" s="4">
        <f t="shared" si="48"/>
        <v>86300</v>
      </c>
      <c r="K1052" s="4" t="str">
        <f t="shared" si="49"/>
        <v>2024-02</v>
      </c>
      <c r="L1052" s="4" t="str">
        <f t="shared" si="50"/>
        <v>금</v>
      </c>
      <c r="M1052" s="2" t="str">
        <f>VLOOKUP($C1052, 고객정보!$A$2:$E$151, 2, FALSE)</f>
        <v>서울</v>
      </c>
      <c r="N1052" t="str">
        <f>VLOOKUP(C1052,고객정보!$A$2:$D$151,4,FALSE)</f>
        <v>L5</v>
      </c>
      <c r="O1052" t="str">
        <f>VLOOKUP($C1052, 고객정보!$A$2:$E$151, 5, FALSE)</f>
        <v>30대</v>
      </c>
      <c r="P1052" t="str">
        <f>VLOOKUP(D1052,상품정보!$A$2:$E$61,2,FALSE)</f>
        <v>자켓</v>
      </c>
      <c r="Q1052" t="str">
        <f>VLOOKUP(D1052,상품정보!$A$2:$D$151,3,FALSE)</f>
        <v>의류</v>
      </c>
      <c r="R1052" t="str">
        <f>VLOOKUP(D1052,상품정보!$A$2:$D$151,4,FALSE)</f>
        <v>브랜드E</v>
      </c>
    </row>
    <row r="1053" spans="1:18" x14ac:dyDescent="0.45">
      <c r="A1053" t="s">
        <v>216</v>
      </c>
      <c r="B1053" t="s">
        <v>1452</v>
      </c>
      <c r="C1053" t="s">
        <v>2530</v>
      </c>
      <c r="D1053" t="s">
        <v>2573</v>
      </c>
      <c r="E1053">
        <v>3</v>
      </c>
      <c r="F1053">
        <v>6400</v>
      </c>
      <c r="G1053">
        <v>1000</v>
      </c>
      <c r="H1053">
        <v>0</v>
      </c>
      <c r="I1053" t="s">
        <v>2652</v>
      </c>
      <c r="J1053" s="4">
        <f t="shared" si="48"/>
        <v>20200</v>
      </c>
      <c r="K1053" s="4" t="str">
        <f t="shared" si="49"/>
        <v>2025-01</v>
      </c>
      <c r="L1053" s="4" t="str">
        <f t="shared" si="50"/>
        <v>목</v>
      </c>
      <c r="M1053" s="2" t="str">
        <f>VLOOKUP($C1053, 고객정보!$A$2:$E$151, 2, FALSE)</f>
        <v>대전</v>
      </c>
      <c r="N1053" t="str">
        <f>VLOOKUP(C1053,고객정보!$A$2:$D$151,4,FALSE)</f>
        <v>L2</v>
      </c>
      <c r="O1053" t="str">
        <f>VLOOKUP($C1053, 고객정보!$A$2:$E$151, 5, FALSE)</f>
        <v>20대</v>
      </c>
      <c r="P1053" t="str">
        <f>VLOOKUP(D1053,상품정보!$A$2:$E$61,2,FALSE)</f>
        <v>귀걸이</v>
      </c>
      <c r="Q1053" t="str">
        <f>VLOOKUP(D1053,상품정보!$A$2:$D$151,3,FALSE)</f>
        <v>액세서리</v>
      </c>
      <c r="R1053" t="str">
        <f>VLOOKUP(D1053,상품정보!$A$2:$D$151,4,FALSE)</f>
        <v>브랜드E</v>
      </c>
    </row>
    <row r="1054" spans="1:18" x14ac:dyDescent="0.45">
      <c r="A1054" t="s">
        <v>313</v>
      </c>
      <c r="B1054" t="s">
        <v>1453</v>
      </c>
      <c r="C1054" t="s">
        <v>2532</v>
      </c>
      <c r="D1054" t="s">
        <v>2585</v>
      </c>
      <c r="E1054">
        <v>3</v>
      </c>
      <c r="F1054">
        <v>14900</v>
      </c>
      <c r="G1054">
        <v>0</v>
      </c>
      <c r="H1054">
        <v>100</v>
      </c>
      <c r="I1054" t="s">
        <v>2614</v>
      </c>
      <c r="J1054" s="4">
        <f t="shared" si="48"/>
        <v>44600</v>
      </c>
      <c r="K1054" s="4" t="str">
        <f t="shared" si="49"/>
        <v>2024-06</v>
      </c>
      <c r="L1054" s="4" t="str">
        <f t="shared" si="50"/>
        <v>수</v>
      </c>
      <c r="M1054" s="2" t="str">
        <f>VLOOKUP($C1054, 고객정보!$A$2:$E$151, 2, FALSE)</f>
        <v>서울</v>
      </c>
      <c r="N1054" t="str">
        <f>VLOOKUP(C1054,고객정보!$A$2:$D$151,4,FALSE)</f>
        <v>L2</v>
      </c>
      <c r="O1054" t="str">
        <f>VLOOKUP($C1054, 고객정보!$A$2:$E$151, 5, FALSE)</f>
        <v>50대 이상</v>
      </c>
      <c r="P1054" t="str">
        <f>VLOOKUP(D1054,상품정보!$A$2:$E$61,2,FALSE)</f>
        <v>반팔 티셔츠</v>
      </c>
      <c r="Q1054" t="str">
        <f>VLOOKUP(D1054,상품정보!$A$2:$D$151,3,FALSE)</f>
        <v>의류</v>
      </c>
      <c r="R1054" t="str">
        <f>VLOOKUP(D1054,상품정보!$A$2:$D$151,4,FALSE)</f>
        <v>브랜드C</v>
      </c>
    </row>
    <row r="1055" spans="1:18" x14ac:dyDescent="0.45">
      <c r="A1055" t="s">
        <v>111</v>
      </c>
      <c r="B1055" t="s">
        <v>1454</v>
      </c>
      <c r="C1055" t="s">
        <v>2499</v>
      </c>
      <c r="D1055" t="s">
        <v>2601</v>
      </c>
      <c r="E1055">
        <v>1</v>
      </c>
      <c r="F1055">
        <v>17000</v>
      </c>
      <c r="G1055">
        <v>1000</v>
      </c>
      <c r="H1055">
        <v>800</v>
      </c>
      <c r="I1055" t="s">
        <v>2611</v>
      </c>
      <c r="J1055" s="4">
        <f t="shared" si="48"/>
        <v>17200</v>
      </c>
      <c r="K1055" s="4" t="str">
        <f t="shared" si="49"/>
        <v>2024-12</v>
      </c>
      <c r="L1055" s="4" t="str">
        <f t="shared" si="50"/>
        <v>토</v>
      </c>
      <c r="M1055" s="2" t="str">
        <f>VLOOKUP($C1055, 고객정보!$A$2:$E$151, 2, FALSE)</f>
        <v>서울</v>
      </c>
      <c r="N1055" t="str">
        <f>VLOOKUP(C1055,고객정보!$A$2:$D$151,4,FALSE)</f>
        <v>L2</v>
      </c>
      <c r="O1055" t="str">
        <f>VLOOKUP($C1055, 고객정보!$A$2:$E$151, 5, FALSE)</f>
        <v>40대</v>
      </c>
      <c r="P1055" t="str">
        <f>VLOOKUP(D1055,상품정보!$A$2:$E$61,2,FALSE)</f>
        <v>자켓</v>
      </c>
      <c r="Q1055" t="str">
        <f>VLOOKUP(D1055,상품정보!$A$2:$D$151,3,FALSE)</f>
        <v>의류</v>
      </c>
      <c r="R1055" t="str">
        <f>VLOOKUP(D1055,상품정보!$A$2:$D$151,4,FALSE)</f>
        <v>브랜드E</v>
      </c>
    </row>
    <row r="1056" spans="1:18" x14ac:dyDescent="0.45">
      <c r="A1056" t="s">
        <v>55</v>
      </c>
      <c r="B1056" t="s">
        <v>1455</v>
      </c>
      <c r="C1056" t="s">
        <v>2526</v>
      </c>
      <c r="D1056" t="s">
        <v>2556</v>
      </c>
      <c r="E1056">
        <v>1</v>
      </c>
      <c r="F1056">
        <v>70100</v>
      </c>
      <c r="G1056">
        <v>1000</v>
      </c>
      <c r="H1056">
        <v>500</v>
      </c>
      <c r="I1056" t="s">
        <v>2611</v>
      </c>
      <c r="J1056" s="4">
        <f t="shared" si="48"/>
        <v>70600</v>
      </c>
      <c r="K1056" s="4" t="str">
        <f t="shared" si="49"/>
        <v>2024-05</v>
      </c>
      <c r="L1056" s="4" t="str">
        <f t="shared" si="50"/>
        <v>수</v>
      </c>
      <c r="M1056" s="2" t="str">
        <f>VLOOKUP($C1056, 고객정보!$A$2:$E$151, 2, FALSE)</f>
        <v>부산</v>
      </c>
      <c r="N1056" t="str">
        <f>VLOOKUP(C1056,고객정보!$A$2:$D$151,4,FALSE)</f>
        <v>L3</v>
      </c>
      <c r="O1056" t="str">
        <f>VLOOKUP($C1056, 고객정보!$A$2:$E$151, 5, FALSE)</f>
        <v>10대</v>
      </c>
      <c r="P1056" t="str">
        <f>VLOOKUP(D1056,상품정보!$A$2:$E$61,2,FALSE)</f>
        <v>핸드폰케이스</v>
      </c>
      <c r="Q1056" t="str">
        <f>VLOOKUP(D1056,상품정보!$A$2:$D$151,3,FALSE)</f>
        <v>액세서리</v>
      </c>
      <c r="R1056" t="str">
        <f>VLOOKUP(D1056,상품정보!$A$2:$D$151,4,FALSE)</f>
        <v>브랜드F</v>
      </c>
    </row>
    <row r="1057" spans="1:18" x14ac:dyDescent="0.45">
      <c r="A1057" t="s">
        <v>106</v>
      </c>
      <c r="B1057" t="s">
        <v>1456</v>
      </c>
      <c r="C1057" t="s">
        <v>2420</v>
      </c>
      <c r="D1057" t="s">
        <v>2585</v>
      </c>
      <c r="E1057">
        <v>1</v>
      </c>
      <c r="F1057">
        <v>14900</v>
      </c>
      <c r="G1057">
        <v>0</v>
      </c>
      <c r="H1057">
        <v>0</v>
      </c>
      <c r="I1057" t="s">
        <v>2652</v>
      </c>
      <c r="J1057" s="4">
        <f t="shared" si="48"/>
        <v>14900</v>
      </c>
      <c r="K1057" s="4" t="str">
        <f t="shared" si="49"/>
        <v>2024-06</v>
      </c>
      <c r="L1057" s="4" t="str">
        <f t="shared" si="50"/>
        <v>금</v>
      </c>
      <c r="M1057" s="2" t="str">
        <f>VLOOKUP($C1057, 고객정보!$A$2:$E$151, 2, FALSE)</f>
        <v>대전</v>
      </c>
      <c r="N1057" t="str">
        <f>VLOOKUP(C1057,고객정보!$A$2:$D$151,4,FALSE)</f>
        <v>L3</v>
      </c>
      <c r="O1057" t="str">
        <f>VLOOKUP($C1057, 고객정보!$A$2:$E$151, 5, FALSE)</f>
        <v>30대</v>
      </c>
      <c r="P1057" t="str">
        <f>VLOOKUP(D1057,상품정보!$A$2:$E$61,2,FALSE)</f>
        <v>반팔 티셔츠</v>
      </c>
      <c r="Q1057" t="str">
        <f>VLOOKUP(D1057,상품정보!$A$2:$D$151,3,FALSE)</f>
        <v>의류</v>
      </c>
      <c r="R1057" t="str">
        <f>VLOOKUP(D1057,상품정보!$A$2:$D$151,4,FALSE)</f>
        <v>브랜드C</v>
      </c>
    </row>
    <row r="1058" spans="1:18" x14ac:dyDescent="0.45">
      <c r="A1058" t="s">
        <v>170</v>
      </c>
      <c r="B1058" t="s">
        <v>1457</v>
      </c>
      <c r="C1058" t="s">
        <v>2505</v>
      </c>
      <c r="D1058" t="s">
        <v>2577</v>
      </c>
      <c r="E1058">
        <v>1</v>
      </c>
      <c r="F1058">
        <v>10200</v>
      </c>
      <c r="G1058">
        <v>1000</v>
      </c>
      <c r="H1058">
        <v>4000</v>
      </c>
      <c r="I1058" t="s">
        <v>2613</v>
      </c>
      <c r="J1058" s="4">
        <f t="shared" si="48"/>
        <v>7200</v>
      </c>
      <c r="K1058" s="4" t="str">
        <f t="shared" si="49"/>
        <v>2025-01</v>
      </c>
      <c r="L1058" s="4" t="str">
        <f t="shared" si="50"/>
        <v>금</v>
      </c>
      <c r="M1058" s="2" t="str">
        <f>VLOOKUP($C1058, 고객정보!$A$2:$E$151, 2, FALSE)</f>
        <v>대구</v>
      </c>
      <c r="N1058" t="str">
        <f>VLOOKUP(C1058,고객정보!$A$2:$D$151,4,FALSE)</f>
        <v>L4</v>
      </c>
      <c r="O1058" t="str">
        <f>VLOOKUP($C1058, 고객정보!$A$2:$E$151, 5, FALSE)</f>
        <v>40대</v>
      </c>
      <c r="P1058" t="str">
        <f>VLOOKUP(D1058,상품정보!$A$2:$E$61,2,FALSE)</f>
        <v>셔츠</v>
      </c>
      <c r="Q1058" t="str">
        <f>VLOOKUP(D1058,상품정보!$A$2:$D$151,3,FALSE)</f>
        <v>의류</v>
      </c>
      <c r="R1058" t="str">
        <f>VLOOKUP(D1058,상품정보!$A$2:$D$151,4,FALSE)</f>
        <v>브랜드C</v>
      </c>
    </row>
    <row r="1059" spans="1:18" x14ac:dyDescent="0.45">
      <c r="A1059" t="s">
        <v>199</v>
      </c>
      <c r="B1059" t="s">
        <v>1458</v>
      </c>
      <c r="C1059" t="s">
        <v>2490</v>
      </c>
      <c r="D1059" t="s">
        <v>2596</v>
      </c>
      <c r="E1059">
        <v>4</v>
      </c>
      <c r="F1059">
        <v>59700</v>
      </c>
      <c r="G1059">
        <v>0</v>
      </c>
      <c r="H1059">
        <v>0</v>
      </c>
      <c r="I1059" t="s">
        <v>2652</v>
      </c>
      <c r="J1059" s="4">
        <f t="shared" si="48"/>
        <v>238800</v>
      </c>
      <c r="K1059" s="4" t="str">
        <f t="shared" si="49"/>
        <v>2024-08</v>
      </c>
      <c r="L1059" s="4" t="str">
        <f t="shared" si="50"/>
        <v>월</v>
      </c>
      <c r="M1059" s="2" t="str">
        <f>VLOOKUP($C1059, 고객정보!$A$2:$E$151, 2, FALSE)</f>
        <v>부산</v>
      </c>
      <c r="N1059" t="str">
        <f>VLOOKUP(C1059,고객정보!$A$2:$D$151,4,FALSE)</f>
        <v>L3</v>
      </c>
      <c r="O1059" t="str">
        <f>VLOOKUP($C1059, 고객정보!$A$2:$E$151, 5, FALSE)</f>
        <v>20대</v>
      </c>
      <c r="P1059" t="str">
        <f>VLOOKUP(D1059,상품정보!$A$2:$E$61,2,FALSE)</f>
        <v>청바지</v>
      </c>
      <c r="Q1059" t="str">
        <f>VLOOKUP(D1059,상품정보!$A$2:$D$151,3,FALSE)</f>
        <v>의류</v>
      </c>
      <c r="R1059" t="str">
        <f>VLOOKUP(D1059,상품정보!$A$2:$D$151,4,FALSE)</f>
        <v>브랜드A</v>
      </c>
    </row>
    <row r="1060" spans="1:18" x14ac:dyDescent="0.45">
      <c r="A1060" t="s">
        <v>368</v>
      </c>
      <c r="B1060" t="s">
        <v>1459</v>
      </c>
      <c r="C1060" t="s">
        <v>2537</v>
      </c>
      <c r="D1060" t="s">
        <v>2566</v>
      </c>
      <c r="E1060">
        <v>4</v>
      </c>
      <c r="F1060">
        <v>60600</v>
      </c>
      <c r="G1060">
        <v>500</v>
      </c>
      <c r="H1060">
        <v>0</v>
      </c>
      <c r="I1060" t="s">
        <v>2652</v>
      </c>
      <c r="J1060" s="4">
        <f t="shared" si="48"/>
        <v>242900</v>
      </c>
      <c r="K1060" s="4" t="str">
        <f t="shared" si="49"/>
        <v>2024-09</v>
      </c>
      <c r="L1060" s="4" t="str">
        <f t="shared" si="50"/>
        <v>월</v>
      </c>
      <c r="M1060" s="2" t="str">
        <f>VLOOKUP($C1060, 고객정보!$A$2:$E$151, 2, FALSE)</f>
        <v>광주</v>
      </c>
      <c r="N1060" t="str">
        <f>VLOOKUP(C1060,고객정보!$A$2:$D$151,4,FALSE)</f>
        <v>L2</v>
      </c>
      <c r="O1060" t="str">
        <f>VLOOKUP($C1060, 고객정보!$A$2:$E$151, 5, FALSE)</f>
        <v>40대</v>
      </c>
      <c r="P1060" t="str">
        <f>VLOOKUP(D1060,상품정보!$A$2:$E$61,2,FALSE)</f>
        <v>반팔 티셔츠</v>
      </c>
      <c r="Q1060" t="str">
        <f>VLOOKUP(D1060,상품정보!$A$2:$D$151,3,FALSE)</f>
        <v>의류</v>
      </c>
      <c r="R1060" t="str">
        <f>VLOOKUP(D1060,상품정보!$A$2:$D$151,4,FALSE)</f>
        <v>브랜드A</v>
      </c>
    </row>
    <row r="1061" spans="1:18" x14ac:dyDescent="0.45">
      <c r="A1061" t="s">
        <v>277</v>
      </c>
      <c r="B1061" t="s">
        <v>1460</v>
      </c>
      <c r="C1061" t="s">
        <v>2538</v>
      </c>
      <c r="D1061" t="s">
        <v>2603</v>
      </c>
      <c r="E1061">
        <v>5</v>
      </c>
      <c r="F1061">
        <v>8200</v>
      </c>
      <c r="G1061">
        <v>1000</v>
      </c>
      <c r="H1061">
        <v>0</v>
      </c>
      <c r="I1061" t="s">
        <v>2652</v>
      </c>
      <c r="J1061" s="4">
        <f t="shared" si="48"/>
        <v>42000</v>
      </c>
      <c r="K1061" s="4" t="str">
        <f t="shared" si="49"/>
        <v>2024-07</v>
      </c>
      <c r="L1061" s="4" t="str">
        <f t="shared" si="50"/>
        <v>목</v>
      </c>
      <c r="M1061" s="2" t="str">
        <f>VLOOKUP($C1061, 고객정보!$A$2:$E$151, 2, FALSE)</f>
        <v>대구</v>
      </c>
      <c r="N1061" t="str">
        <f>VLOOKUP(C1061,고객정보!$A$2:$D$151,4,FALSE)</f>
        <v>L4</v>
      </c>
      <c r="O1061" t="str">
        <f>VLOOKUP($C1061, 고객정보!$A$2:$E$151, 5, FALSE)</f>
        <v>40대</v>
      </c>
      <c r="P1061" t="str">
        <f>VLOOKUP(D1061,상품정보!$A$2:$E$61,2,FALSE)</f>
        <v>목걸이</v>
      </c>
      <c r="Q1061" t="str">
        <f>VLOOKUP(D1061,상품정보!$A$2:$D$151,3,FALSE)</f>
        <v>액세서리</v>
      </c>
      <c r="R1061" t="str">
        <f>VLOOKUP(D1061,상품정보!$A$2:$D$151,4,FALSE)</f>
        <v>브랜드E</v>
      </c>
    </row>
    <row r="1062" spans="1:18" x14ac:dyDescent="0.45">
      <c r="A1062" t="s">
        <v>110</v>
      </c>
      <c r="B1062" t="s">
        <v>1461</v>
      </c>
      <c r="C1062" t="s">
        <v>2527</v>
      </c>
      <c r="D1062" t="s">
        <v>2569</v>
      </c>
      <c r="E1062">
        <v>4</v>
      </c>
      <c r="F1062">
        <v>11400</v>
      </c>
      <c r="G1062">
        <v>500</v>
      </c>
      <c r="H1062">
        <v>5400</v>
      </c>
      <c r="I1062" t="s">
        <v>2612</v>
      </c>
      <c r="J1062" s="4">
        <f t="shared" si="48"/>
        <v>40700</v>
      </c>
      <c r="K1062" s="4" t="str">
        <f t="shared" si="49"/>
        <v>2024-10</v>
      </c>
      <c r="L1062" s="4" t="str">
        <f t="shared" si="50"/>
        <v>화</v>
      </c>
      <c r="M1062" s="2" t="str">
        <f>VLOOKUP($C1062, 고객정보!$A$2:$E$151, 2, FALSE)</f>
        <v>광주</v>
      </c>
      <c r="N1062" t="str">
        <f>VLOOKUP(C1062,고객정보!$A$2:$D$151,4,FALSE)</f>
        <v>L2</v>
      </c>
      <c r="O1062" t="str">
        <f>VLOOKUP($C1062, 고객정보!$A$2:$E$151, 5, FALSE)</f>
        <v>30대</v>
      </c>
      <c r="P1062" t="str">
        <f>VLOOKUP(D1062,상품정보!$A$2:$E$61,2,FALSE)</f>
        <v>귀걸이</v>
      </c>
      <c r="Q1062" t="str">
        <f>VLOOKUP(D1062,상품정보!$A$2:$D$151,3,FALSE)</f>
        <v>액세서리</v>
      </c>
      <c r="R1062" t="str">
        <f>VLOOKUP(D1062,상품정보!$A$2:$D$151,4,FALSE)</f>
        <v>브랜드E</v>
      </c>
    </row>
    <row r="1063" spans="1:18" x14ac:dyDescent="0.45">
      <c r="A1063" t="s">
        <v>184</v>
      </c>
      <c r="B1063" t="s">
        <v>1462</v>
      </c>
      <c r="C1063" t="s">
        <v>2402</v>
      </c>
      <c r="D1063" t="s">
        <v>2566</v>
      </c>
      <c r="E1063">
        <v>4</v>
      </c>
      <c r="F1063">
        <v>60600</v>
      </c>
      <c r="G1063">
        <v>1500</v>
      </c>
      <c r="H1063">
        <v>1500</v>
      </c>
      <c r="I1063" t="s">
        <v>2613</v>
      </c>
      <c r="J1063" s="4">
        <f t="shared" si="48"/>
        <v>242400</v>
      </c>
      <c r="K1063" s="4" t="str">
        <f t="shared" si="49"/>
        <v>2024-02</v>
      </c>
      <c r="L1063" s="4" t="str">
        <f t="shared" si="50"/>
        <v>수</v>
      </c>
      <c r="M1063" s="2" t="str">
        <f>VLOOKUP($C1063, 고객정보!$A$2:$E$151, 2, FALSE)</f>
        <v>서울</v>
      </c>
      <c r="N1063" t="str">
        <f>VLOOKUP(C1063,고객정보!$A$2:$D$151,4,FALSE)</f>
        <v>L2</v>
      </c>
      <c r="O1063" t="str">
        <f>VLOOKUP($C1063, 고객정보!$A$2:$E$151, 5, FALSE)</f>
        <v>30대</v>
      </c>
      <c r="P1063" t="str">
        <f>VLOOKUP(D1063,상품정보!$A$2:$E$61,2,FALSE)</f>
        <v>반팔 티셔츠</v>
      </c>
      <c r="Q1063" t="str">
        <f>VLOOKUP(D1063,상품정보!$A$2:$D$151,3,FALSE)</f>
        <v>의류</v>
      </c>
      <c r="R1063" t="str">
        <f>VLOOKUP(D1063,상품정보!$A$2:$D$151,4,FALSE)</f>
        <v>브랜드A</v>
      </c>
    </row>
    <row r="1064" spans="1:18" x14ac:dyDescent="0.45">
      <c r="A1064" t="s">
        <v>313</v>
      </c>
      <c r="B1064" t="s">
        <v>1463</v>
      </c>
      <c r="C1064" t="s">
        <v>2404</v>
      </c>
      <c r="D1064" t="s">
        <v>2595</v>
      </c>
      <c r="E1064">
        <v>1</v>
      </c>
      <c r="F1064">
        <v>12700</v>
      </c>
      <c r="G1064">
        <v>500</v>
      </c>
      <c r="H1064">
        <v>2800</v>
      </c>
      <c r="I1064" t="s">
        <v>2611</v>
      </c>
      <c r="J1064" s="4">
        <f t="shared" si="48"/>
        <v>10400</v>
      </c>
      <c r="K1064" s="4" t="str">
        <f t="shared" si="49"/>
        <v>2024-06</v>
      </c>
      <c r="L1064" s="4" t="str">
        <f t="shared" si="50"/>
        <v>수</v>
      </c>
      <c r="M1064" s="2" t="str">
        <f>VLOOKUP($C1064, 고객정보!$A$2:$E$151, 2, FALSE)</f>
        <v>대구</v>
      </c>
      <c r="N1064" t="str">
        <f>VLOOKUP(C1064,고객정보!$A$2:$D$151,4,FALSE)</f>
        <v>L1</v>
      </c>
      <c r="O1064" t="str">
        <f>VLOOKUP($C1064, 고객정보!$A$2:$E$151, 5, FALSE)</f>
        <v>30대</v>
      </c>
      <c r="P1064" t="str">
        <f>VLOOKUP(D1064,상품정보!$A$2:$E$61,2,FALSE)</f>
        <v>반지</v>
      </c>
      <c r="Q1064" t="str">
        <f>VLOOKUP(D1064,상품정보!$A$2:$D$151,3,FALSE)</f>
        <v>액세서리</v>
      </c>
      <c r="R1064" t="str">
        <f>VLOOKUP(D1064,상품정보!$A$2:$D$151,4,FALSE)</f>
        <v>브랜드C</v>
      </c>
    </row>
    <row r="1065" spans="1:18" x14ac:dyDescent="0.45">
      <c r="A1065" t="s">
        <v>316</v>
      </c>
      <c r="B1065" t="s">
        <v>1464</v>
      </c>
      <c r="C1065" t="s">
        <v>2482</v>
      </c>
      <c r="D1065" t="s">
        <v>2591</v>
      </c>
      <c r="E1065">
        <v>1</v>
      </c>
      <c r="F1065">
        <v>69200</v>
      </c>
      <c r="G1065">
        <v>500</v>
      </c>
      <c r="H1065">
        <v>0</v>
      </c>
      <c r="I1065" t="s">
        <v>2652</v>
      </c>
      <c r="J1065" s="4">
        <f t="shared" si="48"/>
        <v>69700</v>
      </c>
      <c r="K1065" s="4" t="str">
        <f t="shared" si="49"/>
        <v>2024-06</v>
      </c>
      <c r="L1065" s="4" t="str">
        <f t="shared" si="50"/>
        <v>월</v>
      </c>
      <c r="M1065" s="2" t="str">
        <f>VLOOKUP($C1065, 고객정보!$A$2:$E$151, 2, FALSE)</f>
        <v>서울</v>
      </c>
      <c r="N1065" t="str">
        <f>VLOOKUP(C1065,고객정보!$A$2:$D$151,4,FALSE)</f>
        <v>L2</v>
      </c>
      <c r="O1065" t="str">
        <f>VLOOKUP($C1065, 고객정보!$A$2:$E$151, 5, FALSE)</f>
        <v>30대</v>
      </c>
      <c r="P1065" t="str">
        <f>VLOOKUP(D1065,상품정보!$A$2:$E$61,2,FALSE)</f>
        <v>셔츠</v>
      </c>
      <c r="Q1065" t="str">
        <f>VLOOKUP(D1065,상품정보!$A$2:$D$151,3,FALSE)</f>
        <v>의류</v>
      </c>
      <c r="R1065" t="str">
        <f>VLOOKUP(D1065,상품정보!$A$2:$D$151,4,FALSE)</f>
        <v>브랜드F</v>
      </c>
    </row>
    <row r="1066" spans="1:18" x14ac:dyDescent="0.45">
      <c r="A1066" t="s">
        <v>94</v>
      </c>
      <c r="B1066" t="s">
        <v>1465</v>
      </c>
      <c r="C1066" t="s">
        <v>2492</v>
      </c>
      <c r="D1066" t="s">
        <v>2584</v>
      </c>
      <c r="E1066">
        <v>4</v>
      </c>
      <c r="F1066">
        <v>59700</v>
      </c>
      <c r="G1066">
        <v>0</v>
      </c>
      <c r="H1066">
        <v>0</v>
      </c>
      <c r="I1066" t="s">
        <v>2652</v>
      </c>
      <c r="J1066" s="4">
        <f t="shared" si="48"/>
        <v>238800</v>
      </c>
      <c r="K1066" s="4" t="str">
        <f t="shared" si="49"/>
        <v>2024-03</v>
      </c>
      <c r="L1066" s="4" t="str">
        <f t="shared" si="50"/>
        <v>토</v>
      </c>
      <c r="M1066" s="2" t="str">
        <f>VLOOKUP($C1066, 고객정보!$A$2:$E$151, 2, FALSE)</f>
        <v>N/A</v>
      </c>
      <c r="N1066" t="str">
        <f>VLOOKUP(C1066,고객정보!$A$2:$D$151,4,FALSE)</f>
        <v>L1</v>
      </c>
      <c r="O1066" t="str">
        <f>VLOOKUP($C1066, 고객정보!$A$2:$E$151, 5, FALSE)</f>
        <v>20대</v>
      </c>
      <c r="P1066" t="str">
        <f>VLOOKUP(D1066,상품정보!$A$2:$E$61,2,FALSE)</f>
        <v>목걸이</v>
      </c>
      <c r="Q1066" t="str">
        <f>VLOOKUP(D1066,상품정보!$A$2:$D$151,3,FALSE)</f>
        <v>액세서리</v>
      </c>
      <c r="R1066" t="str">
        <f>VLOOKUP(D1066,상품정보!$A$2:$D$151,4,FALSE)</f>
        <v>브랜드B</v>
      </c>
    </row>
    <row r="1067" spans="1:18" x14ac:dyDescent="0.45">
      <c r="A1067" t="s">
        <v>295</v>
      </c>
      <c r="B1067" t="s">
        <v>1466</v>
      </c>
      <c r="C1067" t="s">
        <v>2532</v>
      </c>
      <c r="D1067" t="s">
        <v>2562</v>
      </c>
      <c r="E1067">
        <v>1</v>
      </c>
      <c r="F1067">
        <v>15600</v>
      </c>
      <c r="G1067">
        <v>0</v>
      </c>
      <c r="H1067">
        <v>1600</v>
      </c>
      <c r="I1067" t="s">
        <v>2611</v>
      </c>
      <c r="J1067" s="4">
        <f t="shared" si="48"/>
        <v>14000</v>
      </c>
      <c r="K1067" s="4" t="str">
        <f t="shared" si="49"/>
        <v>2024-06</v>
      </c>
      <c r="L1067" s="4" t="str">
        <f t="shared" si="50"/>
        <v>토</v>
      </c>
      <c r="M1067" s="2" t="str">
        <f>VLOOKUP($C1067, 고객정보!$A$2:$E$151, 2, FALSE)</f>
        <v>서울</v>
      </c>
      <c r="N1067" t="str">
        <f>VLOOKUP(C1067,고객정보!$A$2:$D$151,4,FALSE)</f>
        <v>L2</v>
      </c>
      <c r="O1067" t="str">
        <f>VLOOKUP($C1067, 고객정보!$A$2:$E$151, 5, FALSE)</f>
        <v>50대 이상</v>
      </c>
      <c r="P1067" t="str">
        <f>VLOOKUP(D1067,상품정보!$A$2:$E$61,2,FALSE)</f>
        <v>반팔 티셔츠</v>
      </c>
      <c r="Q1067" t="str">
        <f>VLOOKUP(D1067,상품정보!$A$2:$D$151,3,FALSE)</f>
        <v>의류</v>
      </c>
      <c r="R1067" t="str">
        <f>VLOOKUP(D1067,상품정보!$A$2:$D$151,4,FALSE)</f>
        <v>브랜드E</v>
      </c>
    </row>
    <row r="1068" spans="1:18" x14ac:dyDescent="0.45">
      <c r="A1068" t="s">
        <v>98</v>
      </c>
      <c r="B1068" t="s">
        <v>1467</v>
      </c>
      <c r="C1068" t="s">
        <v>2545</v>
      </c>
      <c r="D1068" t="s">
        <v>2588</v>
      </c>
      <c r="E1068">
        <v>1</v>
      </c>
      <c r="F1068">
        <v>7700</v>
      </c>
      <c r="G1068">
        <v>0</v>
      </c>
      <c r="H1068">
        <v>0</v>
      </c>
      <c r="I1068" t="s">
        <v>2652</v>
      </c>
      <c r="J1068" s="4">
        <f t="shared" si="48"/>
        <v>7700</v>
      </c>
      <c r="K1068" s="4" t="str">
        <f t="shared" si="49"/>
        <v>2024-08</v>
      </c>
      <c r="L1068" s="4" t="str">
        <f t="shared" si="50"/>
        <v>목</v>
      </c>
      <c r="M1068" s="2" t="str">
        <f>VLOOKUP($C1068, 고객정보!$A$2:$E$151, 2, FALSE)</f>
        <v>서울</v>
      </c>
      <c r="N1068" t="str">
        <f>VLOOKUP(C1068,고객정보!$A$2:$D$151,4,FALSE)</f>
        <v>L4</v>
      </c>
      <c r="O1068" t="str">
        <f>VLOOKUP($C1068, 고객정보!$A$2:$E$151, 5, FALSE)</f>
        <v>30대</v>
      </c>
      <c r="P1068" t="str">
        <f>VLOOKUP(D1068,상품정보!$A$2:$E$61,2,FALSE)</f>
        <v>귀걸이</v>
      </c>
      <c r="Q1068" t="str">
        <f>VLOOKUP(D1068,상품정보!$A$2:$D$151,3,FALSE)</f>
        <v>액세서리</v>
      </c>
      <c r="R1068" t="str">
        <f>VLOOKUP(D1068,상품정보!$A$2:$D$151,4,FALSE)</f>
        <v>브랜드D</v>
      </c>
    </row>
    <row r="1069" spans="1:18" x14ac:dyDescent="0.45">
      <c r="A1069" t="s">
        <v>79</v>
      </c>
      <c r="B1069" t="s">
        <v>1468</v>
      </c>
      <c r="C1069" t="s">
        <v>2499</v>
      </c>
      <c r="D1069" t="s">
        <v>2560</v>
      </c>
      <c r="E1069">
        <v>4</v>
      </c>
      <c r="F1069">
        <v>60600</v>
      </c>
      <c r="G1069">
        <v>0</v>
      </c>
      <c r="H1069">
        <v>0</v>
      </c>
      <c r="I1069" t="s">
        <v>2652</v>
      </c>
      <c r="J1069" s="4">
        <f t="shared" si="48"/>
        <v>242400</v>
      </c>
      <c r="K1069" s="4" t="str">
        <f t="shared" si="49"/>
        <v>2024-03</v>
      </c>
      <c r="L1069" s="4" t="str">
        <f t="shared" si="50"/>
        <v>목</v>
      </c>
      <c r="M1069" s="2" t="str">
        <f>VLOOKUP($C1069, 고객정보!$A$2:$E$151, 2, FALSE)</f>
        <v>서울</v>
      </c>
      <c r="N1069" t="str">
        <f>VLOOKUP(C1069,고객정보!$A$2:$D$151,4,FALSE)</f>
        <v>L2</v>
      </c>
      <c r="O1069" t="str">
        <f>VLOOKUP($C1069, 고객정보!$A$2:$E$151, 5, FALSE)</f>
        <v>40대</v>
      </c>
      <c r="P1069" t="str">
        <f>VLOOKUP(D1069,상품정보!$A$2:$E$61,2,FALSE)</f>
        <v>반팔 티셔츠</v>
      </c>
      <c r="Q1069" t="str">
        <f>VLOOKUP(D1069,상품정보!$A$2:$D$151,3,FALSE)</f>
        <v>의류</v>
      </c>
      <c r="R1069" t="str">
        <f>VLOOKUP(D1069,상품정보!$A$2:$D$151,4,FALSE)</f>
        <v>브랜드F</v>
      </c>
    </row>
    <row r="1070" spans="1:18" x14ac:dyDescent="0.45">
      <c r="A1070" t="s">
        <v>238</v>
      </c>
      <c r="B1070" t="s">
        <v>1469</v>
      </c>
      <c r="C1070" t="s">
        <v>2455</v>
      </c>
      <c r="D1070" t="s">
        <v>2591</v>
      </c>
      <c r="E1070">
        <v>3</v>
      </c>
      <c r="F1070">
        <v>69200</v>
      </c>
      <c r="G1070">
        <v>500</v>
      </c>
      <c r="H1070">
        <v>0</v>
      </c>
      <c r="I1070" t="s">
        <v>2652</v>
      </c>
      <c r="J1070" s="4">
        <f t="shared" si="48"/>
        <v>208100</v>
      </c>
      <c r="K1070" s="4" t="str">
        <f t="shared" si="49"/>
        <v>2024-04</v>
      </c>
      <c r="L1070" s="4" t="str">
        <f t="shared" si="50"/>
        <v>월</v>
      </c>
      <c r="M1070" s="2" t="str">
        <f>VLOOKUP($C1070, 고객정보!$A$2:$E$151, 2, FALSE)</f>
        <v>서울</v>
      </c>
      <c r="N1070" t="str">
        <f>VLOOKUP(C1070,고객정보!$A$2:$D$151,4,FALSE)</f>
        <v>L5</v>
      </c>
      <c r="O1070" t="str">
        <f>VLOOKUP($C1070, 고객정보!$A$2:$E$151, 5, FALSE)</f>
        <v>20대</v>
      </c>
      <c r="P1070" t="str">
        <f>VLOOKUP(D1070,상품정보!$A$2:$E$61,2,FALSE)</f>
        <v>셔츠</v>
      </c>
      <c r="Q1070" t="str">
        <f>VLOOKUP(D1070,상품정보!$A$2:$D$151,3,FALSE)</f>
        <v>의류</v>
      </c>
      <c r="R1070" t="str">
        <f>VLOOKUP(D1070,상품정보!$A$2:$D$151,4,FALSE)</f>
        <v>브랜드F</v>
      </c>
    </row>
    <row r="1071" spans="1:18" x14ac:dyDescent="0.45">
      <c r="A1071" t="s">
        <v>45</v>
      </c>
      <c r="B1071" t="s">
        <v>1470</v>
      </c>
      <c r="C1071" t="s">
        <v>2464</v>
      </c>
      <c r="D1071" t="s">
        <v>2592</v>
      </c>
      <c r="E1071">
        <v>5</v>
      </c>
      <c r="F1071">
        <v>72700</v>
      </c>
      <c r="G1071">
        <v>2000</v>
      </c>
      <c r="H1071">
        <v>0</v>
      </c>
      <c r="I1071" t="s">
        <v>2652</v>
      </c>
      <c r="J1071" s="4">
        <f t="shared" si="48"/>
        <v>365500</v>
      </c>
      <c r="K1071" s="4" t="str">
        <f t="shared" si="49"/>
        <v>2025-01</v>
      </c>
      <c r="L1071" s="4" t="str">
        <f t="shared" si="50"/>
        <v>토</v>
      </c>
      <c r="M1071" s="2" t="str">
        <f>VLOOKUP($C1071, 고객정보!$A$2:$E$151, 2, FALSE)</f>
        <v>대구</v>
      </c>
      <c r="N1071" t="str">
        <f>VLOOKUP(C1071,고객정보!$A$2:$D$151,4,FALSE)</f>
        <v>L1</v>
      </c>
      <c r="O1071" t="str">
        <f>VLOOKUP($C1071, 고객정보!$A$2:$E$151, 5, FALSE)</f>
        <v>20대</v>
      </c>
      <c r="P1071" t="str">
        <f>VLOOKUP(D1071,상품정보!$A$2:$E$61,2,FALSE)</f>
        <v>귀걸이</v>
      </c>
      <c r="Q1071" t="str">
        <f>VLOOKUP(D1071,상품정보!$A$2:$D$151,3,FALSE)</f>
        <v>액세서리</v>
      </c>
      <c r="R1071" t="str">
        <f>VLOOKUP(D1071,상품정보!$A$2:$D$151,4,FALSE)</f>
        <v>브랜드A</v>
      </c>
    </row>
    <row r="1072" spans="1:18" x14ac:dyDescent="0.45">
      <c r="A1072" t="s">
        <v>189</v>
      </c>
      <c r="B1072" t="s">
        <v>1471</v>
      </c>
      <c r="C1072" t="s">
        <v>2502</v>
      </c>
      <c r="D1072" t="s">
        <v>2605</v>
      </c>
      <c r="E1072">
        <v>3</v>
      </c>
      <c r="F1072">
        <v>6800</v>
      </c>
      <c r="G1072">
        <v>0</v>
      </c>
      <c r="H1072">
        <v>0</v>
      </c>
      <c r="I1072" t="s">
        <v>2652</v>
      </c>
      <c r="J1072" s="4">
        <f t="shared" si="48"/>
        <v>20400</v>
      </c>
      <c r="K1072" s="4" t="str">
        <f t="shared" si="49"/>
        <v>2024-06</v>
      </c>
      <c r="L1072" s="4" t="str">
        <f t="shared" si="50"/>
        <v>토</v>
      </c>
      <c r="M1072" s="2" t="str">
        <f>VLOOKUP($C1072, 고객정보!$A$2:$E$151, 2, FALSE)</f>
        <v>부산</v>
      </c>
      <c r="N1072" t="str">
        <f>VLOOKUP(C1072,고객정보!$A$2:$D$151,4,FALSE)</f>
        <v>L4</v>
      </c>
      <c r="O1072" t="str">
        <f>VLOOKUP($C1072, 고객정보!$A$2:$E$151, 5, FALSE)</f>
        <v>20대</v>
      </c>
      <c r="P1072" t="str">
        <f>VLOOKUP(D1072,상품정보!$A$2:$E$61,2,FALSE)</f>
        <v>핸드폰케이스</v>
      </c>
      <c r="Q1072" t="str">
        <f>VLOOKUP(D1072,상품정보!$A$2:$D$151,3,FALSE)</f>
        <v>액세서리</v>
      </c>
      <c r="R1072" t="str">
        <f>VLOOKUP(D1072,상품정보!$A$2:$D$151,4,FALSE)</f>
        <v>브랜드D</v>
      </c>
    </row>
    <row r="1073" spans="1:18" x14ac:dyDescent="0.45">
      <c r="A1073" t="s">
        <v>311</v>
      </c>
      <c r="B1073" t="s">
        <v>1472</v>
      </c>
      <c r="C1073" t="s">
        <v>2467</v>
      </c>
      <c r="D1073" t="s">
        <v>2591</v>
      </c>
      <c r="E1073">
        <v>1</v>
      </c>
      <c r="F1073">
        <v>69200</v>
      </c>
      <c r="G1073">
        <v>500</v>
      </c>
      <c r="H1073">
        <v>0</v>
      </c>
      <c r="I1073" t="s">
        <v>2652</v>
      </c>
      <c r="J1073" s="4">
        <f t="shared" si="48"/>
        <v>69700</v>
      </c>
      <c r="K1073" s="4" t="str">
        <f t="shared" si="49"/>
        <v>2024-07</v>
      </c>
      <c r="L1073" s="4" t="str">
        <f t="shared" si="50"/>
        <v>토</v>
      </c>
      <c r="M1073" s="2" t="str">
        <f>VLOOKUP($C1073, 고객정보!$A$2:$E$151, 2, FALSE)</f>
        <v>부산</v>
      </c>
      <c r="N1073" t="str">
        <f>VLOOKUP(C1073,고객정보!$A$2:$D$151,4,FALSE)</f>
        <v>L4</v>
      </c>
      <c r="O1073" t="str">
        <f>VLOOKUP($C1073, 고객정보!$A$2:$E$151, 5, FALSE)</f>
        <v>20대</v>
      </c>
      <c r="P1073" t="str">
        <f>VLOOKUP(D1073,상품정보!$A$2:$E$61,2,FALSE)</f>
        <v>셔츠</v>
      </c>
      <c r="Q1073" t="str">
        <f>VLOOKUP(D1073,상품정보!$A$2:$D$151,3,FALSE)</f>
        <v>의류</v>
      </c>
      <c r="R1073" t="str">
        <f>VLOOKUP(D1073,상품정보!$A$2:$D$151,4,FALSE)</f>
        <v>브랜드F</v>
      </c>
    </row>
    <row r="1074" spans="1:18" x14ac:dyDescent="0.45">
      <c r="A1074" t="s">
        <v>39</v>
      </c>
      <c r="B1074" t="s">
        <v>1473</v>
      </c>
      <c r="C1074" t="s">
        <v>2453</v>
      </c>
      <c r="D1074" t="s">
        <v>2562</v>
      </c>
      <c r="E1074">
        <v>4</v>
      </c>
      <c r="F1074">
        <v>15600</v>
      </c>
      <c r="G1074">
        <v>0</v>
      </c>
      <c r="H1074">
        <v>0</v>
      </c>
      <c r="I1074" t="s">
        <v>2652</v>
      </c>
      <c r="J1074" s="4">
        <f t="shared" si="48"/>
        <v>62400</v>
      </c>
      <c r="K1074" s="4" t="str">
        <f t="shared" si="49"/>
        <v>2024-03</v>
      </c>
      <c r="L1074" s="4" t="str">
        <f t="shared" si="50"/>
        <v>화</v>
      </c>
      <c r="M1074" s="2" t="str">
        <f>VLOOKUP($C1074, 고객정보!$A$2:$E$151, 2, FALSE)</f>
        <v>대구</v>
      </c>
      <c r="N1074" t="str">
        <f>VLOOKUP(C1074,고객정보!$A$2:$D$151,4,FALSE)</f>
        <v>L5</v>
      </c>
      <c r="O1074" t="str">
        <f>VLOOKUP($C1074, 고객정보!$A$2:$E$151, 5, FALSE)</f>
        <v>50대 이상</v>
      </c>
      <c r="P1074" t="str">
        <f>VLOOKUP(D1074,상품정보!$A$2:$E$61,2,FALSE)</f>
        <v>반팔 티셔츠</v>
      </c>
      <c r="Q1074" t="str">
        <f>VLOOKUP(D1074,상품정보!$A$2:$D$151,3,FALSE)</f>
        <v>의류</v>
      </c>
      <c r="R1074" t="str">
        <f>VLOOKUP(D1074,상품정보!$A$2:$D$151,4,FALSE)</f>
        <v>브랜드E</v>
      </c>
    </row>
    <row r="1075" spans="1:18" x14ac:dyDescent="0.45">
      <c r="A1075" t="s">
        <v>133</v>
      </c>
      <c r="B1075" t="s">
        <v>1474</v>
      </c>
      <c r="C1075" t="s">
        <v>2455</v>
      </c>
      <c r="D1075" t="s">
        <v>2599</v>
      </c>
      <c r="E1075">
        <v>1</v>
      </c>
      <c r="F1075">
        <v>73800</v>
      </c>
      <c r="G1075">
        <v>0</v>
      </c>
      <c r="H1075">
        <v>0</v>
      </c>
      <c r="I1075" t="s">
        <v>2652</v>
      </c>
      <c r="J1075" s="4">
        <f t="shared" si="48"/>
        <v>73800</v>
      </c>
      <c r="K1075" s="4" t="str">
        <f t="shared" si="49"/>
        <v>2024-08</v>
      </c>
      <c r="L1075" s="4" t="str">
        <f t="shared" si="50"/>
        <v>화</v>
      </c>
      <c r="M1075" s="2" t="str">
        <f>VLOOKUP($C1075, 고객정보!$A$2:$E$151, 2, FALSE)</f>
        <v>서울</v>
      </c>
      <c r="N1075" t="str">
        <f>VLOOKUP(C1075,고객정보!$A$2:$D$151,4,FALSE)</f>
        <v>L5</v>
      </c>
      <c r="O1075" t="str">
        <f>VLOOKUP($C1075, 고객정보!$A$2:$E$151, 5, FALSE)</f>
        <v>20대</v>
      </c>
      <c r="P1075" t="str">
        <f>VLOOKUP(D1075,상품정보!$A$2:$E$61,2,FALSE)</f>
        <v>핸드폰케이스</v>
      </c>
      <c r="Q1075" t="str">
        <f>VLOOKUP(D1075,상품정보!$A$2:$D$151,3,FALSE)</f>
        <v>액세서리</v>
      </c>
      <c r="R1075" t="str">
        <f>VLOOKUP(D1075,상품정보!$A$2:$D$151,4,FALSE)</f>
        <v>브랜드F</v>
      </c>
    </row>
    <row r="1076" spans="1:18" x14ac:dyDescent="0.45">
      <c r="A1076" t="s">
        <v>366</v>
      </c>
      <c r="B1076" t="s">
        <v>1475</v>
      </c>
      <c r="C1076" t="s">
        <v>2544</v>
      </c>
      <c r="D1076" t="s">
        <v>2595</v>
      </c>
      <c r="E1076">
        <v>5</v>
      </c>
      <c r="F1076">
        <v>12700</v>
      </c>
      <c r="G1076">
        <v>1000</v>
      </c>
      <c r="H1076">
        <v>1100</v>
      </c>
      <c r="I1076" t="s">
        <v>2612</v>
      </c>
      <c r="J1076" s="4">
        <f t="shared" si="48"/>
        <v>63400</v>
      </c>
      <c r="K1076" s="4" t="str">
        <f t="shared" si="49"/>
        <v>2024-09</v>
      </c>
      <c r="L1076" s="4" t="str">
        <f t="shared" si="50"/>
        <v>월</v>
      </c>
      <c r="M1076" s="2" t="str">
        <f>VLOOKUP($C1076, 고객정보!$A$2:$E$151, 2, FALSE)</f>
        <v>서울</v>
      </c>
      <c r="N1076" t="str">
        <f>VLOOKUP(C1076,고객정보!$A$2:$D$151,4,FALSE)</f>
        <v>L5</v>
      </c>
      <c r="O1076" t="str">
        <f>VLOOKUP($C1076, 고객정보!$A$2:$E$151, 5, FALSE)</f>
        <v>40대</v>
      </c>
      <c r="P1076" t="str">
        <f>VLOOKUP(D1076,상품정보!$A$2:$E$61,2,FALSE)</f>
        <v>반지</v>
      </c>
      <c r="Q1076" t="str">
        <f>VLOOKUP(D1076,상품정보!$A$2:$D$151,3,FALSE)</f>
        <v>액세서리</v>
      </c>
      <c r="R1076" t="str">
        <f>VLOOKUP(D1076,상품정보!$A$2:$D$151,4,FALSE)</f>
        <v>브랜드C</v>
      </c>
    </row>
    <row r="1077" spans="1:18" x14ac:dyDescent="0.45">
      <c r="A1077" t="s">
        <v>238</v>
      </c>
      <c r="B1077" t="s">
        <v>1476</v>
      </c>
      <c r="C1077" t="s">
        <v>2448</v>
      </c>
      <c r="D1077" t="s">
        <v>2591</v>
      </c>
      <c r="E1077">
        <v>1</v>
      </c>
      <c r="F1077">
        <v>69200</v>
      </c>
      <c r="G1077">
        <v>0</v>
      </c>
      <c r="H1077">
        <v>0</v>
      </c>
      <c r="I1077" t="s">
        <v>2652</v>
      </c>
      <c r="J1077" s="4">
        <f t="shared" si="48"/>
        <v>69200</v>
      </c>
      <c r="K1077" s="4" t="str">
        <f t="shared" si="49"/>
        <v>2024-04</v>
      </c>
      <c r="L1077" s="4" t="str">
        <f t="shared" si="50"/>
        <v>월</v>
      </c>
      <c r="M1077" s="2" t="str">
        <f>VLOOKUP($C1077, 고객정보!$A$2:$E$151, 2, FALSE)</f>
        <v>광주</v>
      </c>
      <c r="N1077" t="str">
        <f>VLOOKUP(C1077,고객정보!$A$2:$D$151,4,FALSE)</f>
        <v>L3</v>
      </c>
      <c r="O1077" t="str">
        <f>VLOOKUP($C1077, 고객정보!$A$2:$E$151, 5, FALSE)</f>
        <v>50대 이상</v>
      </c>
      <c r="P1077" t="str">
        <f>VLOOKUP(D1077,상품정보!$A$2:$E$61,2,FALSE)</f>
        <v>셔츠</v>
      </c>
      <c r="Q1077" t="str">
        <f>VLOOKUP(D1077,상품정보!$A$2:$D$151,3,FALSE)</f>
        <v>의류</v>
      </c>
      <c r="R1077" t="str">
        <f>VLOOKUP(D1077,상품정보!$A$2:$D$151,4,FALSE)</f>
        <v>브랜드F</v>
      </c>
    </row>
    <row r="1078" spans="1:18" x14ac:dyDescent="0.45">
      <c r="A1078" t="s">
        <v>324</v>
      </c>
      <c r="B1078" t="s">
        <v>1477</v>
      </c>
      <c r="C1078" t="s">
        <v>2492</v>
      </c>
      <c r="D1078" t="s">
        <v>2601</v>
      </c>
      <c r="E1078">
        <v>3</v>
      </c>
      <c r="F1078">
        <v>17000</v>
      </c>
      <c r="G1078">
        <v>0</v>
      </c>
      <c r="H1078">
        <v>0</v>
      </c>
      <c r="I1078" t="s">
        <v>2652</v>
      </c>
      <c r="J1078" s="4">
        <f t="shared" si="48"/>
        <v>51000</v>
      </c>
      <c r="K1078" s="4" t="str">
        <f t="shared" si="49"/>
        <v>2024-02</v>
      </c>
      <c r="L1078" s="4" t="str">
        <f t="shared" si="50"/>
        <v>일</v>
      </c>
      <c r="M1078" s="2" t="str">
        <f>VLOOKUP($C1078, 고객정보!$A$2:$E$151, 2, FALSE)</f>
        <v>N/A</v>
      </c>
      <c r="N1078" t="str">
        <f>VLOOKUP(C1078,고객정보!$A$2:$D$151,4,FALSE)</f>
        <v>L1</v>
      </c>
      <c r="O1078" t="str">
        <f>VLOOKUP($C1078, 고객정보!$A$2:$E$151, 5, FALSE)</f>
        <v>20대</v>
      </c>
      <c r="P1078" t="str">
        <f>VLOOKUP(D1078,상품정보!$A$2:$E$61,2,FALSE)</f>
        <v>자켓</v>
      </c>
      <c r="Q1078" t="str">
        <f>VLOOKUP(D1078,상품정보!$A$2:$D$151,3,FALSE)</f>
        <v>의류</v>
      </c>
      <c r="R1078" t="str">
        <f>VLOOKUP(D1078,상품정보!$A$2:$D$151,4,FALSE)</f>
        <v>브랜드E</v>
      </c>
    </row>
    <row r="1079" spans="1:18" x14ac:dyDescent="0.45">
      <c r="A1079" t="s">
        <v>336</v>
      </c>
      <c r="B1079" t="s">
        <v>1478</v>
      </c>
      <c r="C1079" t="s">
        <v>2446</v>
      </c>
      <c r="D1079" t="s">
        <v>2610</v>
      </c>
      <c r="E1079">
        <v>1</v>
      </c>
      <c r="F1079">
        <v>18800</v>
      </c>
      <c r="G1079">
        <v>0</v>
      </c>
      <c r="H1079">
        <v>0</v>
      </c>
      <c r="I1079" t="s">
        <v>2652</v>
      </c>
      <c r="J1079" s="4">
        <f t="shared" si="48"/>
        <v>18800</v>
      </c>
      <c r="K1079" s="4" t="str">
        <f t="shared" si="49"/>
        <v>2024-06</v>
      </c>
      <c r="L1079" s="4" t="str">
        <f t="shared" si="50"/>
        <v>목</v>
      </c>
      <c r="M1079" s="2" t="str">
        <f>VLOOKUP($C1079, 고객정보!$A$2:$E$151, 2, FALSE)</f>
        <v>대전</v>
      </c>
      <c r="N1079" t="str">
        <f>VLOOKUP(C1079,고객정보!$A$2:$D$151,4,FALSE)</f>
        <v>L2</v>
      </c>
      <c r="O1079" t="str">
        <f>VLOOKUP($C1079, 고객정보!$A$2:$E$151, 5, FALSE)</f>
        <v>50대 이상</v>
      </c>
      <c r="P1079" t="str">
        <f>VLOOKUP(D1079,상품정보!$A$2:$E$61,2,FALSE)</f>
        <v>자켓</v>
      </c>
      <c r="Q1079" t="str">
        <f>VLOOKUP(D1079,상품정보!$A$2:$D$151,3,FALSE)</f>
        <v>의류</v>
      </c>
      <c r="R1079" t="str">
        <f>VLOOKUP(D1079,상품정보!$A$2:$D$151,4,FALSE)</f>
        <v>브랜드E</v>
      </c>
    </row>
    <row r="1080" spans="1:18" x14ac:dyDescent="0.45">
      <c r="A1080" t="s">
        <v>159</v>
      </c>
      <c r="B1080" t="s">
        <v>1479</v>
      </c>
      <c r="C1080" t="s">
        <v>2533</v>
      </c>
      <c r="D1080" t="s">
        <v>2608</v>
      </c>
      <c r="E1080">
        <v>4</v>
      </c>
      <c r="F1080">
        <v>10600</v>
      </c>
      <c r="G1080">
        <v>0</v>
      </c>
      <c r="H1080">
        <v>0</v>
      </c>
      <c r="I1080" t="s">
        <v>2652</v>
      </c>
      <c r="J1080" s="4">
        <f t="shared" si="48"/>
        <v>42400</v>
      </c>
      <c r="K1080" s="4" t="str">
        <f t="shared" si="49"/>
        <v>2024-12</v>
      </c>
      <c r="L1080" s="4" t="str">
        <f t="shared" si="50"/>
        <v>수</v>
      </c>
      <c r="M1080" s="2" t="str">
        <f>VLOOKUP($C1080, 고객정보!$A$2:$E$151, 2, FALSE)</f>
        <v>인천</v>
      </c>
      <c r="N1080" t="str">
        <f>VLOOKUP(C1080,고객정보!$A$2:$D$151,4,FALSE)</f>
        <v>L5</v>
      </c>
      <c r="O1080" t="str">
        <f>VLOOKUP($C1080, 고객정보!$A$2:$E$151, 5, FALSE)</f>
        <v>30대</v>
      </c>
      <c r="P1080" t="str">
        <f>VLOOKUP(D1080,상품정보!$A$2:$E$61,2,FALSE)</f>
        <v>셔츠</v>
      </c>
      <c r="Q1080" t="str">
        <f>VLOOKUP(D1080,상품정보!$A$2:$D$151,3,FALSE)</f>
        <v>의류</v>
      </c>
      <c r="R1080" t="str">
        <f>VLOOKUP(D1080,상품정보!$A$2:$D$151,4,FALSE)</f>
        <v>브랜드D</v>
      </c>
    </row>
    <row r="1081" spans="1:18" x14ac:dyDescent="0.45">
      <c r="A1081" t="s">
        <v>273</v>
      </c>
      <c r="B1081" t="s">
        <v>1480</v>
      </c>
      <c r="C1081" t="s">
        <v>2428</v>
      </c>
      <c r="D1081" t="s">
        <v>2553</v>
      </c>
      <c r="E1081">
        <v>5</v>
      </c>
      <c r="F1081">
        <v>63400</v>
      </c>
      <c r="G1081">
        <v>0</v>
      </c>
      <c r="H1081">
        <v>3400</v>
      </c>
      <c r="I1081" t="s">
        <v>2612</v>
      </c>
      <c r="J1081" s="4">
        <f t="shared" si="48"/>
        <v>313600</v>
      </c>
      <c r="K1081" s="4" t="str">
        <f t="shared" si="49"/>
        <v>2024-07</v>
      </c>
      <c r="L1081" s="4" t="str">
        <f t="shared" si="50"/>
        <v>수</v>
      </c>
      <c r="M1081" s="2" t="str">
        <f>VLOOKUP($C1081, 고객정보!$A$2:$E$151, 2, FALSE)</f>
        <v>광주</v>
      </c>
      <c r="N1081" t="str">
        <f>VLOOKUP(C1081,고객정보!$A$2:$D$151,4,FALSE)</f>
        <v>L4</v>
      </c>
      <c r="O1081" t="str">
        <f>VLOOKUP($C1081, 고객정보!$A$2:$E$151, 5, FALSE)</f>
        <v>10대</v>
      </c>
      <c r="P1081" t="str">
        <f>VLOOKUP(D1081,상품정보!$A$2:$E$61,2,FALSE)</f>
        <v>귀걸이</v>
      </c>
      <c r="Q1081" t="str">
        <f>VLOOKUP(D1081,상품정보!$A$2:$D$151,3,FALSE)</f>
        <v>액세서리</v>
      </c>
      <c r="R1081" t="str">
        <f>VLOOKUP(D1081,상품정보!$A$2:$D$151,4,FALSE)</f>
        <v>브랜드F</v>
      </c>
    </row>
    <row r="1082" spans="1:18" x14ac:dyDescent="0.45">
      <c r="A1082" t="s">
        <v>97</v>
      </c>
      <c r="B1082" t="s">
        <v>1481</v>
      </c>
      <c r="C1082" t="s">
        <v>2543</v>
      </c>
      <c r="D1082" t="s">
        <v>2599</v>
      </c>
      <c r="E1082">
        <v>4</v>
      </c>
      <c r="F1082">
        <v>73800</v>
      </c>
      <c r="G1082">
        <v>1500</v>
      </c>
      <c r="H1082">
        <v>1000</v>
      </c>
      <c r="I1082" t="s">
        <v>2612</v>
      </c>
      <c r="J1082" s="4">
        <f t="shared" si="48"/>
        <v>295700</v>
      </c>
      <c r="K1082" s="4" t="str">
        <f t="shared" si="49"/>
        <v>2024-07</v>
      </c>
      <c r="L1082" s="4" t="str">
        <f t="shared" si="50"/>
        <v>월</v>
      </c>
      <c r="M1082" s="2" t="str">
        <f>VLOOKUP($C1082, 고객정보!$A$2:$E$151, 2, FALSE)</f>
        <v>대구</v>
      </c>
      <c r="N1082" t="str">
        <f>VLOOKUP(C1082,고객정보!$A$2:$D$151,4,FALSE)</f>
        <v>L2</v>
      </c>
      <c r="O1082" t="str">
        <f>VLOOKUP($C1082, 고객정보!$A$2:$E$151, 5, FALSE)</f>
        <v>10대</v>
      </c>
      <c r="P1082" t="str">
        <f>VLOOKUP(D1082,상품정보!$A$2:$E$61,2,FALSE)</f>
        <v>핸드폰케이스</v>
      </c>
      <c r="Q1082" t="str">
        <f>VLOOKUP(D1082,상품정보!$A$2:$D$151,3,FALSE)</f>
        <v>액세서리</v>
      </c>
      <c r="R1082" t="str">
        <f>VLOOKUP(D1082,상품정보!$A$2:$D$151,4,FALSE)</f>
        <v>브랜드F</v>
      </c>
    </row>
    <row r="1083" spans="1:18" x14ac:dyDescent="0.45">
      <c r="A1083" t="s">
        <v>369</v>
      </c>
      <c r="B1083" t="s">
        <v>1482</v>
      </c>
      <c r="C1083" t="s">
        <v>2543</v>
      </c>
      <c r="D1083" t="s">
        <v>2556</v>
      </c>
      <c r="E1083">
        <v>1</v>
      </c>
      <c r="F1083">
        <v>70100</v>
      </c>
      <c r="G1083">
        <v>0</v>
      </c>
      <c r="H1083">
        <v>0</v>
      </c>
      <c r="I1083" t="s">
        <v>2652</v>
      </c>
      <c r="J1083" s="4">
        <f t="shared" si="48"/>
        <v>70100</v>
      </c>
      <c r="K1083" s="4" t="str">
        <f t="shared" si="49"/>
        <v>2024-05</v>
      </c>
      <c r="L1083" s="4" t="str">
        <f t="shared" si="50"/>
        <v>화</v>
      </c>
      <c r="M1083" s="2" t="str">
        <f>VLOOKUP($C1083, 고객정보!$A$2:$E$151, 2, FALSE)</f>
        <v>대구</v>
      </c>
      <c r="N1083" t="str">
        <f>VLOOKUP(C1083,고객정보!$A$2:$D$151,4,FALSE)</f>
        <v>L2</v>
      </c>
      <c r="O1083" t="str">
        <f>VLOOKUP($C1083, 고객정보!$A$2:$E$151, 5, FALSE)</f>
        <v>10대</v>
      </c>
      <c r="P1083" t="str">
        <f>VLOOKUP(D1083,상품정보!$A$2:$E$61,2,FALSE)</f>
        <v>핸드폰케이스</v>
      </c>
      <c r="Q1083" t="str">
        <f>VLOOKUP(D1083,상품정보!$A$2:$D$151,3,FALSE)</f>
        <v>액세서리</v>
      </c>
      <c r="R1083" t="str">
        <f>VLOOKUP(D1083,상품정보!$A$2:$D$151,4,FALSE)</f>
        <v>브랜드F</v>
      </c>
    </row>
    <row r="1084" spans="1:18" x14ac:dyDescent="0.45">
      <c r="A1084" t="s">
        <v>209</v>
      </c>
      <c r="B1084" t="s">
        <v>1483</v>
      </c>
      <c r="C1084" t="s">
        <v>2470</v>
      </c>
      <c r="D1084" t="s">
        <v>2581</v>
      </c>
      <c r="E1084">
        <v>3</v>
      </c>
      <c r="F1084">
        <v>72900</v>
      </c>
      <c r="G1084">
        <v>500</v>
      </c>
      <c r="H1084">
        <v>0</v>
      </c>
      <c r="I1084" t="s">
        <v>2652</v>
      </c>
      <c r="J1084" s="4">
        <f t="shared" si="48"/>
        <v>219200</v>
      </c>
      <c r="K1084" s="4" t="str">
        <f t="shared" si="49"/>
        <v>2024-04</v>
      </c>
      <c r="L1084" s="4" t="str">
        <f t="shared" si="50"/>
        <v>목</v>
      </c>
      <c r="M1084" s="2" t="str">
        <f>VLOOKUP($C1084, 고객정보!$A$2:$E$151, 2, FALSE)</f>
        <v>대전</v>
      </c>
      <c r="N1084" t="str">
        <f>VLOOKUP(C1084,고객정보!$A$2:$D$151,4,FALSE)</f>
        <v>L5</v>
      </c>
      <c r="O1084" t="str">
        <f>VLOOKUP($C1084, 고객정보!$A$2:$E$151, 5, FALSE)</f>
        <v>20대</v>
      </c>
      <c r="P1084" t="str">
        <f>VLOOKUP(D1084,상품정보!$A$2:$E$61,2,FALSE)</f>
        <v>귀걸이</v>
      </c>
      <c r="Q1084" t="str">
        <f>VLOOKUP(D1084,상품정보!$A$2:$D$151,3,FALSE)</f>
        <v>액세서리</v>
      </c>
      <c r="R1084" t="str">
        <f>VLOOKUP(D1084,상품정보!$A$2:$D$151,4,FALSE)</f>
        <v>브랜드F</v>
      </c>
    </row>
    <row r="1085" spans="1:18" x14ac:dyDescent="0.45">
      <c r="A1085" t="s">
        <v>185</v>
      </c>
      <c r="B1085" t="s">
        <v>1484</v>
      </c>
      <c r="C1085" t="s">
        <v>2425</v>
      </c>
      <c r="D1085" t="s">
        <v>2563</v>
      </c>
      <c r="E1085">
        <v>1</v>
      </c>
      <c r="F1085">
        <v>6900</v>
      </c>
      <c r="G1085">
        <v>0</v>
      </c>
      <c r="H1085">
        <v>100</v>
      </c>
      <c r="I1085" t="s">
        <v>2613</v>
      </c>
      <c r="J1085" s="4">
        <f t="shared" si="48"/>
        <v>6800</v>
      </c>
      <c r="K1085" s="4" t="str">
        <f t="shared" si="49"/>
        <v>2024-03</v>
      </c>
      <c r="L1085" s="4" t="str">
        <f t="shared" si="50"/>
        <v>월</v>
      </c>
      <c r="M1085" s="2" t="str">
        <f>VLOOKUP($C1085, 고객정보!$A$2:$E$151, 2, FALSE)</f>
        <v>서울</v>
      </c>
      <c r="N1085" t="str">
        <f>VLOOKUP(C1085,고객정보!$A$2:$D$151,4,FALSE)</f>
        <v>L4</v>
      </c>
      <c r="O1085" t="str">
        <f>VLOOKUP($C1085, 고객정보!$A$2:$E$151, 5, FALSE)</f>
        <v>30대</v>
      </c>
      <c r="P1085" t="str">
        <f>VLOOKUP(D1085,상품정보!$A$2:$E$61,2,FALSE)</f>
        <v>귀걸이</v>
      </c>
      <c r="Q1085" t="str">
        <f>VLOOKUP(D1085,상품정보!$A$2:$D$151,3,FALSE)</f>
        <v>액세서리</v>
      </c>
      <c r="R1085" t="str">
        <f>VLOOKUP(D1085,상품정보!$A$2:$D$151,4,FALSE)</f>
        <v>브랜드D</v>
      </c>
    </row>
    <row r="1086" spans="1:18" x14ac:dyDescent="0.45">
      <c r="A1086" t="s">
        <v>326</v>
      </c>
      <c r="B1086" t="s">
        <v>1485</v>
      </c>
      <c r="C1086" t="s">
        <v>2454</v>
      </c>
      <c r="D1086" t="s">
        <v>2553</v>
      </c>
      <c r="E1086">
        <v>3</v>
      </c>
      <c r="F1086">
        <v>63400</v>
      </c>
      <c r="G1086">
        <v>1000</v>
      </c>
      <c r="H1086">
        <v>2000</v>
      </c>
      <c r="I1086" t="s">
        <v>2612</v>
      </c>
      <c r="J1086" s="4">
        <f t="shared" si="48"/>
        <v>189200</v>
      </c>
      <c r="K1086" s="4" t="str">
        <f t="shared" si="49"/>
        <v>2024-10</v>
      </c>
      <c r="L1086" s="4" t="str">
        <f t="shared" si="50"/>
        <v>금</v>
      </c>
      <c r="M1086" s="2" t="str">
        <f>VLOOKUP($C1086, 고객정보!$A$2:$E$151, 2, FALSE)</f>
        <v>부산</v>
      </c>
      <c r="N1086" t="str">
        <f>VLOOKUP(C1086,고객정보!$A$2:$D$151,4,FALSE)</f>
        <v>L3</v>
      </c>
      <c r="O1086" t="str">
        <f>VLOOKUP($C1086, 고객정보!$A$2:$E$151, 5, FALSE)</f>
        <v>40대</v>
      </c>
      <c r="P1086" t="str">
        <f>VLOOKUP(D1086,상품정보!$A$2:$E$61,2,FALSE)</f>
        <v>귀걸이</v>
      </c>
      <c r="Q1086" t="str">
        <f>VLOOKUP(D1086,상품정보!$A$2:$D$151,3,FALSE)</f>
        <v>액세서리</v>
      </c>
      <c r="R1086" t="str">
        <f>VLOOKUP(D1086,상품정보!$A$2:$D$151,4,FALSE)</f>
        <v>브랜드F</v>
      </c>
    </row>
    <row r="1087" spans="1:18" x14ac:dyDescent="0.45">
      <c r="A1087" t="s">
        <v>222</v>
      </c>
      <c r="B1087" t="s">
        <v>1486</v>
      </c>
      <c r="C1087" t="s">
        <v>2524</v>
      </c>
      <c r="D1087" t="s">
        <v>2557</v>
      </c>
      <c r="E1087">
        <v>5</v>
      </c>
      <c r="F1087">
        <v>77700</v>
      </c>
      <c r="G1087">
        <v>0</v>
      </c>
      <c r="H1087">
        <v>0</v>
      </c>
      <c r="I1087" t="s">
        <v>2652</v>
      </c>
      <c r="J1087" s="4">
        <f t="shared" si="48"/>
        <v>388500</v>
      </c>
      <c r="K1087" s="4" t="str">
        <f t="shared" si="49"/>
        <v>2024-04</v>
      </c>
      <c r="L1087" s="4" t="str">
        <f t="shared" si="50"/>
        <v>금</v>
      </c>
      <c r="M1087" s="2" t="str">
        <f>VLOOKUP($C1087, 고객정보!$A$2:$E$151, 2, FALSE)</f>
        <v>서울</v>
      </c>
      <c r="N1087" t="str">
        <f>VLOOKUP(C1087,고객정보!$A$2:$D$151,4,FALSE)</f>
        <v>L5</v>
      </c>
      <c r="O1087" t="str">
        <f>VLOOKUP($C1087, 고객정보!$A$2:$E$151, 5, FALSE)</f>
        <v>10대</v>
      </c>
      <c r="P1087" t="str">
        <f>VLOOKUP(D1087,상품정보!$A$2:$E$61,2,FALSE)</f>
        <v>귀걸이</v>
      </c>
      <c r="Q1087" t="str">
        <f>VLOOKUP(D1087,상품정보!$A$2:$D$151,3,FALSE)</f>
        <v>액세서리</v>
      </c>
      <c r="R1087" t="str">
        <f>VLOOKUP(D1087,상품정보!$A$2:$D$151,4,FALSE)</f>
        <v>브랜드B</v>
      </c>
    </row>
    <row r="1088" spans="1:18" x14ac:dyDescent="0.45">
      <c r="A1088" t="s">
        <v>370</v>
      </c>
      <c r="B1088" t="s">
        <v>1487</v>
      </c>
      <c r="C1088" t="s">
        <v>2472</v>
      </c>
      <c r="D1088" t="s">
        <v>2596</v>
      </c>
      <c r="E1088">
        <v>4</v>
      </c>
      <c r="F1088">
        <v>59700</v>
      </c>
      <c r="G1088">
        <v>0</v>
      </c>
      <c r="H1088">
        <v>0</v>
      </c>
      <c r="I1088" t="s">
        <v>2652</v>
      </c>
      <c r="J1088" s="4">
        <f t="shared" si="48"/>
        <v>238800</v>
      </c>
      <c r="K1088" s="4" t="str">
        <f t="shared" si="49"/>
        <v>2024-09</v>
      </c>
      <c r="L1088" s="4" t="str">
        <f t="shared" si="50"/>
        <v>화</v>
      </c>
      <c r="M1088" s="2" t="str">
        <f>VLOOKUP($C1088, 고객정보!$A$2:$E$151, 2, FALSE)</f>
        <v>서울</v>
      </c>
      <c r="N1088" t="str">
        <f>VLOOKUP(C1088,고객정보!$A$2:$D$151,4,FALSE)</f>
        <v>L1</v>
      </c>
      <c r="O1088" t="str">
        <f>VLOOKUP($C1088, 고객정보!$A$2:$E$151, 5, FALSE)</f>
        <v>20대</v>
      </c>
      <c r="P1088" t="str">
        <f>VLOOKUP(D1088,상품정보!$A$2:$E$61,2,FALSE)</f>
        <v>청바지</v>
      </c>
      <c r="Q1088" t="str">
        <f>VLOOKUP(D1088,상품정보!$A$2:$D$151,3,FALSE)</f>
        <v>의류</v>
      </c>
      <c r="R1088" t="str">
        <f>VLOOKUP(D1088,상품정보!$A$2:$D$151,4,FALSE)</f>
        <v>브랜드A</v>
      </c>
    </row>
    <row r="1089" spans="1:18" x14ac:dyDescent="0.45">
      <c r="A1089" t="s">
        <v>253</v>
      </c>
      <c r="B1089" t="s">
        <v>1488</v>
      </c>
      <c r="C1089" t="s">
        <v>2537</v>
      </c>
      <c r="D1089" t="s">
        <v>2561</v>
      </c>
      <c r="E1089">
        <v>4</v>
      </c>
      <c r="F1089">
        <v>63300</v>
      </c>
      <c r="G1089">
        <v>0</v>
      </c>
      <c r="H1089">
        <v>0</v>
      </c>
      <c r="I1089" t="s">
        <v>2652</v>
      </c>
      <c r="J1089" s="4">
        <f t="shared" si="48"/>
        <v>253200</v>
      </c>
      <c r="K1089" s="4" t="str">
        <f t="shared" si="49"/>
        <v>2024-10</v>
      </c>
      <c r="L1089" s="4" t="str">
        <f t="shared" si="50"/>
        <v>일</v>
      </c>
      <c r="M1089" s="2" t="str">
        <f>VLOOKUP($C1089, 고객정보!$A$2:$E$151, 2, FALSE)</f>
        <v>광주</v>
      </c>
      <c r="N1089" t="str">
        <f>VLOOKUP(C1089,고객정보!$A$2:$D$151,4,FALSE)</f>
        <v>L2</v>
      </c>
      <c r="O1089" t="str">
        <f>VLOOKUP($C1089, 고객정보!$A$2:$E$151, 5, FALSE)</f>
        <v>40대</v>
      </c>
      <c r="P1089" t="str">
        <f>VLOOKUP(D1089,상품정보!$A$2:$E$61,2,FALSE)</f>
        <v>귀걸이</v>
      </c>
      <c r="Q1089" t="str">
        <f>VLOOKUP(D1089,상품정보!$A$2:$D$151,3,FALSE)</f>
        <v>액세서리</v>
      </c>
      <c r="R1089" t="str">
        <f>VLOOKUP(D1089,상품정보!$A$2:$D$151,4,FALSE)</f>
        <v>브랜드B</v>
      </c>
    </row>
    <row r="1090" spans="1:18" x14ac:dyDescent="0.45">
      <c r="A1090" t="s">
        <v>52</v>
      </c>
      <c r="B1090" t="s">
        <v>1489</v>
      </c>
      <c r="C1090" t="s">
        <v>2467</v>
      </c>
      <c r="D1090" t="s">
        <v>2608</v>
      </c>
      <c r="E1090">
        <v>3</v>
      </c>
      <c r="F1090">
        <v>10600</v>
      </c>
      <c r="G1090">
        <v>500</v>
      </c>
      <c r="H1090">
        <v>2000</v>
      </c>
      <c r="I1090" t="s">
        <v>2611</v>
      </c>
      <c r="J1090" s="4">
        <f t="shared" si="48"/>
        <v>30300</v>
      </c>
      <c r="K1090" s="4" t="str">
        <f t="shared" si="49"/>
        <v>2024-02</v>
      </c>
      <c r="L1090" s="4" t="str">
        <f t="shared" si="50"/>
        <v>토</v>
      </c>
      <c r="M1090" s="2" t="str">
        <f>VLOOKUP($C1090, 고객정보!$A$2:$E$151, 2, FALSE)</f>
        <v>부산</v>
      </c>
      <c r="N1090" t="str">
        <f>VLOOKUP(C1090,고객정보!$A$2:$D$151,4,FALSE)</f>
        <v>L4</v>
      </c>
      <c r="O1090" t="str">
        <f>VLOOKUP($C1090, 고객정보!$A$2:$E$151, 5, FALSE)</f>
        <v>20대</v>
      </c>
      <c r="P1090" t="str">
        <f>VLOOKUP(D1090,상품정보!$A$2:$E$61,2,FALSE)</f>
        <v>셔츠</v>
      </c>
      <c r="Q1090" t="str">
        <f>VLOOKUP(D1090,상품정보!$A$2:$D$151,3,FALSE)</f>
        <v>의류</v>
      </c>
      <c r="R1090" t="str">
        <f>VLOOKUP(D1090,상품정보!$A$2:$D$151,4,FALSE)</f>
        <v>브랜드D</v>
      </c>
    </row>
    <row r="1091" spans="1:18" x14ac:dyDescent="0.45">
      <c r="A1091" t="s">
        <v>371</v>
      </c>
      <c r="B1091" t="s">
        <v>1490</v>
      </c>
      <c r="C1091" t="s">
        <v>2533</v>
      </c>
      <c r="D1091" t="s">
        <v>2590</v>
      </c>
      <c r="E1091">
        <v>1</v>
      </c>
      <c r="F1091">
        <v>68900</v>
      </c>
      <c r="G1091">
        <v>0</v>
      </c>
      <c r="H1091">
        <v>0</v>
      </c>
      <c r="I1091" t="s">
        <v>2652</v>
      </c>
      <c r="J1091" s="4">
        <f t="shared" ref="J1091:J1154" si="51">E1091*F1091+G1091-H1091</f>
        <v>68900</v>
      </c>
      <c r="K1091" s="4" t="str">
        <f t="shared" ref="K1091:K1154" si="52">LEFT(A1091,7)</f>
        <v>2024-09</v>
      </c>
      <c r="L1091" s="4" t="str">
        <f t="shared" ref="L1091:L1154" si="53">TEXT(WEEKDAY(A1091),"aaa")</f>
        <v>토</v>
      </c>
      <c r="M1091" s="2" t="str">
        <f>VLOOKUP($C1091, 고객정보!$A$2:$E$151, 2, FALSE)</f>
        <v>인천</v>
      </c>
      <c r="N1091" t="str">
        <f>VLOOKUP(C1091,고객정보!$A$2:$D$151,4,FALSE)</f>
        <v>L5</v>
      </c>
      <c r="O1091" t="str">
        <f>VLOOKUP($C1091, 고객정보!$A$2:$E$151, 5, FALSE)</f>
        <v>30대</v>
      </c>
      <c r="P1091" t="str">
        <f>VLOOKUP(D1091,상품정보!$A$2:$E$61,2,FALSE)</f>
        <v>반팔 티셔츠</v>
      </c>
      <c r="Q1091" t="str">
        <f>VLOOKUP(D1091,상품정보!$A$2:$D$151,3,FALSE)</f>
        <v>의류</v>
      </c>
      <c r="R1091" t="str">
        <f>VLOOKUP(D1091,상품정보!$A$2:$D$151,4,FALSE)</f>
        <v>브랜드A</v>
      </c>
    </row>
    <row r="1092" spans="1:18" x14ac:dyDescent="0.45">
      <c r="A1092" t="s">
        <v>227</v>
      </c>
      <c r="B1092" t="s">
        <v>1491</v>
      </c>
      <c r="C1092" t="s">
        <v>2453</v>
      </c>
      <c r="D1092" t="s">
        <v>2590</v>
      </c>
      <c r="E1092">
        <v>5</v>
      </c>
      <c r="F1092">
        <v>68900</v>
      </c>
      <c r="G1092">
        <v>0</v>
      </c>
      <c r="H1092">
        <v>32400</v>
      </c>
      <c r="I1092" t="s">
        <v>2611</v>
      </c>
      <c r="J1092" s="4">
        <f t="shared" si="51"/>
        <v>312100</v>
      </c>
      <c r="K1092" s="4" t="str">
        <f t="shared" si="52"/>
        <v>2024-10</v>
      </c>
      <c r="L1092" s="4" t="str">
        <f t="shared" si="53"/>
        <v>토</v>
      </c>
      <c r="M1092" s="2" t="str">
        <f>VLOOKUP($C1092, 고객정보!$A$2:$E$151, 2, FALSE)</f>
        <v>대구</v>
      </c>
      <c r="N1092" t="str">
        <f>VLOOKUP(C1092,고객정보!$A$2:$D$151,4,FALSE)</f>
        <v>L5</v>
      </c>
      <c r="O1092" t="str">
        <f>VLOOKUP($C1092, 고객정보!$A$2:$E$151, 5, FALSE)</f>
        <v>50대 이상</v>
      </c>
      <c r="P1092" t="str">
        <f>VLOOKUP(D1092,상품정보!$A$2:$E$61,2,FALSE)</f>
        <v>반팔 티셔츠</v>
      </c>
      <c r="Q1092" t="str">
        <f>VLOOKUP(D1092,상품정보!$A$2:$D$151,3,FALSE)</f>
        <v>의류</v>
      </c>
      <c r="R1092" t="str">
        <f>VLOOKUP(D1092,상품정보!$A$2:$D$151,4,FALSE)</f>
        <v>브랜드A</v>
      </c>
    </row>
    <row r="1093" spans="1:18" x14ac:dyDescent="0.45">
      <c r="A1093" t="s">
        <v>191</v>
      </c>
      <c r="B1093" t="s">
        <v>1492</v>
      </c>
      <c r="C1093" t="s">
        <v>2535</v>
      </c>
      <c r="D1093" t="s">
        <v>2580</v>
      </c>
      <c r="E1093">
        <v>4</v>
      </c>
      <c r="F1093">
        <v>77800</v>
      </c>
      <c r="G1093">
        <v>500</v>
      </c>
      <c r="H1093">
        <v>0</v>
      </c>
      <c r="I1093" t="s">
        <v>2652</v>
      </c>
      <c r="J1093" s="4">
        <f t="shared" si="51"/>
        <v>311700</v>
      </c>
      <c r="K1093" s="4" t="str">
        <f t="shared" si="52"/>
        <v>2024-03</v>
      </c>
      <c r="L1093" s="4" t="str">
        <f t="shared" si="53"/>
        <v>금</v>
      </c>
      <c r="M1093" s="2" t="str">
        <f>VLOOKUP($C1093, 고객정보!$A$2:$E$151, 2, FALSE)</f>
        <v>서울</v>
      </c>
      <c r="N1093" t="str">
        <f>VLOOKUP(C1093,고객정보!$A$2:$D$151,4,FALSE)</f>
        <v>L2</v>
      </c>
      <c r="O1093" t="str">
        <f>VLOOKUP($C1093, 고객정보!$A$2:$E$151, 5, FALSE)</f>
        <v>10대</v>
      </c>
      <c r="P1093" t="str">
        <f>VLOOKUP(D1093,상품정보!$A$2:$E$61,2,FALSE)</f>
        <v>청바지</v>
      </c>
      <c r="Q1093" t="str">
        <f>VLOOKUP(D1093,상품정보!$A$2:$D$151,3,FALSE)</f>
        <v>의류</v>
      </c>
      <c r="R1093" t="str">
        <f>VLOOKUP(D1093,상품정보!$A$2:$D$151,4,FALSE)</f>
        <v>브랜드A</v>
      </c>
    </row>
    <row r="1094" spans="1:18" x14ac:dyDescent="0.45">
      <c r="A1094" t="s">
        <v>218</v>
      </c>
      <c r="B1094" t="s">
        <v>1493</v>
      </c>
      <c r="C1094" t="s">
        <v>2499</v>
      </c>
      <c r="D1094" t="s">
        <v>2572</v>
      </c>
      <c r="E1094">
        <v>2</v>
      </c>
      <c r="F1094">
        <v>61700</v>
      </c>
      <c r="G1094">
        <v>500</v>
      </c>
      <c r="H1094">
        <v>0</v>
      </c>
      <c r="I1094" t="s">
        <v>2652</v>
      </c>
      <c r="J1094" s="4">
        <f t="shared" si="51"/>
        <v>123900</v>
      </c>
      <c r="K1094" s="4" t="str">
        <f t="shared" si="52"/>
        <v>2024-03</v>
      </c>
      <c r="L1094" s="4" t="str">
        <f t="shared" si="53"/>
        <v>화</v>
      </c>
      <c r="M1094" s="2" t="str">
        <f>VLOOKUP($C1094, 고객정보!$A$2:$E$151, 2, FALSE)</f>
        <v>서울</v>
      </c>
      <c r="N1094" t="str">
        <f>VLOOKUP(C1094,고객정보!$A$2:$D$151,4,FALSE)</f>
        <v>L2</v>
      </c>
      <c r="O1094" t="str">
        <f>VLOOKUP($C1094, 고객정보!$A$2:$E$151, 5, FALSE)</f>
        <v>40대</v>
      </c>
      <c r="P1094" t="str">
        <f>VLOOKUP(D1094,상품정보!$A$2:$E$61,2,FALSE)</f>
        <v>반팔 티셔츠</v>
      </c>
      <c r="Q1094" t="str">
        <f>VLOOKUP(D1094,상품정보!$A$2:$D$151,3,FALSE)</f>
        <v>의류</v>
      </c>
      <c r="R1094" t="str">
        <f>VLOOKUP(D1094,상품정보!$A$2:$D$151,4,FALSE)</f>
        <v>브랜드F</v>
      </c>
    </row>
    <row r="1095" spans="1:18" x14ac:dyDescent="0.45">
      <c r="A1095" t="s">
        <v>42</v>
      </c>
      <c r="B1095" t="s">
        <v>1494</v>
      </c>
      <c r="C1095" t="s">
        <v>2476</v>
      </c>
      <c r="D1095" t="s">
        <v>2609</v>
      </c>
      <c r="E1095">
        <v>1</v>
      </c>
      <c r="F1095">
        <v>58600</v>
      </c>
      <c r="G1095">
        <v>2000</v>
      </c>
      <c r="H1095">
        <v>0</v>
      </c>
      <c r="I1095" t="s">
        <v>2652</v>
      </c>
      <c r="J1095" s="4">
        <f t="shared" si="51"/>
        <v>60600</v>
      </c>
      <c r="K1095" s="4" t="str">
        <f t="shared" si="52"/>
        <v>2024-12</v>
      </c>
      <c r="L1095" s="4" t="str">
        <f t="shared" si="53"/>
        <v>일</v>
      </c>
      <c r="M1095" s="2" t="str">
        <f>VLOOKUP($C1095, 고객정보!$A$2:$E$151, 2, FALSE)</f>
        <v>서울</v>
      </c>
      <c r="N1095" t="str">
        <f>VLOOKUP(C1095,고객정보!$A$2:$D$151,4,FALSE)</f>
        <v>L2</v>
      </c>
      <c r="O1095" t="str">
        <f>VLOOKUP($C1095, 고객정보!$A$2:$E$151, 5, FALSE)</f>
        <v>10대</v>
      </c>
      <c r="P1095" t="str">
        <f>VLOOKUP(D1095,상품정보!$A$2:$E$61,2,FALSE)</f>
        <v>목걸이</v>
      </c>
      <c r="Q1095" t="str">
        <f>VLOOKUP(D1095,상품정보!$A$2:$D$151,3,FALSE)</f>
        <v>액세서리</v>
      </c>
      <c r="R1095" t="str">
        <f>VLOOKUP(D1095,상품정보!$A$2:$D$151,4,FALSE)</f>
        <v>브랜드F</v>
      </c>
    </row>
    <row r="1096" spans="1:18" x14ac:dyDescent="0.45">
      <c r="A1096" t="s">
        <v>346</v>
      </c>
      <c r="B1096" t="s">
        <v>1495</v>
      </c>
      <c r="C1096" t="s">
        <v>2485</v>
      </c>
      <c r="D1096" t="s">
        <v>2555</v>
      </c>
      <c r="E1096">
        <v>2</v>
      </c>
      <c r="F1096">
        <v>8300</v>
      </c>
      <c r="G1096">
        <v>1000</v>
      </c>
      <c r="H1096">
        <v>0</v>
      </c>
      <c r="I1096" t="s">
        <v>2652</v>
      </c>
      <c r="J1096" s="4">
        <f t="shared" si="51"/>
        <v>17600</v>
      </c>
      <c r="K1096" s="4" t="str">
        <f t="shared" si="52"/>
        <v>2024-10</v>
      </c>
      <c r="L1096" s="4" t="str">
        <f t="shared" si="53"/>
        <v>목</v>
      </c>
      <c r="M1096" s="2" t="str">
        <f>VLOOKUP($C1096, 고객정보!$A$2:$E$151, 2, FALSE)</f>
        <v>서울</v>
      </c>
      <c r="N1096" t="str">
        <f>VLOOKUP(C1096,고객정보!$A$2:$D$151,4,FALSE)</f>
        <v>L4</v>
      </c>
      <c r="O1096" t="str">
        <f>VLOOKUP($C1096, 고객정보!$A$2:$E$151, 5, FALSE)</f>
        <v>40대</v>
      </c>
      <c r="P1096" t="str">
        <f>VLOOKUP(D1096,상품정보!$A$2:$E$61,2,FALSE)</f>
        <v>청바지</v>
      </c>
      <c r="Q1096" t="str">
        <f>VLOOKUP(D1096,상품정보!$A$2:$D$151,3,FALSE)</f>
        <v>의류</v>
      </c>
      <c r="R1096" t="str">
        <f>VLOOKUP(D1096,상품정보!$A$2:$D$151,4,FALSE)</f>
        <v>브랜드E</v>
      </c>
    </row>
    <row r="1097" spans="1:18" x14ac:dyDescent="0.45">
      <c r="A1097" t="s">
        <v>165</v>
      </c>
      <c r="B1097" t="s">
        <v>1496</v>
      </c>
      <c r="C1097" t="s">
        <v>2482</v>
      </c>
      <c r="D1097" t="s">
        <v>2597</v>
      </c>
      <c r="E1097">
        <v>1</v>
      </c>
      <c r="F1097">
        <v>65300</v>
      </c>
      <c r="G1097">
        <v>1000</v>
      </c>
      <c r="H1097">
        <v>0</v>
      </c>
      <c r="I1097" t="s">
        <v>2652</v>
      </c>
      <c r="J1097" s="4">
        <f t="shared" si="51"/>
        <v>66300</v>
      </c>
      <c r="K1097" s="4" t="str">
        <f t="shared" si="52"/>
        <v>2024-02</v>
      </c>
      <c r="L1097" s="4" t="str">
        <f t="shared" si="53"/>
        <v>수</v>
      </c>
      <c r="M1097" s="2" t="str">
        <f>VLOOKUP($C1097, 고객정보!$A$2:$E$151, 2, FALSE)</f>
        <v>서울</v>
      </c>
      <c r="N1097" t="str">
        <f>VLOOKUP(C1097,고객정보!$A$2:$D$151,4,FALSE)</f>
        <v>L2</v>
      </c>
      <c r="O1097" t="str">
        <f>VLOOKUP($C1097, 고객정보!$A$2:$E$151, 5, FALSE)</f>
        <v>30대</v>
      </c>
      <c r="P1097" t="str">
        <f>VLOOKUP(D1097,상품정보!$A$2:$E$61,2,FALSE)</f>
        <v>반지</v>
      </c>
      <c r="Q1097" t="str">
        <f>VLOOKUP(D1097,상품정보!$A$2:$D$151,3,FALSE)</f>
        <v>액세서리</v>
      </c>
      <c r="R1097" t="str">
        <f>VLOOKUP(D1097,상품정보!$A$2:$D$151,4,FALSE)</f>
        <v>브랜드F</v>
      </c>
    </row>
    <row r="1098" spans="1:18" x14ac:dyDescent="0.45">
      <c r="A1098" t="s">
        <v>335</v>
      </c>
      <c r="B1098" t="s">
        <v>1497</v>
      </c>
      <c r="C1098" t="s">
        <v>2549</v>
      </c>
      <c r="D1098" t="s">
        <v>2562</v>
      </c>
      <c r="E1098">
        <v>4</v>
      </c>
      <c r="F1098">
        <v>15600</v>
      </c>
      <c r="G1098">
        <v>0</v>
      </c>
      <c r="H1098">
        <v>0</v>
      </c>
      <c r="I1098" t="s">
        <v>2652</v>
      </c>
      <c r="J1098" s="4">
        <f t="shared" si="51"/>
        <v>62400</v>
      </c>
      <c r="K1098" s="4" t="str">
        <f t="shared" si="52"/>
        <v>2024-10</v>
      </c>
      <c r="L1098" s="4" t="str">
        <f t="shared" si="53"/>
        <v>수</v>
      </c>
      <c r="M1098" s="2" t="str">
        <f>VLOOKUP($C1098, 고객정보!$A$2:$E$151, 2, FALSE)</f>
        <v>서울</v>
      </c>
      <c r="N1098" t="str">
        <f>VLOOKUP(C1098,고객정보!$A$2:$D$151,4,FALSE)</f>
        <v>L2</v>
      </c>
      <c r="O1098" t="str">
        <f>VLOOKUP($C1098, 고객정보!$A$2:$E$151, 5, FALSE)</f>
        <v>40대</v>
      </c>
      <c r="P1098" t="str">
        <f>VLOOKUP(D1098,상품정보!$A$2:$E$61,2,FALSE)</f>
        <v>반팔 티셔츠</v>
      </c>
      <c r="Q1098" t="str">
        <f>VLOOKUP(D1098,상품정보!$A$2:$D$151,3,FALSE)</f>
        <v>의류</v>
      </c>
      <c r="R1098" t="str">
        <f>VLOOKUP(D1098,상품정보!$A$2:$D$151,4,FALSE)</f>
        <v>브랜드E</v>
      </c>
    </row>
    <row r="1099" spans="1:18" x14ac:dyDescent="0.45">
      <c r="A1099" t="s">
        <v>372</v>
      </c>
      <c r="B1099" t="s">
        <v>1498</v>
      </c>
      <c r="C1099" t="s">
        <v>2424</v>
      </c>
      <c r="D1099" t="s">
        <v>2610</v>
      </c>
      <c r="E1099">
        <v>3</v>
      </c>
      <c r="F1099">
        <v>18800</v>
      </c>
      <c r="G1099">
        <v>1500</v>
      </c>
      <c r="H1099">
        <v>0</v>
      </c>
      <c r="I1099" t="s">
        <v>2652</v>
      </c>
      <c r="J1099" s="4">
        <f t="shared" si="51"/>
        <v>57900</v>
      </c>
      <c r="K1099" s="4" t="str">
        <f t="shared" si="52"/>
        <v>2024-09</v>
      </c>
      <c r="L1099" s="4" t="str">
        <f t="shared" si="53"/>
        <v>월</v>
      </c>
      <c r="M1099" s="2" t="str">
        <f>VLOOKUP($C1099, 고객정보!$A$2:$E$151, 2, FALSE)</f>
        <v>서울</v>
      </c>
      <c r="N1099" t="str">
        <f>VLOOKUP(C1099,고객정보!$A$2:$D$151,4,FALSE)</f>
        <v>L1</v>
      </c>
      <c r="O1099" t="str">
        <f>VLOOKUP($C1099, 고객정보!$A$2:$E$151, 5, FALSE)</f>
        <v>30대</v>
      </c>
      <c r="P1099" t="str">
        <f>VLOOKUP(D1099,상품정보!$A$2:$E$61,2,FALSE)</f>
        <v>자켓</v>
      </c>
      <c r="Q1099" t="str">
        <f>VLOOKUP(D1099,상품정보!$A$2:$D$151,3,FALSE)</f>
        <v>의류</v>
      </c>
      <c r="R1099" t="str">
        <f>VLOOKUP(D1099,상품정보!$A$2:$D$151,4,FALSE)</f>
        <v>브랜드E</v>
      </c>
    </row>
    <row r="1100" spans="1:18" x14ac:dyDescent="0.45">
      <c r="A1100" t="s">
        <v>228</v>
      </c>
      <c r="B1100" t="s">
        <v>1499</v>
      </c>
      <c r="C1100" t="s">
        <v>2413</v>
      </c>
      <c r="D1100" t="s">
        <v>2582</v>
      </c>
      <c r="E1100">
        <v>1</v>
      </c>
      <c r="F1100">
        <v>12500</v>
      </c>
      <c r="G1100">
        <v>500</v>
      </c>
      <c r="H1100">
        <v>4700</v>
      </c>
      <c r="I1100" t="s">
        <v>2614</v>
      </c>
      <c r="J1100" s="4">
        <f t="shared" si="51"/>
        <v>8300</v>
      </c>
      <c r="K1100" s="4" t="str">
        <f t="shared" si="52"/>
        <v>2024-12</v>
      </c>
      <c r="L1100" s="4" t="str">
        <f t="shared" si="53"/>
        <v>화</v>
      </c>
      <c r="M1100" s="2" t="str">
        <f>VLOOKUP($C1100, 고객정보!$A$2:$E$151, 2, FALSE)</f>
        <v>서울</v>
      </c>
      <c r="N1100" t="str">
        <f>VLOOKUP(C1100,고객정보!$A$2:$D$151,4,FALSE)</f>
        <v>L5</v>
      </c>
      <c r="O1100" t="str">
        <f>VLOOKUP($C1100, 고객정보!$A$2:$E$151, 5, FALSE)</f>
        <v>30대</v>
      </c>
      <c r="P1100" t="str">
        <f>VLOOKUP(D1100,상품정보!$A$2:$E$61,2,FALSE)</f>
        <v>셔츠</v>
      </c>
      <c r="Q1100" t="str">
        <f>VLOOKUP(D1100,상품정보!$A$2:$D$151,3,FALSE)</f>
        <v>의류</v>
      </c>
      <c r="R1100" t="str">
        <f>VLOOKUP(D1100,상품정보!$A$2:$D$151,4,FALSE)</f>
        <v>브랜드D</v>
      </c>
    </row>
    <row r="1101" spans="1:18" x14ac:dyDescent="0.45">
      <c r="A1101" t="s">
        <v>50</v>
      </c>
      <c r="B1101" t="s">
        <v>1500</v>
      </c>
      <c r="C1101" t="s">
        <v>2468</v>
      </c>
      <c r="D1101" t="s">
        <v>2577</v>
      </c>
      <c r="E1101">
        <v>4</v>
      </c>
      <c r="F1101">
        <v>10200</v>
      </c>
      <c r="G1101">
        <v>0</v>
      </c>
      <c r="H1101">
        <v>0</v>
      </c>
      <c r="I1101" t="s">
        <v>2652</v>
      </c>
      <c r="J1101" s="4">
        <f t="shared" si="51"/>
        <v>40800</v>
      </c>
      <c r="K1101" s="4" t="str">
        <f t="shared" si="52"/>
        <v>2024-02</v>
      </c>
      <c r="L1101" s="4" t="str">
        <f t="shared" si="53"/>
        <v>화</v>
      </c>
      <c r="M1101" s="2" t="str">
        <f>VLOOKUP($C1101, 고객정보!$A$2:$E$151, 2, FALSE)</f>
        <v>부산</v>
      </c>
      <c r="N1101" t="str">
        <f>VLOOKUP(C1101,고객정보!$A$2:$D$151,4,FALSE)</f>
        <v>L5</v>
      </c>
      <c r="O1101" t="str">
        <f>VLOOKUP($C1101, 고객정보!$A$2:$E$151, 5, FALSE)</f>
        <v>20대</v>
      </c>
      <c r="P1101" t="str">
        <f>VLOOKUP(D1101,상품정보!$A$2:$E$61,2,FALSE)</f>
        <v>셔츠</v>
      </c>
      <c r="Q1101" t="str">
        <f>VLOOKUP(D1101,상품정보!$A$2:$D$151,3,FALSE)</f>
        <v>의류</v>
      </c>
      <c r="R1101" t="str">
        <f>VLOOKUP(D1101,상품정보!$A$2:$D$151,4,FALSE)</f>
        <v>브랜드C</v>
      </c>
    </row>
    <row r="1102" spans="1:18" x14ac:dyDescent="0.45">
      <c r="A1102" t="s">
        <v>33</v>
      </c>
      <c r="B1102" t="s">
        <v>1501</v>
      </c>
      <c r="C1102" t="s">
        <v>2515</v>
      </c>
      <c r="D1102" t="s">
        <v>2573</v>
      </c>
      <c r="E1102">
        <v>2</v>
      </c>
      <c r="F1102">
        <v>6400</v>
      </c>
      <c r="G1102">
        <v>1000</v>
      </c>
      <c r="H1102">
        <v>0</v>
      </c>
      <c r="I1102" t="s">
        <v>2652</v>
      </c>
      <c r="J1102" s="4">
        <f t="shared" si="51"/>
        <v>13800</v>
      </c>
      <c r="K1102" s="4" t="str">
        <f t="shared" si="52"/>
        <v>2024-10</v>
      </c>
      <c r="L1102" s="4" t="str">
        <f t="shared" si="53"/>
        <v>목</v>
      </c>
      <c r="M1102" s="2" t="str">
        <f>VLOOKUP($C1102, 고객정보!$A$2:$E$151, 2, FALSE)</f>
        <v>부산</v>
      </c>
      <c r="N1102" t="str">
        <f>VLOOKUP(C1102,고객정보!$A$2:$D$151,4,FALSE)</f>
        <v>L5</v>
      </c>
      <c r="O1102" t="str">
        <f>VLOOKUP($C1102, 고객정보!$A$2:$E$151, 5, FALSE)</f>
        <v>40대</v>
      </c>
      <c r="P1102" t="str">
        <f>VLOOKUP(D1102,상품정보!$A$2:$E$61,2,FALSE)</f>
        <v>귀걸이</v>
      </c>
      <c r="Q1102" t="str">
        <f>VLOOKUP(D1102,상품정보!$A$2:$D$151,3,FALSE)</f>
        <v>액세서리</v>
      </c>
      <c r="R1102" t="str">
        <f>VLOOKUP(D1102,상품정보!$A$2:$D$151,4,FALSE)</f>
        <v>브랜드E</v>
      </c>
    </row>
    <row r="1103" spans="1:18" x14ac:dyDescent="0.45">
      <c r="A1103" t="s">
        <v>307</v>
      </c>
      <c r="B1103" t="s">
        <v>1502</v>
      </c>
      <c r="C1103" t="s">
        <v>2429</v>
      </c>
      <c r="D1103" t="s">
        <v>2557</v>
      </c>
      <c r="E1103">
        <v>1</v>
      </c>
      <c r="F1103">
        <v>77700</v>
      </c>
      <c r="G1103">
        <v>500</v>
      </c>
      <c r="H1103">
        <v>1900</v>
      </c>
      <c r="I1103" t="s">
        <v>2613</v>
      </c>
      <c r="J1103" s="4">
        <f t="shared" si="51"/>
        <v>76300</v>
      </c>
      <c r="K1103" s="4" t="str">
        <f t="shared" si="52"/>
        <v>2024-02</v>
      </c>
      <c r="L1103" s="4" t="str">
        <f t="shared" si="53"/>
        <v>토</v>
      </c>
      <c r="M1103" s="2" t="str">
        <f>VLOOKUP($C1103, 고객정보!$A$2:$E$151, 2, FALSE)</f>
        <v>서울</v>
      </c>
      <c r="N1103" t="str">
        <f>VLOOKUP(C1103,고객정보!$A$2:$D$151,4,FALSE)</f>
        <v>L1</v>
      </c>
      <c r="O1103" t="str">
        <f>VLOOKUP($C1103, 고객정보!$A$2:$E$151, 5, FALSE)</f>
        <v>10대</v>
      </c>
      <c r="P1103" t="str">
        <f>VLOOKUP(D1103,상품정보!$A$2:$E$61,2,FALSE)</f>
        <v>귀걸이</v>
      </c>
      <c r="Q1103" t="str">
        <f>VLOOKUP(D1103,상품정보!$A$2:$D$151,3,FALSE)</f>
        <v>액세서리</v>
      </c>
      <c r="R1103" t="str">
        <f>VLOOKUP(D1103,상품정보!$A$2:$D$151,4,FALSE)</f>
        <v>브랜드B</v>
      </c>
    </row>
    <row r="1104" spans="1:18" x14ac:dyDescent="0.45">
      <c r="A1104" t="s">
        <v>294</v>
      </c>
      <c r="B1104" t="s">
        <v>1503</v>
      </c>
      <c r="C1104" t="s">
        <v>2500</v>
      </c>
      <c r="D1104" t="s">
        <v>2587</v>
      </c>
      <c r="E1104">
        <v>1</v>
      </c>
      <c r="F1104">
        <v>50200</v>
      </c>
      <c r="G1104">
        <v>1500</v>
      </c>
      <c r="H1104">
        <v>400</v>
      </c>
      <c r="I1104" t="s">
        <v>2614</v>
      </c>
      <c r="J1104" s="4">
        <f t="shared" si="51"/>
        <v>51300</v>
      </c>
      <c r="K1104" s="4" t="str">
        <f t="shared" si="52"/>
        <v>2024-05</v>
      </c>
      <c r="L1104" s="4" t="str">
        <f t="shared" si="53"/>
        <v>일</v>
      </c>
      <c r="M1104" s="2" t="str">
        <f>VLOOKUP($C1104, 고객정보!$A$2:$E$151, 2, FALSE)</f>
        <v>서울</v>
      </c>
      <c r="N1104" t="str">
        <f>VLOOKUP(C1104,고객정보!$A$2:$D$151,4,FALSE)</f>
        <v>L3</v>
      </c>
      <c r="O1104" t="str">
        <f>VLOOKUP($C1104, 고객정보!$A$2:$E$151, 5, FALSE)</f>
        <v>20대</v>
      </c>
      <c r="P1104" t="str">
        <f>VLOOKUP(D1104,상품정보!$A$2:$E$61,2,FALSE)</f>
        <v>반지</v>
      </c>
      <c r="Q1104" t="str">
        <f>VLOOKUP(D1104,상품정보!$A$2:$D$151,3,FALSE)</f>
        <v>액세서리</v>
      </c>
      <c r="R1104" t="str">
        <f>VLOOKUP(D1104,상품정보!$A$2:$D$151,4,FALSE)</f>
        <v>브랜드B</v>
      </c>
    </row>
    <row r="1105" spans="1:18" x14ac:dyDescent="0.45">
      <c r="A1105" t="s">
        <v>104</v>
      </c>
      <c r="B1105" t="s">
        <v>1504</v>
      </c>
      <c r="C1105" t="s">
        <v>2436</v>
      </c>
      <c r="D1105" t="s">
        <v>2584</v>
      </c>
      <c r="E1105">
        <v>3</v>
      </c>
      <c r="F1105">
        <v>59700</v>
      </c>
      <c r="G1105">
        <v>0</v>
      </c>
      <c r="H1105">
        <v>200</v>
      </c>
      <c r="I1105" t="s">
        <v>2611</v>
      </c>
      <c r="J1105" s="4">
        <f t="shared" si="51"/>
        <v>178900</v>
      </c>
      <c r="K1105" s="4" t="str">
        <f t="shared" si="52"/>
        <v>2024-07</v>
      </c>
      <c r="L1105" s="4" t="str">
        <f t="shared" si="53"/>
        <v>월</v>
      </c>
      <c r="M1105" s="2" t="str">
        <f>VLOOKUP($C1105, 고객정보!$A$2:$E$151, 2, FALSE)</f>
        <v>인천</v>
      </c>
      <c r="N1105" t="str">
        <f>VLOOKUP(C1105,고객정보!$A$2:$D$151,4,FALSE)</f>
        <v>L4</v>
      </c>
      <c r="O1105" t="str">
        <f>VLOOKUP($C1105, 고객정보!$A$2:$E$151, 5, FALSE)</f>
        <v>10대</v>
      </c>
      <c r="P1105" t="str">
        <f>VLOOKUP(D1105,상품정보!$A$2:$E$61,2,FALSE)</f>
        <v>목걸이</v>
      </c>
      <c r="Q1105" t="str">
        <f>VLOOKUP(D1105,상품정보!$A$2:$D$151,3,FALSE)</f>
        <v>액세서리</v>
      </c>
      <c r="R1105" t="str">
        <f>VLOOKUP(D1105,상품정보!$A$2:$D$151,4,FALSE)</f>
        <v>브랜드B</v>
      </c>
    </row>
    <row r="1106" spans="1:18" x14ac:dyDescent="0.45">
      <c r="A1106" t="s">
        <v>227</v>
      </c>
      <c r="B1106" t="s">
        <v>1505</v>
      </c>
      <c r="C1106" t="s">
        <v>2428</v>
      </c>
      <c r="D1106" t="s">
        <v>2559</v>
      </c>
      <c r="E1106">
        <v>4</v>
      </c>
      <c r="F1106">
        <v>5400</v>
      </c>
      <c r="G1106">
        <v>0</v>
      </c>
      <c r="H1106">
        <v>1100</v>
      </c>
      <c r="I1106" t="s">
        <v>2614</v>
      </c>
      <c r="J1106" s="4">
        <f t="shared" si="51"/>
        <v>20500</v>
      </c>
      <c r="K1106" s="4" t="str">
        <f t="shared" si="52"/>
        <v>2024-10</v>
      </c>
      <c r="L1106" s="4" t="str">
        <f t="shared" si="53"/>
        <v>토</v>
      </c>
      <c r="M1106" s="2" t="str">
        <f>VLOOKUP($C1106, 고객정보!$A$2:$E$151, 2, FALSE)</f>
        <v>광주</v>
      </c>
      <c r="N1106" t="str">
        <f>VLOOKUP(C1106,고객정보!$A$2:$D$151,4,FALSE)</f>
        <v>L4</v>
      </c>
      <c r="O1106" t="str">
        <f>VLOOKUP($C1106, 고객정보!$A$2:$E$151, 5, FALSE)</f>
        <v>10대</v>
      </c>
      <c r="P1106" t="str">
        <f>VLOOKUP(D1106,상품정보!$A$2:$E$61,2,FALSE)</f>
        <v>반지</v>
      </c>
      <c r="Q1106" t="str">
        <f>VLOOKUP(D1106,상품정보!$A$2:$D$151,3,FALSE)</f>
        <v>액세서리</v>
      </c>
      <c r="R1106" t="str">
        <f>VLOOKUP(D1106,상품정보!$A$2:$D$151,4,FALSE)</f>
        <v>브랜드D</v>
      </c>
    </row>
    <row r="1107" spans="1:18" x14ac:dyDescent="0.45">
      <c r="A1107" t="s">
        <v>92</v>
      </c>
      <c r="B1107" t="s">
        <v>1506</v>
      </c>
      <c r="C1107" t="s">
        <v>2446</v>
      </c>
      <c r="D1107" t="s">
        <v>2564</v>
      </c>
      <c r="E1107">
        <v>2</v>
      </c>
      <c r="F1107">
        <v>66600</v>
      </c>
      <c r="G1107">
        <v>0</v>
      </c>
      <c r="H1107">
        <v>0</v>
      </c>
      <c r="I1107" t="s">
        <v>2652</v>
      </c>
      <c r="J1107" s="4">
        <f t="shared" si="51"/>
        <v>133200</v>
      </c>
      <c r="K1107" s="4" t="str">
        <f t="shared" si="52"/>
        <v>2024-05</v>
      </c>
      <c r="L1107" s="4" t="str">
        <f t="shared" si="53"/>
        <v>화</v>
      </c>
      <c r="M1107" s="2" t="str">
        <f>VLOOKUP($C1107, 고객정보!$A$2:$E$151, 2, FALSE)</f>
        <v>대전</v>
      </c>
      <c r="N1107" t="str">
        <f>VLOOKUP(C1107,고객정보!$A$2:$D$151,4,FALSE)</f>
        <v>L2</v>
      </c>
      <c r="O1107" t="str">
        <f>VLOOKUP($C1107, 고객정보!$A$2:$E$151, 5, FALSE)</f>
        <v>50대 이상</v>
      </c>
      <c r="P1107" t="str">
        <f>VLOOKUP(D1107,상품정보!$A$2:$E$61,2,FALSE)</f>
        <v>청바지</v>
      </c>
      <c r="Q1107" t="str">
        <f>VLOOKUP(D1107,상품정보!$A$2:$D$151,3,FALSE)</f>
        <v>의류</v>
      </c>
      <c r="R1107" t="str">
        <f>VLOOKUP(D1107,상품정보!$A$2:$D$151,4,FALSE)</f>
        <v>브랜드B</v>
      </c>
    </row>
    <row r="1108" spans="1:18" x14ac:dyDescent="0.45">
      <c r="A1108" t="s">
        <v>298</v>
      </c>
      <c r="B1108" t="s">
        <v>1507</v>
      </c>
      <c r="C1108" t="s">
        <v>2456</v>
      </c>
      <c r="D1108" t="s">
        <v>2573</v>
      </c>
      <c r="E1108">
        <v>5</v>
      </c>
      <c r="F1108">
        <v>6400</v>
      </c>
      <c r="G1108">
        <v>0</v>
      </c>
      <c r="H1108">
        <v>0</v>
      </c>
      <c r="I1108" t="s">
        <v>2652</v>
      </c>
      <c r="J1108" s="4">
        <f t="shared" si="51"/>
        <v>32000</v>
      </c>
      <c r="K1108" s="4" t="str">
        <f t="shared" si="52"/>
        <v>2024-11</v>
      </c>
      <c r="L1108" s="4" t="str">
        <f t="shared" si="53"/>
        <v>목</v>
      </c>
      <c r="M1108" s="2" t="str">
        <f>VLOOKUP($C1108, 고객정보!$A$2:$E$151, 2, FALSE)</f>
        <v>대구</v>
      </c>
      <c r="N1108" t="str">
        <f>VLOOKUP(C1108,고객정보!$A$2:$D$151,4,FALSE)</f>
        <v>L3</v>
      </c>
      <c r="O1108" t="str">
        <f>VLOOKUP($C1108, 고객정보!$A$2:$E$151, 5, FALSE)</f>
        <v>30대</v>
      </c>
      <c r="P1108" t="str">
        <f>VLOOKUP(D1108,상품정보!$A$2:$E$61,2,FALSE)</f>
        <v>귀걸이</v>
      </c>
      <c r="Q1108" t="str">
        <f>VLOOKUP(D1108,상품정보!$A$2:$D$151,3,FALSE)</f>
        <v>액세서리</v>
      </c>
      <c r="R1108" t="str">
        <f>VLOOKUP(D1108,상품정보!$A$2:$D$151,4,FALSE)</f>
        <v>브랜드E</v>
      </c>
    </row>
    <row r="1109" spans="1:18" x14ac:dyDescent="0.45">
      <c r="A1109" t="s">
        <v>61</v>
      </c>
      <c r="B1109" t="s">
        <v>1508</v>
      </c>
      <c r="C1109" t="s">
        <v>2461</v>
      </c>
      <c r="D1109" t="s">
        <v>2564</v>
      </c>
      <c r="E1109">
        <v>4</v>
      </c>
      <c r="F1109">
        <v>66600</v>
      </c>
      <c r="G1109">
        <v>0</v>
      </c>
      <c r="H1109">
        <v>3200</v>
      </c>
      <c r="I1109" t="s">
        <v>2611</v>
      </c>
      <c r="J1109" s="4">
        <f t="shared" si="51"/>
        <v>263200</v>
      </c>
      <c r="K1109" s="4" t="str">
        <f t="shared" si="52"/>
        <v>2024-06</v>
      </c>
      <c r="L1109" s="4" t="str">
        <f t="shared" si="53"/>
        <v>화</v>
      </c>
      <c r="M1109" s="2" t="str">
        <f>VLOOKUP($C1109, 고객정보!$A$2:$E$151, 2, FALSE)</f>
        <v>부산</v>
      </c>
      <c r="N1109" t="str">
        <f>VLOOKUP(C1109,고객정보!$A$2:$D$151,4,FALSE)</f>
        <v>L2</v>
      </c>
      <c r="O1109" t="str">
        <f>VLOOKUP($C1109, 고객정보!$A$2:$E$151, 5, FALSE)</f>
        <v>40대</v>
      </c>
      <c r="P1109" t="str">
        <f>VLOOKUP(D1109,상품정보!$A$2:$E$61,2,FALSE)</f>
        <v>청바지</v>
      </c>
      <c r="Q1109" t="str">
        <f>VLOOKUP(D1109,상품정보!$A$2:$D$151,3,FALSE)</f>
        <v>의류</v>
      </c>
      <c r="R1109" t="str">
        <f>VLOOKUP(D1109,상품정보!$A$2:$D$151,4,FALSE)</f>
        <v>브랜드B</v>
      </c>
    </row>
    <row r="1110" spans="1:18" x14ac:dyDescent="0.45">
      <c r="A1110" t="s">
        <v>164</v>
      </c>
      <c r="B1110" t="s">
        <v>1509</v>
      </c>
      <c r="C1110" t="s">
        <v>2467</v>
      </c>
      <c r="D1110" t="s">
        <v>2596</v>
      </c>
      <c r="E1110">
        <v>4</v>
      </c>
      <c r="F1110">
        <v>59700</v>
      </c>
      <c r="G1110">
        <v>500</v>
      </c>
      <c r="H1110">
        <v>0</v>
      </c>
      <c r="I1110" t="s">
        <v>2652</v>
      </c>
      <c r="J1110" s="4">
        <f t="shared" si="51"/>
        <v>239300</v>
      </c>
      <c r="K1110" s="4" t="str">
        <f t="shared" si="52"/>
        <v>2024-05</v>
      </c>
      <c r="L1110" s="4" t="str">
        <f t="shared" si="53"/>
        <v>금</v>
      </c>
      <c r="M1110" s="2" t="str">
        <f>VLOOKUP($C1110, 고객정보!$A$2:$E$151, 2, FALSE)</f>
        <v>부산</v>
      </c>
      <c r="N1110" t="str">
        <f>VLOOKUP(C1110,고객정보!$A$2:$D$151,4,FALSE)</f>
        <v>L4</v>
      </c>
      <c r="O1110" t="str">
        <f>VLOOKUP($C1110, 고객정보!$A$2:$E$151, 5, FALSE)</f>
        <v>20대</v>
      </c>
      <c r="P1110" t="str">
        <f>VLOOKUP(D1110,상품정보!$A$2:$E$61,2,FALSE)</f>
        <v>청바지</v>
      </c>
      <c r="Q1110" t="str">
        <f>VLOOKUP(D1110,상품정보!$A$2:$D$151,3,FALSE)</f>
        <v>의류</v>
      </c>
      <c r="R1110" t="str">
        <f>VLOOKUP(D1110,상품정보!$A$2:$D$151,4,FALSE)</f>
        <v>브랜드A</v>
      </c>
    </row>
    <row r="1111" spans="1:18" x14ac:dyDescent="0.45">
      <c r="A1111" t="s">
        <v>186</v>
      </c>
      <c r="B1111" t="s">
        <v>1510</v>
      </c>
      <c r="C1111" t="s">
        <v>2440</v>
      </c>
      <c r="D1111" t="s">
        <v>2551</v>
      </c>
      <c r="E1111">
        <v>3</v>
      </c>
      <c r="F1111">
        <v>66600</v>
      </c>
      <c r="G1111">
        <v>1500</v>
      </c>
      <c r="H1111">
        <v>0</v>
      </c>
      <c r="I1111" t="s">
        <v>2652</v>
      </c>
      <c r="J1111" s="4">
        <f t="shared" si="51"/>
        <v>201300</v>
      </c>
      <c r="K1111" s="4" t="str">
        <f t="shared" si="52"/>
        <v>2024-06</v>
      </c>
      <c r="L1111" s="4" t="str">
        <f t="shared" si="53"/>
        <v>화</v>
      </c>
      <c r="M1111" s="2" t="str">
        <f>VLOOKUP($C1111, 고객정보!$A$2:$E$151, 2, FALSE)</f>
        <v>대구</v>
      </c>
      <c r="N1111" t="str">
        <f>VLOOKUP(C1111,고객정보!$A$2:$D$151,4,FALSE)</f>
        <v>L2</v>
      </c>
      <c r="O1111" t="str">
        <f>VLOOKUP($C1111, 고객정보!$A$2:$E$151, 5, FALSE)</f>
        <v>10대</v>
      </c>
      <c r="P1111" t="str">
        <f>VLOOKUP(D1111,상품정보!$A$2:$E$61,2,FALSE)</f>
        <v>반지</v>
      </c>
      <c r="Q1111" t="str">
        <f>VLOOKUP(D1111,상품정보!$A$2:$D$151,3,FALSE)</f>
        <v>액세서리</v>
      </c>
      <c r="R1111" t="str">
        <f>VLOOKUP(D1111,상품정보!$A$2:$D$151,4,FALSE)</f>
        <v>브랜드B</v>
      </c>
    </row>
    <row r="1112" spans="1:18" x14ac:dyDescent="0.45">
      <c r="A1112" t="s">
        <v>76</v>
      </c>
      <c r="B1112" t="s">
        <v>1511</v>
      </c>
      <c r="C1112" t="s">
        <v>2488</v>
      </c>
      <c r="D1112" t="s">
        <v>2565</v>
      </c>
      <c r="E1112">
        <v>4</v>
      </c>
      <c r="F1112">
        <v>50000</v>
      </c>
      <c r="G1112">
        <v>0</v>
      </c>
      <c r="H1112">
        <v>7200</v>
      </c>
      <c r="I1112" t="s">
        <v>2614</v>
      </c>
      <c r="J1112" s="4">
        <f t="shared" si="51"/>
        <v>192800</v>
      </c>
      <c r="K1112" s="4" t="str">
        <f t="shared" si="52"/>
        <v>2024-12</v>
      </c>
      <c r="L1112" s="4" t="str">
        <f t="shared" si="53"/>
        <v>일</v>
      </c>
      <c r="M1112" s="2" t="str">
        <f>VLOOKUP($C1112, 고객정보!$A$2:$E$151, 2, FALSE)</f>
        <v>서울</v>
      </c>
      <c r="N1112" t="str">
        <f>VLOOKUP(C1112,고객정보!$A$2:$D$151,4,FALSE)</f>
        <v>L3</v>
      </c>
      <c r="O1112" t="str">
        <f>VLOOKUP($C1112, 고객정보!$A$2:$E$151, 5, FALSE)</f>
        <v>40대</v>
      </c>
      <c r="P1112" t="str">
        <f>VLOOKUP(D1112,상품정보!$A$2:$E$61,2,FALSE)</f>
        <v>핸드폰케이스</v>
      </c>
      <c r="Q1112" t="str">
        <f>VLOOKUP(D1112,상품정보!$A$2:$D$151,3,FALSE)</f>
        <v>액세서리</v>
      </c>
      <c r="R1112" t="str">
        <f>VLOOKUP(D1112,상품정보!$A$2:$D$151,4,FALSE)</f>
        <v>브랜드B</v>
      </c>
    </row>
    <row r="1113" spans="1:18" x14ac:dyDescent="0.45">
      <c r="A1113" t="s">
        <v>88</v>
      </c>
      <c r="B1113" t="s">
        <v>1512</v>
      </c>
      <c r="C1113" t="s">
        <v>2527</v>
      </c>
      <c r="D1113" t="s">
        <v>2576</v>
      </c>
      <c r="E1113">
        <v>2</v>
      </c>
      <c r="F1113">
        <v>8800</v>
      </c>
      <c r="G1113">
        <v>1000</v>
      </c>
      <c r="H1113">
        <v>0</v>
      </c>
      <c r="I1113" t="s">
        <v>2652</v>
      </c>
      <c r="J1113" s="4">
        <f t="shared" si="51"/>
        <v>18600</v>
      </c>
      <c r="K1113" s="4" t="str">
        <f t="shared" si="52"/>
        <v>2024-03</v>
      </c>
      <c r="L1113" s="4" t="str">
        <f t="shared" si="53"/>
        <v>토</v>
      </c>
      <c r="M1113" s="2" t="str">
        <f>VLOOKUP($C1113, 고객정보!$A$2:$E$151, 2, FALSE)</f>
        <v>광주</v>
      </c>
      <c r="N1113" t="str">
        <f>VLOOKUP(C1113,고객정보!$A$2:$D$151,4,FALSE)</f>
        <v>L2</v>
      </c>
      <c r="O1113" t="str">
        <f>VLOOKUP($C1113, 고객정보!$A$2:$E$151, 5, FALSE)</f>
        <v>30대</v>
      </c>
      <c r="P1113" t="str">
        <f>VLOOKUP(D1113,상품정보!$A$2:$E$61,2,FALSE)</f>
        <v>핸드폰케이스</v>
      </c>
      <c r="Q1113" t="str">
        <f>VLOOKUP(D1113,상품정보!$A$2:$D$151,3,FALSE)</f>
        <v>액세서리</v>
      </c>
      <c r="R1113" t="str">
        <f>VLOOKUP(D1113,상품정보!$A$2:$D$151,4,FALSE)</f>
        <v>브랜드D</v>
      </c>
    </row>
    <row r="1114" spans="1:18" x14ac:dyDescent="0.45">
      <c r="A1114" t="s">
        <v>246</v>
      </c>
      <c r="B1114" t="s">
        <v>1513</v>
      </c>
      <c r="C1114" t="s">
        <v>2528</v>
      </c>
      <c r="D1114" t="s">
        <v>2574</v>
      </c>
      <c r="E1114">
        <v>4</v>
      </c>
      <c r="F1114">
        <v>8600</v>
      </c>
      <c r="G1114">
        <v>2000</v>
      </c>
      <c r="H1114">
        <v>0</v>
      </c>
      <c r="I1114" t="s">
        <v>2652</v>
      </c>
      <c r="J1114" s="4">
        <f t="shared" si="51"/>
        <v>36400</v>
      </c>
      <c r="K1114" s="4" t="str">
        <f t="shared" si="52"/>
        <v>2024-06</v>
      </c>
      <c r="L1114" s="4" t="str">
        <f t="shared" si="53"/>
        <v>목</v>
      </c>
      <c r="M1114" s="2" t="str">
        <f>VLOOKUP($C1114, 고객정보!$A$2:$E$151, 2, FALSE)</f>
        <v>광주</v>
      </c>
      <c r="N1114" t="str">
        <f>VLOOKUP(C1114,고객정보!$A$2:$D$151,4,FALSE)</f>
        <v>L3</v>
      </c>
      <c r="O1114" t="str">
        <f>VLOOKUP($C1114, 고객정보!$A$2:$E$151, 5, FALSE)</f>
        <v>10대</v>
      </c>
      <c r="P1114" t="str">
        <f>VLOOKUP(D1114,상품정보!$A$2:$E$61,2,FALSE)</f>
        <v>셔츠</v>
      </c>
      <c r="Q1114" t="str">
        <f>VLOOKUP(D1114,상품정보!$A$2:$D$151,3,FALSE)</f>
        <v>의류</v>
      </c>
      <c r="R1114" t="str">
        <f>VLOOKUP(D1114,상품정보!$A$2:$D$151,4,FALSE)</f>
        <v>브랜드D</v>
      </c>
    </row>
    <row r="1115" spans="1:18" x14ac:dyDescent="0.45">
      <c r="A1115" t="s">
        <v>299</v>
      </c>
      <c r="B1115" t="s">
        <v>1514</v>
      </c>
      <c r="C1115" t="s">
        <v>2425</v>
      </c>
      <c r="D1115" t="s">
        <v>2586</v>
      </c>
      <c r="E1115">
        <v>4</v>
      </c>
      <c r="F1115">
        <v>73000</v>
      </c>
      <c r="G1115">
        <v>0</v>
      </c>
      <c r="H1115">
        <v>0</v>
      </c>
      <c r="I1115" t="s">
        <v>2652</v>
      </c>
      <c r="J1115" s="4">
        <f t="shared" si="51"/>
        <v>292000</v>
      </c>
      <c r="K1115" s="4" t="str">
        <f t="shared" si="52"/>
        <v>2024-11</v>
      </c>
      <c r="L1115" s="4" t="str">
        <f t="shared" si="53"/>
        <v>화</v>
      </c>
      <c r="M1115" s="2" t="str">
        <f>VLOOKUP($C1115, 고객정보!$A$2:$E$151, 2, FALSE)</f>
        <v>서울</v>
      </c>
      <c r="N1115" t="str">
        <f>VLOOKUP(C1115,고객정보!$A$2:$D$151,4,FALSE)</f>
        <v>L4</v>
      </c>
      <c r="O1115" t="str">
        <f>VLOOKUP($C1115, 고객정보!$A$2:$E$151, 5, FALSE)</f>
        <v>30대</v>
      </c>
      <c r="P1115" t="str">
        <f>VLOOKUP(D1115,상품정보!$A$2:$E$61,2,FALSE)</f>
        <v>귀걸이</v>
      </c>
      <c r="Q1115" t="str">
        <f>VLOOKUP(D1115,상품정보!$A$2:$D$151,3,FALSE)</f>
        <v>액세서리</v>
      </c>
      <c r="R1115" t="str">
        <f>VLOOKUP(D1115,상품정보!$A$2:$D$151,4,FALSE)</f>
        <v>브랜드B</v>
      </c>
    </row>
    <row r="1116" spans="1:18" x14ac:dyDescent="0.45">
      <c r="A1116" t="s">
        <v>167</v>
      </c>
      <c r="B1116" t="s">
        <v>1515</v>
      </c>
      <c r="C1116" t="s">
        <v>2544</v>
      </c>
      <c r="D1116" t="s">
        <v>2555</v>
      </c>
      <c r="E1116">
        <v>4</v>
      </c>
      <c r="F1116">
        <v>8300</v>
      </c>
      <c r="G1116">
        <v>0</v>
      </c>
      <c r="H1116">
        <v>0</v>
      </c>
      <c r="I1116" t="s">
        <v>2652</v>
      </c>
      <c r="J1116" s="4">
        <f t="shared" si="51"/>
        <v>33200</v>
      </c>
      <c r="K1116" s="4" t="str">
        <f t="shared" si="52"/>
        <v>2024-04</v>
      </c>
      <c r="L1116" s="4" t="str">
        <f t="shared" si="53"/>
        <v>목</v>
      </c>
      <c r="M1116" s="2" t="str">
        <f>VLOOKUP($C1116, 고객정보!$A$2:$E$151, 2, FALSE)</f>
        <v>서울</v>
      </c>
      <c r="N1116" t="str">
        <f>VLOOKUP(C1116,고객정보!$A$2:$D$151,4,FALSE)</f>
        <v>L5</v>
      </c>
      <c r="O1116" t="str">
        <f>VLOOKUP($C1116, 고객정보!$A$2:$E$151, 5, FALSE)</f>
        <v>40대</v>
      </c>
      <c r="P1116" t="str">
        <f>VLOOKUP(D1116,상품정보!$A$2:$E$61,2,FALSE)</f>
        <v>청바지</v>
      </c>
      <c r="Q1116" t="str">
        <f>VLOOKUP(D1116,상품정보!$A$2:$D$151,3,FALSE)</f>
        <v>의류</v>
      </c>
      <c r="R1116" t="str">
        <f>VLOOKUP(D1116,상품정보!$A$2:$D$151,4,FALSE)</f>
        <v>브랜드E</v>
      </c>
    </row>
    <row r="1117" spans="1:18" x14ac:dyDescent="0.45">
      <c r="A1117" t="s">
        <v>171</v>
      </c>
      <c r="B1117" t="s">
        <v>1516</v>
      </c>
      <c r="C1117" t="s">
        <v>2460</v>
      </c>
      <c r="D1117" t="s">
        <v>2574</v>
      </c>
      <c r="E1117">
        <v>4</v>
      </c>
      <c r="F1117">
        <v>8600</v>
      </c>
      <c r="G1117">
        <v>0</v>
      </c>
      <c r="H1117">
        <v>0</v>
      </c>
      <c r="I1117" t="s">
        <v>2652</v>
      </c>
      <c r="J1117" s="4">
        <f t="shared" si="51"/>
        <v>34400</v>
      </c>
      <c r="K1117" s="4" t="str">
        <f t="shared" si="52"/>
        <v>2025-01</v>
      </c>
      <c r="L1117" s="4" t="str">
        <f t="shared" si="53"/>
        <v>목</v>
      </c>
      <c r="M1117" s="2" t="str">
        <f>VLOOKUP($C1117, 고객정보!$A$2:$E$151, 2, FALSE)</f>
        <v>대전</v>
      </c>
      <c r="N1117" t="str">
        <f>VLOOKUP(C1117,고객정보!$A$2:$D$151,4,FALSE)</f>
        <v>L4</v>
      </c>
      <c r="O1117" t="str">
        <f>VLOOKUP($C1117, 고객정보!$A$2:$E$151, 5, FALSE)</f>
        <v>20대</v>
      </c>
      <c r="P1117" t="str">
        <f>VLOOKUP(D1117,상품정보!$A$2:$E$61,2,FALSE)</f>
        <v>셔츠</v>
      </c>
      <c r="Q1117" t="str">
        <f>VLOOKUP(D1117,상품정보!$A$2:$D$151,3,FALSE)</f>
        <v>의류</v>
      </c>
      <c r="R1117" t="str">
        <f>VLOOKUP(D1117,상품정보!$A$2:$D$151,4,FALSE)</f>
        <v>브랜드D</v>
      </c>
    </row>
    <row r="1118" spans="1:18" x14ac:dyDescent="0.45">
      <c r="A1118" t="s">
        <v>259</v>
      </c>
      <c r="B1118" t="s">
        <v>1517</v>
      </c>
      <c r="C1118" t="s">
        <v>2521</v>
      </c>
      <c r="D1118" t="s">
        <v>2576</v>
      </c>
      <c r="E1118">
        <v>3</v>
      </c>
      <c r="F1118">
        <v>8800</v>
      </c>
      <c r="G1118">
        <v>500</v>
      </c>
      <c r="H1118">
        <v>0</v>
      </c>
      <c r="I1118" t="s">
        <v>2652</v>
      </c>
      <c r="J1118" s="4">
        <f t="shared" si="51"/>
        <v>26900</v>
      </c>
      <c r="K1118" s="4" t="str">
        <f t="shared" si="52"/>
        <v>2024-01</v>
      </c>
      <c r="L1118" s="4" t="str">
        <f t="shared" si="53"/>
        <v>월</v>
      </c>
      <c r="M1118" s="2" t="str">
        <f>VLOOKUP($C1118, 고객정보!$A$2:$E$151, 2, FALSE)</f>
        <v>서울</v>
      </c>
      <c r="N1118" t="str">
        <f>VLOOKUP(C1118,고객정보!$A$2:$D$151,4,FALSE)</f>
        <v>L1</v>
      </c>
      <c r="O1118" t="str">
        <f>VLOOKUP($C1118, 고객정보!$A$2:$E$151, 5, FALSE)</f>
        <v>30대</v>
      </c>
      <c r="P1118" t="str">
        <f>VLOOKUP(D1118,상품정보!$A$2:$E$61,2,FALSE)</f>
        <v>핸드폰케이스</v>
      </c>
      <c r="Q1118" t="str">
        <f>VLOOKUP(D1118,상품정보!$A$2:$D$151,3,FALSE)</f>
        <v>액세서리</v>
      </c>
      <c r="R1118" t="str">
        <f>VLOOKUP(D1118,상품정보!$A$2:$D$151,4,FALSE)</f>
        <v>브랜드D</v>
      </c>
    </row>
    <row r="1119" spans="1:18" x14ac:dyDescent="0.45">
      <c r="A1119" t="s">
        <v>275</v>
      </c>
      <c r="B1119" t="s">
        <v>1518</v>
      </c>
      <c r="C1119" t="s">
        <v>2493</v>
      </c>
      <c r="D1119" t="s">
        <v>2577</v>
      </c>
      <c r="E1119">
        <v>2</v>
      </c>
      <c r="F1119">
        <v>10200</v>
      </c>
      <c r="G1119">
        <v>500</v>
      </c>
      <c r="H1119">
        <v>6000</v>
      </c>
      <c r="I1119" t="s">
        <v>2612</v>
      </c>
      <c r="J1119" s="4">
        <f t="shared" si="51"/>
        <v>14900</v>
      </c>
      <c r="K1119" s="4" t="str">
        <f t="shared" si="52"/>
        <v>2024-02</v>
      </c>
      <c r="L1119" s="4" t="str">
        <f t="shared" si="53"/>
        <v>토</v>
      </c>
      <c r="M1119" s="2" t="str">
        <f>VLOOKUP($C1119, 고객정보!$A$2:$E$151, 2, FALSE)</f>
        <v>서울</v>
      </c>
      <c r="N1119" t="str">
        <f>VLOOKUP(C1119,고객정보!$A$2:$D$151,4,FALSE)</f>
        <v>L1</v>
      </c>
      <c r="O1119" t="str">
        <f>VLOOKUP($C1119, 고객정보!$A$2:$E$151, 5, FALSE)</f>
        <v>20대</v>
      </c>
      <c r="P1119" t="str">
        <f>VLOOKUP(D1119,상품정보!$A$2:$E$61,2,FALSE)</f>
        <v>셔츠</v>
      </c>
      <c r="Q1119" t="str">
        <f>VLOOKUP(D1119,상품정보!$A$2:$D$151,3,FALSE)</f>
        <v>의류</v>
      </c>
      <c r="R1119" t="str">
        <f>VLOOKUP(D1119,상품정보!$A$2:$D$151,4,FALSE)</f>
        <v>브랜드C</v>
      </c>
    </row>
    <row r="1120" spans="1:18" x14ac:dyDescent="0.45">
      <c r="A1120" t="s">
        <v>355</v>
      </c>
      <c r="B1120" t="s">
        <v>1519</v>
      </c>
      <c r="C1120" t="s">
        <v>2488</v>
      </c>
      <c r="D1120" t="s">
        <v>2588</v>
      </c>
      <c r="E1120">
        <v>5</v>
      </c>
      <c r="F1120">
        <v>7700</v>
      </c>
      <c r="G1120">
        <v>0</v>
      </c>
      <c r="H1120">
        <v>0</v>
      </c>
      <c r="I1120" t="s">
        <v>2652</v>
      </c>
      <c r="J1120" s="4">
        <f t="shared" si="51"/>
        <v>38500</v>
      </c>
      <c r="K1120" s="4" t="str">
        <f t="shared" si="52"/>
        <v>2024-07</v>
      </c>
      <c r="L1120" s="4" t="str">
        <f t="shared" si="53"/>
        <v>목</v>
      </c>
      <c r="M1120" s="2" t="str">
        <f>VLOOKUP($C1120, 고객정보!$A$2:$E$151, 2, FALSE)</f>
        <v>서울</v>
      </c>
      <c r="N1120" t="str">
        <f>VLOOKUP(C1120,고객정보!$A$2:$D$151,4,FALSE)</f>
        <v>L3</v>
      </c>
      <c r="O1120" t="str">
        <f>VLOOKUP($C1120, 고객정보!$A$2:$E$151, 5, FALSE)</f>
        <v>40대</v>
      </c>
      <c r="P1120" t="str">
        <f>VLOOKUP(D1120,상품정보!$A$2:$E$61,2,FALSE)</f>
        <v>귀걸이</v>
      </c>
      <c r="Q1120" t="str">
        <f>VLOOKUP(D1120,상품정보!$A$2:$D$151,3,FALSE)</f>
        <v>액세서리</v>
      </c>
      <c r="R1120" t="str">
        <f>VLOOKUP(D1120,상품정보!$A$2:$D$151,4,FALSE)</f>
        <v>브랜드D</v>
      </c>
    </row>
    <row r="1121" spans="1:18" x14ac:dyDescent="0.45">
      <c r="A1121" t="s">
        <v>82</v>
      </c>
      <c r="B1121" t="s">
        <v>1520</v>
      </c>
      <c r="C1121" t="s">
        <v>2525</v>
      </c>
      <c r="D1121" t="s">
        <v>2587</v>
      </c>
      <c r="E1121">
        <v>5</v>
      </c>
      <c r="F1121">
        <v>50200</v>
      </c>
      <c r="G1121">
        <v>0</v>
      </c>
      <c r="H1121">
        <v>0</v>
      </c>
      <c r="I1121" t="s">
        <v>2652</v>
      </c>
      <c r="J1121" s="4">
        <f t="shared" si="51"/>
        <v>251000</v>
      </c>
      <c r="K1121" s="4" t="str">
        <f t="shared" si="52"/>
        <v>2024-10</v>
      </c>
      <c r="L1121" s="4" t="str">
        <f t="shared" si="53"/>
        <v>금</v>
      </c>
      <c r="M1121" s="2" t="str">
        <f>VLOOKUP($C1121, 고객정보!$A$2:$E$151, 2, FALSE)</f>
        <v>수원</v>
      </c>
      <c r="N1121" t="str">
        <f>VLOOKUP(C1121,고객정보!$A$2:$D$151,4,FALSE)</f>
        <v>L4</v>
      </c>
      <c r="O1121" t="str">
        <f>VLOOKUP($C1121, 고객정보!$A$2:$E$151, 5, FALSE)</f>
        <v>20대</v>
      </c>
      <c r="P1121" t="str">
        <f>VLOOKUP(D1121,상품정보!$A$2:$E$61,2,FALSE)</f>
        <v>반지</v>
      </c>
      <c r="Q1121" t="str">
        <f>VLOOKUP(D1121,상품정보!$A$2:$D$151,3,FALSE)</f>
        <v>액세서리</v>
      </c>
      <c r="R1121" t="str">
        <f>VLOOKUP(D1121,상품정보!$A$2:$D$151,4,FALSE)</f>
        <v>브랜드B</v>
      </c>
    </row>
    <row r="1122" spans="1:18" x14ac:dyDescent="0.45">
      <c r="A1122" t="s">
        <v>348</v>
      </c>
      <c r="B1122" t="s">
        <v>1521</v>
      </c>
      <c r="C1122" t="s">
        <v>2503</v>
      </c>
      <c r="D1122" t="s">
        <v>2604</v>
      </c>
      <c r="E1122">
        <v>2</v>
      </c>
      <c r="F1122">
        <v>9700</v>
      </c>
      <c r="G1122">
        <v>0</v>
      </c>
      <c r="H1122">
        <v>13600</v>
      </c>
      <c r="I1122" t="s">
        <v>2614</v>
      </c>
      <c r="J1122" s="4">
        <f t="shared" si="51"/>
        <v>5800</v>
      </c>
      <c r="K1122" s="4" t="str">
        <f t="shared" si="52"/>
        <v>2024-04</v>
      </c>
      <c r="L1122" s="4" t="str">
        <f t="shared" si="53"/>
        <v>금</v>
      </c>
      <c r="M1122" s="2" t="str">
        <f>VLOOKUP($C1122, 고객정보!$A$2:$E$151, 2, FALSE)</f>
        <v>대전</v>
      </c>
      <c r="N1122" t="str">
        <f>VLOOKUP(C1122,고객정보!$A$2:$D$151,4,FALSE)</f>
        <v>L3</v>
      </c>
      <c r="O1122" t="str">
        <f>VLOOKUP($C1122, 고객정보!$A$2:$E$151, 5, FALSE)</f>
        <v>40대</v>
      </c>
      <c r="P1122" t="str">
        <f>VLOOKUP(D1122,상품정보!$A$2:$E$61,2,FALSE)</f>
        <v>반팔 티셔츠</v>
      </c>
      <c r="Q1122" t="str">
        <f>VLOOKUP(D1122,상품정보!$A$2:$D$151,3,FALSE)</f>
        <v>의류</v>
      </c>
      <c r="R1122" t="str">
        <f>VLOOKUP(D1122,상품정보!$A$2:$D$151,4,FALSE)</f>
        <v>브랜드E</v>
      </c>
    </row>
    <row r="1123" spans="1:18" x14ac:dyDescent="0.45">
      <c r="A1123" t="s">
        <v>219</v>
      </c>
      <c r="B1123" t="s">
        <v>1522</v>
      </c>
      <c r="C1123" t="s">
        <v>2443</v>
      </c>
      <c r="D1123" t="s">
        <v>2585</v>
      </c>
      <c r="E1123">
        <v>1</v>
      </c>
      <c r="F1123">
        <v>14900</v>
      </c>
      <c r="G1123">
        <v>500</v>
      </c>
      <c r="H1123">
        <v>6700</v>
      </c>
      <c r="I1123" t="s">
        <v>2612</v>
      </c>
      <c r="J1123" s="4">
        <f t="shared" si="51"/>
        <v>8700</v>
      </c>
      <c r="K1123" s="4" t="str">
        <f t="shared" si="52"/>
        <v>2024-08</v>
      </c>
      <c r="L1123" s="4" t="str">
        <f t="shared" si="53"/>
        <v>수</v>
      </c>
      <c r="M1123" s="2" t="str">
        <f>VLOOKUP($C1123, 고객정보!$A$2:$E$151, 2, FALSE)</f>
        <v>서울</v>
      </c>
      <c r="N1123" t="str">
        <f>VLOOKUP(C1123,고객정보!$A$2:$D$151,4,FALSE)</f>
        <v>L4</v>
      </c>
      <c r="O1123" t="str">
        <f>VLOOKUP($C1123, 고객정보!$A$2:$E$151, 5, FALSE)</f>
        <v>30대</v>
      </c>
      <c r="P1123" t="str">
        <f>VLOOKUP(D1123,상품정보!$A$2:$E$61,2,FALSE)</f>
        <v>반팔 티셔츠</v>
      </c>
      <c r="Q1123" t="str">
        <f>VLOOKUP(D1123,상품정보!$A$2:$D$151,3,FALSE)</f>
        <v>의류</v>
      </c>
      <c r="R1123" t="str">
        <f>VLOOKUP(D1123,상품정보!$A$2:$D$151,4,FALSE)</f>
        <v>브랜드C</v>
      </c>
    </row>
    <row r="1124" spans="1:18" x14ac:dyDescent="0.45">
      <c r="A1124" t="s">
        <v>22</v>
      </c>
      <c r="B1124" t="s">
        <v>1523</v>
      </c>
      <c r="C1124" t="s">
        <v>2431</v>
      </c>
      <c r="D1124" t="s">
        <v>2582</v>
      </c>
      <c r="E1124">
        <v>3</v>
      </c>
      <c r="F1124">
        <v>12500</v>
      </c>
      <c r="G1124">
        <v>0</v>
      </c>
      <c r="H1124">
        <v>3400</v>
      </c>
      <c r="I1124" t="s">
        <v>2612</v>
      </c>
      <c r="J1124" s="4">
        <f t="shared" si="51"/>
        <v>34100</v>
      </c>
      <c r="K1124" s="4" t="str">
        <f t="shared" si="52"/>
        <v>2024-12</v>
      </c>
      <c r="L1124" s="4" t="str">
        <f t="shared" si="53"/>
        <v>목</v>
      </c>
      <c r="M1124" s="2" t="str">
        <f>VLOOKUP($C1124, 고객정보!$A$2:$E$151, 2, FALSE)</f>
        <v>광주</v>
      </c>
      <c r="N1124" t="str">
        <f>VLOOKUP(C1124,고객정보!$A$2:$D$151,4,FALSE)</f>
        <v>L3</v>
      </c>
      <c r="O1124" t="str">
        <f>VLOOKUP($C1124, 고객정보!$A$2:$E$151, 5, FALSE)</f>
        <v>40대</v>
      </c>
      <c r="P1124" t="str">
        <f>VLOOKUP(D1124,상품정보!$A$2:$E$61,2,FALSE)</f>
        <v>셔츠</v>
      </c>
      <c r="Q1124" t="str">
        <f>VLOOKUP(D1124,상품정보!$A$2:$D$151,3,FALSE)</f>
        <v>의류</v>
      </c>
      <c r="R1124" t="str">
        <f>VLOOKUP(D1124,상품정보!$A$2:$D$151,4,FALSE)</f>
        <v>브랜드D</v>
      </c>
    </row>
    <row r="1125" spans="1:18" x14ac:dyDescent="0.45">
      <c r="A1125" t="s">
        <v>129</v>
      </c>
      <c r="B1125" t="s">
        <v>1524</v>
      </c>
      <c r="C1125" t="s">
        <v>2486</v>
      </c>
      <c r="D1125" t="s">
        <v>2565</v>
      </c>
      <c r="E1125">
        <v>3</v>
      </c>
      <c r="F1125">
        <v>50000</v>
      </c>
      <c r="G1125">
        <v>0</v>
      </c>
      <c r="H1125">
        <v>1600</v>
      </c>
      <c r="I1125" t="s">
        <v>2613</v>
      </c>
      <c r="J1125" s="4">
        <f t="shared" si="51"/>
        <v>148400</v>
      </c>
      <c r="K1125" s="4" t="str">
        <f t="shared" si="52"/>
        <v>2024-08</v>
      </c>
      <c r="L1125" s="4" t="str">
        <f t="shared" si="53"/>
        <v>일</v>
      </c>
      <c r="M1125" s="2" t="str">
        <f>VLOOKUP($C1125, 고객정보!$A$2:$E$151, 2, FALSE)</f>
        <v>수원</v>
      </c>
      <c r="N1125" t="str">
        <f>VLOOKUP(C1125,고객정보!$A$2:$D$151,4,FALSE)</f>
        <v>L1</v>
      </c>
      <c r="O1125" t="str">
        <f>VLOOKUP($C1125, 고객정보!$A$2:$E$151, 5, FALSE)</f>
        <v>40대</v>
      </c>
      <c r="P1125" t="str">
        <f>VLOOKUP(D1125,상품정보!$A$2:$E$61,2,FALSE)</f>
        <v>핸드폰케이스</v>
      </c>
      <c r="Q1125" t="str">
        <f>VLOOKUP(D1125,상품정보!$A$2:$D$151,3,FALSE)</f>
        <v>액세서리</v>
      </c>
      <c r="R1125" t="str">
        <f>VLOOKUP(D1125,상품정보!$A$2:$D$151,4,FALSE)</f>
        <v>브랜드B</v>
      </c>
    </row>
    <row r="1126" spans="1:18" x14ac:dyDescent="0.45">
      <c r="A1126" t="s">
        <v>373</v>
      </c>
      <c r="B1126" t="s">
        <v>1525</v>
      </c>
      <c r="C1126" t="s">
        <v>2439</v>
      </c>
      <c r="D1126" t="s">
        <v>2575</v>
      </c>
      <c r="E1126">
        <v>1</v>
      </c>
      <c r="F1126">
        <v>7200</v>
      </c>
      <c r="G1126">
        <v>500</v>
      </c>
      <c r="H1126">
        <v>0</v>
      </c>
      <c r="I1126" t="s">
        <v>2652</v>
      </c>
      <c r="J1126" s="4">
        <f t="shared" si="51"/>
        <v>7700</v>
      </c>
      <c r="K1126" s="4" t="str">
        <f t="shared" si="52"/>
        <v>2024-12</v>
      </c>
      <c r="L1126" s="4" t="str">
        <f t="shared" si="53"/>
        <v>토</v>
      </c>
      <c r="M1126" s="2" t="str">
        <f>VLOOKUP($C1126, 고객정보!$A$2:$E$151, 2, FALSE)</f>
        <v>대구</v>
      </c>
      <c r="N1126" t="str">
        <f>VLOOKUP(C1126,고객정보!$A$2:$D$151,4,FALSE)</f>
        <v>L3</v>
      </c>
      <c r="O1126" t="str">
        <f>VLOOKUP($C1126, 고객정보!$A$2:$E$151, 5, FALSE)</f>
        <v>30대</v>
      </c>
      <c r="P1126" t="str">
        <f>VLOOKUP(D1126,상품정보!$A$2:$E$61,2,FALSE)</f>
        <v>반지</v>
      </c>
      <c r="Q1126" t="str">
        <f>VLOOKUP(D1126,상품정보!$A$2:$D$151,3,FALSE)</f>
        <v>액세서리</v>
      </c>
      <c r="R1126" t="str">
        <f>VLOOKUP(D1126,상품정보!$A$2:$D$151,4,FALSE)</f>
        <v>브랜드E</v>
      </c>
    </row>
    <row r="1127" spans="1:18" x14ac:dyDescent="0.45">
      <c r="A1127" t="s">
        <v>161</v>
      </c>
      <c r="B1127" t="s">
        <v>1526</v>
      </c>
      <c r="C1127" t="s">
        <v>2503</v>
      </c>
      <c r="D1127" t="s">
        <v>2585</v>
      </c>
      <c r="E1127">
        <v>3</v>
      </c>
      <c r="F1127">
        <v>14900</v>
      </c>
      <c r="G1127">
        <v>500</v>
      </c>
      <c r="H1127">
        <v>0</v>
      </c>
      <c r="I1127" t="s">
        <v>2652</v>
      </c>
      <c r="J1127" s="4">
        <f t="shared" si="51"/>
        <v>45200</v>
      </c>
      <c r="K1127" s="4" t="str">
        <f t="shared" si="52"/>
        <v>2024-09</v>
      </c>
      <c r="L1127" s="4" t="str">
        <f t="shared" si="53"/>
        <v>토</v>
      </c>
      <c r="M1127" s="2" t="str">
        <f>VLOOKUP($C1127, 고객정보!$A$2:$E$151, 2, FALSE)</f>
        <v>대전</v>
      </c>
      <c r="N1127" t="str">
        <f>VLOOKUP(C1127,고객정보!$A$2:$D$151,4,FALSE)</f>
        <v>L3</v>
      </c>
      <c r="O1127" t="str">
        <f>VLOOKUP($C1127, 고객정보!$A$2:$E$151, 5, FALSE)</f>
        <v>40대</v>
      </c>
      <c r="P1127" t="str">
        <f>VLOOKUP(D1127,상품정보!$A$2:$E$61,2,FALSE)</f>
        <v>반팔 티셔츠</v>
      </c>
      <c r="Q1127" t="str">
        <f>VLOOKUP(D1127,상품정보!$A$2:$D$151,3,FALSE)</f>
        <v>의류</v>
      </c>
      <c r="R1127" t="str">
        <f>VLOOKUP(D1127,상품정보!$A$2:$D$151,4,FALSE)</f>
        <v>브랜드C</v>
      </c>
    </row>
    <row r="1128" spans="1:18" x14ac:dyDescent="0.45">
      <c r="A1128" t="s">
        <v>201</v>
      </c>
      <c r="B1128" t="s">
        <v>1527</v>
      </c>
      <c r="C1128" t="s">
        <v>2457</v>
      </c>
      <c r="D1128" t="s">
        <v>2604</v>
      </c>
      <c r="E1128">
        <v>4</v>
      </c>
      <c r="F1128">
        <v>9700</v>
      </c>
      <c r="G1128">
        <v>1500</v>
      </c>
      <c r="H1128">
        <v>0</v>
      </c>
      <c r="I1128" t="s">
        <v>2652</v>
      </c>
      <c r="J1128" s="4">
        <f t="shared" si="51"/>
        <v>40300</v>
      </c>
      <c r="K1128" s="4" t="str">
        <f t="shared" si="52"/>
        <v>2024-10</v>
      </c>
      <c r="L1128" s="4" t="str">
        <f t="shared" si="53"/>
        <v>일</v>
      </c>
      <c r="M1128" s="2" t="str">
        <f>VLOOKUP($C1128, 고객정보!$A$2:$E$151, 2, FALSE)</f>
        <v>인천</v>
      </c>
      <c r="N1128" t="str">
        <f>VLOOKUP(C1128,고객정보!$A$2:$D$151,4,FALSE)</f>
        <v>L4</v>
      </c>
      <c r="O1128" t="str">
        <f>VLOOKUP($C1128, 고객정보!$A$2:$E$151, 5, FALSE)</f>
        <v>50대 이상</v>
      </c>
      <c r="P1128" t="str">
        <f>VLOOKUP(D1128,상품정보!$A$2:$E$61,2,FALSE)</f>
        <v>반팔 티셔츠</v>
      </c>
      <c r="Q1128" t="str">
        <f>VLOOKUP(D1128,상품정보!$A$2:$D$151,3,FALSE)</f>
        <v>의류</v>
      </c>
      <c r="R1128" t="str">
        <f>VLOOKUP(D1128,상품정보!$A$2:$D$151,4,FALSE)</f>
        <v>브랜드E</v>
      </c>
    </row>
    <row r="1129" spans="1:18" x14ac:dyDescent="0.45">
      <c r="A1129" t="s">
        <v>102</v>
      </c>
      <c r="B1129" t="s">
        <v>1528</v>
      </c>
      <c r="C1129" t="s">
        <v>2472</v>
      </c>
      <c r="D1129" t="s">
        <v>2603</v>
      </c>
      <c r="E1129">
        <v>3</v>
      </c>
      <c r="F1129">
        <v>8200</v>
      </c>
      <c r="G1129">
        <v>500</v>
      </c>
      <c r="H1129">
        <v>0</v>
      </c>
      <c r="I1129" t="s">
        <v>2652</v>
      </c>
      <c r="J1129" s="4">
        <f t="shared" si="51"/>
        <v>25100</v>
      </c>
      <c r="K1129" s="4" t="str">
        <f t="shared" si="52"/>
        <v>2024-03</v>
      </c>
      <c r="L1129" s="4" t="str">
        <f t="shared" si="53"/>
        <v>일</v>
      </c>
      <c r="M1129" s="2" t="str">
        <f>VLOOKUP($C1129, 고객정보!$A$2:$E$151, 2, FALSE)</f>
        <v>서울</v>
      </c>
      <c r="N1129" t="str">
        <f>VLOOKUP(C1129,고객정보!$A$2:$D$151,4,FALSE)</f>
        <v>L1</v>
      </c>
      <c r="O1129" t="str">
        <f>VLOOKUP($C1129, 고객정보!$A$2:$E$151, 5, FALSE)</f>
        <v>20대</v>
      </c>
      <c r="P1129" t="str">
        <f>VLOOKUP(D1129,상품정보!$A$2:$E$61,2,FALSE)</f>
        <v>목걸이</v>
      </c>
      <c r="Q1129" t="str">
        <f>VLOOKUP(D1129,상품정보!$A$2:$D$151,3,FALSE)</f>
        <v>액세서리</v>
      </c>
      <c r="R1129" t="str">
        <f>VLOOKUP(D1129,상품정보!$A$2:$D$151,4,FALSE)</f>
        <v>브랜드E</v>
      </c>
    </row>
    <row r="1130" spans="1:18" x14ac:dyDescent="0.45">
      <c r="A1130" t="s">
        <v>120</v>
      </c>
      <c r="B1130" t="s">
        <v>1529</v>
      </c>
      <c r="C1130" t="s">
        <v>2482</v>
      </c>
      <c r="D1130" t="s">
        <v>2574</v>
      </c>
      <c r="E1130">
        <v>1</v>
      </c>
      <c r="F1130">
        <v>8600</v>
      </c>
      <c r="G1130">
        <v>0</v>
      </c>
      <c r="H1130">
        <v>0</v>
      </c>
      <c r="I1130" t="s">
        <v>2652</v>
      </c>
      <c r="J1130" s="4">
        <f t="shared" si="51"/>
        <v>8600</v>
      </c>
      <c r="K1130" s="4" t="str">
        <f t="shared" si="52"/>
        <v>2024-05</v>
      </c>
      <c r="L1130" s="4" t="str">
        <f t="shared" si="53"/>
        <v>토</v>
      </c>
      <c r="M1130" s="2" t="str">
        <f>VLOOKUP($C1130, 고객정보!$A$2:$E$151, 2, FALSE)</f>
        <v>서울</v>
      </c>
      <c r="N1130" t="str">
        <f>VLOOKUP(C1130,고객정보!$A$2:$D$151,4,FALSE)</f>
        <v>L2</v>
      </c>
      <c r="O1130" t="str">
        <f>VLOOKUP($C1130, 고객정보!$A$2:$E$151, 5, FALSE)</f>
        <v>30대</v>
      </c>
      <c r="P1130" t="str">
        <f>VLOOKUP(D1130,상품정보!$A$2:$E$61,2,FALSE)</f>
        <v>셔츠</v>
      </c>
      <c r="Q1130" t="str">
        <f>VLOOKUP(D1130,상품정보!$A$2:$D$151,3,FALSE)</f>
        <v>의류</v>
      </c>
      <c r="R1130" t="str">
        <f>VLOOKUP(D1130,상품정보!$A$2:$D$151,4,FALSE)</f>
        <v>브랜드D</v>
      </c>
    </row>
    <row r="1131" spans="1:18" x14ac:dyDescent="0.45">
      <c r="A1131" t="s">
        <v>102</v>
      </c>
      <c r="B1131" t="s">
        <v>1530</v>
      </c>
      <c r="C1131" t="s">
        <v>2503</v>
      </c>
      <c r="D1131" t="s">
        <v>2559</v>
      </c>
      <c r="E1131">
        <v>1</v>
      </c>
      <c r="F1131">
        <v>5400</v>
      </c>
      <c r="G1131">
        <v>0</v>
      </c>
      <c r="H1131">
        <v>0</v>
      </c>
      <c r="I1131" t="s">
        <v>2652</v>
      </c>
      <c r="J1131" s="4">
        <f t="shared" si="51"/>
        <v>5400</v>
      </c>
      <c r="K1131" s="4" t="str">
        <f t="shared" si="52"/>
        <v>2024-03</v>
      </c>
      <c r="L1131" s="4" t="str">
        <f t="shared" si="53"/>
        <v>일</v>
      </c>
      <c r="M1131" s="2" t="str">
        <f>VLOOKUP($C1131, 고객정보!$A$2:$E$151, 2, FALSE)</f>
        <v>대전</v>
      </c>
      <c r="N1131" t="str">
        <f>VLOOKUP(C1131,고객정보!$A$2:$D$151,4,FALSE)</f>
        <v>L3</v>
      </c>
      <c r="O1131" t="str">
        <f>VLOOKUP($C1131, 고객정보!$A$2:$E$151, 5, FALSE)</f>
        <v>40대</v>
      </c>
      <c r="P1131" t="str">
        <f>VLOOKUP(D1131,상품정보!$A$2:$E$61,2,FALSE)</f>
        <v>반지</v>
      </c>
      <c r="Q1131" t="str">
        <f>VLOOKUP(D1131,상품정보!$A$2:$D$151,3,FALSE)</f>
        <v>액세서리</v>
      </c>
      <c r="R1131" t="str">
        <f>VLOOKUP(D1131,상품정보!$A$2:$D$151,4,FALSE)</f>
        <v>브랜드D</v>
      </c>
    </row>
    <row r="1132" spans="1:18" x14ac:dyDescent="0.45">
      <c r="A1132" t="s">
        <v>235</v>
      </c>
      <c r="B1132" t="s">
        <v>1531</v>
      </c>
      <c r="C1132" t="s">
        <v>2453</v>
      </c>
      <c r="D1132" t="s">
        <v>2587</v>
      </c>
      <c r="E1132">
        <v>2</v>
      </c>
      <c r="F1132">
        <v>50200</v>
      </c>
      <c r="G1132">
        <v>1000</v>
      </c>
      <c r="H1132">
        <v>3300</v>
      </c>
      <c r="I1132" t="s">
        <v>2612</v>
      </c>
      <c r="J1132" s="4">
        <f t="shared" si="51"/>
        <v>98100</v>
      </c>
      <c r="K1132" s="4" t="str">
        <f t="shared" si="52"/>
        <v>2024-04</v>
      </c>
      <c r="L1132" s="4" t="str">
        <f t="shared" si="53"/>
        <v>화</v>
      </c>
      <c r="M1132" s="2" t="str">
        <f>VLOOKUP($C1132, 고객정보!$A$2:$E$151, 2, FALSE)</f>
        <v>대구</v>
      </c>
      <c r="N1132" t="str">
        <f>VLOOKUP(C1132,고객정보!$A$2:$D$151,4,FALSE)</f>
        <v>L5</v>
      </c>
      <c r="O1132" t="str">
        <f>VLOOKUP($C1132, 고객정보!$A$2:$E$151, 5, FALSE)</f>
        <v>50대 이상</v>
      </c>
      <c r="P1132" t="str">
        <f>VLOOKUP(D1132,상품정보!$A$2:$E$61,2,FALSE)</f>
        <v>반지</v>
      </c>
      <c r="Q1132" t="str">
        <f>VLOOKUP(D1132,상품정보!$A$2:$D$151,3,FALSE)</f>
        <v>액세서리</v>
      </c>
      <c r="R1132" t="str">
        <f>VLOOKUP(D1132,상품정보!$A$2:$D$151,4,FALSE)</f>
        <v>브랜드B</v>
      </c>
    </row>
    <row r="1133" spans="1:18" x14ac:dyDescent="0.45">
      <c r="A1133" t="s">
        <v>164</v>
      </c>
      <c r="B1133" t="s">
        <v>1532</v>
      </c>
      <c r="C1133" t="s">
        <v>2402</v>
      </c>
      <c r="D1133" t="s">
        <v>2579</v>
      </c>
      <c r="E1133">
        <v>2</v>
      </c>
      <c r="F1133">
        <v>51000</v>
      </c>
      <c r="G1133">
        <v>500</v>
      </c>
      <c r="H1133">
        <v>0</v>
      </c>
      <c r="I1133" t="s">
        <v>2652</v>
      </c>
      <c r="J1133" s="4">
        <f t="shared" si="51"/>
        <v>102500</v>
      </c>
      <c r="K1133" s="4" t="str">
        <f t="shared" si="52"/>
        <v>2024-05</v>
      </c>
      <c r="L1133" s="4" t="str">
        <f t="shared" si="53"/>
        <v>금</v>
      </c>
      <c r="M1133" s="2" t="str">
        <f>VLOOKUP($C1133, 고객정보!$A$2:$E$151, 2, FALSE)</f>
        <v>서울</v>
      </c>
      <c r="N1133" t="str">
        <f>VLOOKUP(C1133,고객정보!$A$2:$D$151,4,FALSE)</f>
        <v>L2</v>
      </c>
      <c r="O1133" t="str">
        <f>VLOOKUP($C1133, 고객정보!$A$2:$E$151, 5, FALSE)</f>
        <v>30대</v>
      </c>
      <c r="P1133" t="str">
        <f>VLOOKUP(D1133,상품정보!$A$2:$E$61,2,FALSE)</f>
        <v>핸드폰케이스</v>
      </c>
      <c r="Q1133" t="str">
        <f>VLOOKUP(D1133,상품정보!$A$2:$D$151,3,FALSE)</f>
        <v>액세서리</v>
      </c>
      <c r="R1133" t="str">
        <f>VLOOKUP(D1133,상품정보!$A$2:$D$151,4,FALSE)</f>
        <v>브랜드F</v>
      </c>
    </row>
    <row r="1134" spans="1:18" x14ac:dyDescent="0.45">
      <c r="A1134" t="s">
        <v>135</v>
      </c>
      <c r="B1134" t="s">
        <v>1533</v>
      </c>
      <c r="C1134" t="s">
        <v>2460</v>
      </c>
      <c r="D1134" t="s">
        <v>2554</v>
      </c>
      <c r="E1134">
        <v>1</v>
      </c>
      <c r="F1134">
        <v>12100</v>
      </c>
      <c r="G1134">
        <v>0</v>
      </c>
      <c r="H1134">
        <v>0</v>
      </c>
      <c r="I1134" t="s">
        <v>2652</v>
      </c>
      <c r="J1134" s="4">
        <f t="shared" si="51"/>
        <v>12100</v>
      </c>
      <c r="K1134" s="4" t="str">
        <f t="shared" si="52"/>
        <v>2025-01</v>
      </c>
      <c r="L1134" s="4" t="str">
        <f t="shared" si="53"/>
        <v>월</v>
      </c>
      <c r="M1134" s="2" t="str">
        <f>VLOOKUP($C1134, 고객정보!$A$2:$E$151, 2, FALSE)</f>
        <v>대전</v>
      </c>
      <c r="N1134" t="str">
        <f>VLOOKUP(C1134,고객정보!$A$2:$D$151,4,FALSE)</f>
        <v>L4</v>
      </c>
      <c r="O1134" t="str">
        <f>VLOOKUP($C1134, 고객정보!$A$2:$E$151, 5, FALSE)</f>
        <v>20대</v>
      </c>
      <c r="P1134" t="str">
        <f>VLOOKUP(D1134,상품정보!$A$2:$E$61,2,FALSE)</f>
        <v>귀걸이</v>
      </c>
      <c r="Q1134" t="str">
        <f>VLOOKUP(D1134,상품정보!$A$2:$D$151,3,FALSE)</f>
        <v>액세서리</v>
      </c>
      <c r="R1134" t="str">
        <f>VLOOKUP(D1134,상품정보!$A$2:$D$151,4,FALSE)</f>
        <v>브랜드D</v>
      </c>
    </row>
    <row r="1135" spans="1:18" x14ac:dyDescent="0.45">
      <c r="A1135" t="s">
        <v>160</v>
      </c>
      <c r="B1135" t="s">
        <v>1534</v>
      </c>
      <c r="C1135" t="s">
        <v>2435</v>
      </c>
      <c r="D1135" t="s">
        <v>2608</v>
      </c>
      <c r="E1135">
        <v>2</v>
      </c>
      <c r="F1135">
        <v>10600</v>
      </c>
      <c r="G1135">
        <v>1000</v>
      </c>
      <c r="H1135">
        <v>0</v>
      </c>
      <c r="I1135" t="s">
        <v>2652</v>
      </c>
      <c r="J1135" s="4">
        <f t="shared" si="51"/>
        <v>22200</v>
      </c>
      <c r="K1135" s="4" t="str">
        <f t="shared" si="52"/>
        <v>2024-11</v>
      </c>
      <c r="L1135" s="4" t="str">
        <f t="shared" si="53"/>
        <v>수</v>
      </c>
      <c r="M1135" s="2" t="str">
        <f>VLOOKUP($C1135, 고객정보!$A$2:$E$151, 2, FALSE)</f>
        <v>인천</v>
      </c>
      <c r="N1135" t="str">
        <f>VLOOKUP(C1135,고객정보!$A$2:$D$151,4,FALSE)</f>
        <v>L5</v>
      </c>
      <c r="O1135" t="str">
        <f>VLOOKUP($C1135, 고객정보!$A$2:$E$151, 5, FALSE)</f>
        <v>30대</v>
      </c>
      <c r="P1135" t="str">
        <f>VLOOKUP(D1135,상품정보!$A$2:$E$61,2,FALSE)</f>
        <v>셔츠</v>
      </c>
      <c r="Q1135" t="str">
        <f>VLOOKUP(D1135,상품정보!$A$2:$D$151,3,FALSE)</f>
        <v>의류</v>
      </c>
      <c r="R1135" t="str">
        <f>VLOOKUP(D1135,상품정보!$A$2:$D$151,4,FALSE)</f>
        <v>브랜드D</v>
      </c>
    </row>
    <row r="1136" spans="1:18" x14ac:dyDescent="0.45">
      <c r="A1136" t="s">
        <v>107</v>
      </c>
      <c r="B1136" t="s">
        <v>1535</v>
      </c>
      <c r="C1136" t="s">
        <v>2536</v>
      </c>
      <c r="D1136" t="s">
        <v>2560</v>
      </c>
      <c r="E1136">
        <v>1</v>
      </c>
      <c r="F1136">
        <v>60600</v>
      </c>
      <c r="G1136">
        <v>0</v>
      </c>
      <c r="H1136">
        <v>0</v>
      </c>
      <c r="I1136" t="s">
        <v>2652</v>
      </c>
      <c r="J1136" s="4">
        <f t="shared" si="51"/>
        <v>60600</v>
      </c>
      <c r="K1136" s="4" t="str">
        <f t="shared" si="52"/>
        <v>2024-04</v>
      </c>
      <c r="L1136" s="4" t="str">
        <f t="shared" si="53"/>
        <v>수</v>
      </c>
      <c r="M1136" s="2" t="str">
        <f>VLOOKUP($C1136, 고객정보!$A$2:$E$151, 2, FALSE)</f>
        <v>서울</v>
      </c>
      <c r="N1136" t="str">
        <f>VLOOKUP(C1136,고객정보!$A$2:$D$151,4,FALSE)</f>
        <v>L5</v>
      </c>
      <c r="O1136" t="str">
        <f>VLOOKUP($C1136, 고객정보!$A$2:$E$151, 5, FALSE)</f>
        <v>20대</v>
      </c>
      <c r="P1136" t="str">
        <f>VLOOKUP(D1136,상품정보!$A$2:$E$61,2,FALSE)</f>
        <v>반팔 티셔츠</v>
      </c>
      <c r="Q1136" t="str">
        <f>VLOOKUP(D1136,상품정보!$A$2:$D$151,3,FALSE)</f>
        <v>의류</v>
      </c>
      <c r="R1136" t="str">
        <f>VLOOKUP(D1136,상품정보!$A$2:$D$151,4,FALSE)</f>
        <v>브랜드F</v>
      </c>
    </row>
    <row r="1137" spans="1:18" x14ac:dyDescent="0.45">
      <c r="A1137" t="s">
        <v>283</v>
      </c>
      <c r="B1137" t="s">
        <v>1536</v>
      </c>
      <c r="C1137" t="s">
        <v>2531</v>
      </c>
      <c r="D1137" t="s">
        <v>2560</v>
      </c>
      <c r="E1137">
        <v>3</v>
      </c>
      <c r="F1137">
        <v>60600</v>
      </c>
      <c r="G1137">
        <v>500</v>
      </c>
      <c r="H1137">
        <v>0</v>
      </c>
      <c r="I1137" t="s">
        <v>2652</v>
      </c>
      <c r="J1137" s="4">
        <f t="shared" si="51"/>
        <v>182300</v>
      </c>
      <c r="K1137" s="4" t="str">
        <f t="shared" si="52"/>
        <v>2024-12</v>
      </c>
      <c r="L1137" s="4" t="str">
        <f t="shared" si="53"/>
        <v>월</v>
      </c>
      <c r="M1137" s="2" t="str">
        <f>VLOOKUP($C1137, 고객정보!$A$2:$E$151, 2, FALSE)</f>
        <v>서울</v>
      </c>
      <c r="N1137" t="str">
        <f>VLOOKUP(C1137,고객정보!$A$2:$D$151,4,FALSE)</f>
        <v>L4</v>
      </c>
      <c r="O1137" t="str">
        <f>VLOOKUP($C1137, 고객정보!$A$2:$E$151, 5, FALSE)</f>
        <v>40대</v>
      </c>
      <c r="P1137" t="str">
        <f>VLOOKUP(D1137,상품정보!$A$2:$E$61,2,FALSE)</f>
        <v>반팔 티셔츠</v>
      </c>
      <c r="Q1137" t="str">
        <f>VLOOKUP(D1137,상품정보!$A$2:$D$151,3,FALSE)</f>
        <v>의류</v>
      </c>
      <c r="R1137" t="str">
        <f>VLOOKUP(D1137,상품정보!$A$2:$D$151,4,FALSE)</f>
        <v>브랜드F</v>
      </c>
    </row>
    <row r="1138" spans="1:18" x14ac:dyDescent="0.45">
      <c r="A1138" t="s">
        <v>202</v>
      </c>
      <c r="B1138" t="s">
        <v>1537</v>
      </c>
      <c r="C1138" t="s">
        <v>2508</v>
      </c>
      <c r="D1138" t="s">
        <v>2609</v>
      </c>
      <c r="E1138">
        <v>4</v>
      </c>
      <c r="F1138">
        <v>58600</v>
      </c>
      <c r="G1138">
        <v>1000</v>
      </c>
      <c r="H1138">
        <v>8700</v>
      </c>
      <c r="I1138" t="s">
        <v>2612</v>
      </c>
      <c r="J1138" s="4">
        <f t="shared" si="51"/>
        <v>226700</v>
      </c>
      <c r="K1138" s="4" t="str">
        <f t="shared" si="52"/>
        <v>2024-06</v>
      </c>
      <c r="L1138" s="4" t="str">
        <f t="shared" si="53"/>
        <v>목</v>
      </c>
      <c r="M1138" s="2" t="str">
        <f>VLOOKUP($C1138, 고객정보!$A$2:$E$151, 2, FALSE)</f>
        <v>광주</v>
      </c>
      <c r="N1138" t="str">
        <f>VLOOKUP(C1138,고객정보!$A$2:$D$151,4,FALSE)</f>
        <v>L1</v>
      </c>
      <c r="O1138" t="str">
        <f>VLOOKUP($C1138, 고객정보!$A$2:$E$151, 5, FALSE)</f>
        <v>50대 이상</v>
      </c>
      <c r="P1138" t="str">
        <f>VLOOKUP(D1138,상품정보!$A$2:$E$61,2,FALSE)</f>
        <v>목걸이</v>
      </c>
      <c r="Q1138" t="str">
        <f>VLOOKUP(D1138,상품정보!$A$2:$D$151,3,FALSE)</f>
        <v>액세서리</v>
      </c>
      <c r="R1138" t="str">
        <f>VLOOKUP(D1138,상품정보!$A$2:$D$151,4,FALSE)</f>
        <v>브랜드F</v>
      </c>
    </row>
    <row r="1139" spans="1:18" x14ac:dyDescent="0.45">
      <c r="A1139" t="s">
        <v>154</v>
      </c>
      <c r="B1139" t="s">
        <v>1538</v>
      </c>
      <c r="C1139" t="s">
        <v>2413</v>
      </c>
      <c r="D1139" t="s">
        <v>2605</v>
      </c>
      <c r="E1139">
        <v>2</v>
      </c>
      <c r="F1139">
        <v>6800</v>
      </c>
      <c r="G1139">
        <v>0</v>
      </c>
      <c r="H1139">
        <v>0</v>
      </c>
      <c r="I1139" t="s">
        <v>2652</v>
      </c>
      <c r="J1139" s="4">
        <f t="shared" si="51"/>
        <v>13600</v>
      </c>
      <c r="K1139" s="4" t="str">
        <f t="shared" si="52"/>
        <v>2024-08</v>
      </c>
      <c r="L1139" s="4" t="str">
        <f t="shared" si="53"/>
        <v>월</v>
      </c>
      <c r="M1139" s="2" t="str">
        <f>VLOOKUP($C1139, 고객정보!$A$2:$E$151, 2, FALSE)</f>
        <v>서울</v>
      </c>
      <c r="N1139" t="str">
        <f>VLOOKUP(C1139,고객정보!$A$2:$D$151,4,FALSE)</f>
        <v>L5</v>
      </c>
      <c r="O1139" t="str">
        <f>VLOOKUP($C1139, 고객정보!$A$2:$E$151, 5, FALSE)</f>
        <v>30대</v>
      </c>
      <c r="P1139" t="str">
        <f>VLOOKUP(D1139,상품정보!$A$2:$E$61,2,FALSE)</f>
        <v>핸드폰케이스</v>
      </c>
      <c r="Q1139" t="str">
        <f>VLOOKUP(D1139,상품정보!$A$2:$D$151,3,FALSE)</f>
        <v>액세서리</v>
      </c>
      <c r="R1139" t="str">
        <f>VLOOKUP(D1139,상품정보!$A$2:$D$151,4,FALSE)</f>
        <v>브랜드D</v>
      </c>
    </row>
    <row r="1140" spans="1:18" x14ac:dyDescent="0.45">
      <c r="A1140" t="s">
        <v>374</v>
      </c>
      <c r="B1140" t="s">
        <v>1539</v>
      </c>
      <c r="C1140" t="s">
        <v>2471</v>
      </c>
      <c r="D1140" t="s">
        <v>2579</v>
      </c>
      <c r="E1140">
        <v>5</v>
      </c>
      <c r="F1140">
        <v>51000</v>
      </c>
      <c r="G1140">
        <v>1000</v>
      </c>
      <c r="H1140">
        <v>0</v>
      </c>
      <c r="I1140" t="s">
        <v>2652</v>
      </c>
      <c r="J1140" s="4">
        <f t="shared" si="51"/>
        <v>256000</v>
      </c>
      <c r="K1140" s="4" t="str">
        <f t="shared" si="52"/>
        <v>2024-11</v>
      </c>
      <c r="L1140" s="4" t="str">
        <f t="shared" si="53"/>
        <v>금</v>
      </c>
      <c r="M1140" s="2" t="str">
        <f>VLOOKUP($C1140, 고객정보!$A$2:$E$151, 2, FALSE)</f>
        <v>서울</v>
      </c>
      <c r="N1140" t="str">
        <f>VLOOKUP(C1140,고객정보!$A$2:$D$151,4,FALSE)</f>
        <v>L5</v>
      </c>
      <c r="O1140" t="str">
        <f>VLOOKUP($C1140, 고객정보!$A$2:$E$151, 5, FALSE)</f>
        <v>40대</v>
      </c>
      <c r="P1140" t="str">
        <f>VLOOKUP(D1140,상품정보!$A$2:$E$61,2,FALSE)</f>
        <v>핸드폰케이스</v>
      </c>
      <c r="Q1140" t="str">
        <f>VLOOKUP(D1140,상품정보!$A$2:$D$151,3,FALSE)</f>
        <v>액세서리</v>
      </c>
      <c r="R1140" t="str">
        <f>VLOOKUP(D1140,상품정보!$A$2:$D$151,4,FALSE)</f>
        <v>브랜드F</v>
      </c>
    </row>
    <row r="1141" spans="1:18" x14ac:dyDescent="0.45">
      <c r="A1141" t="s">
        <v>60</v>
      </c>
      <c r="B1141" t="s">
        <v>1540</v>
      </c>
      <c r="C1141" t="s">
        <v>2533</v>
      </c>
      <c r="D1141" t="s">
        <v>2589</v>
      </c>
      <c r="E1141">
        <v>1</v>
      </c>
      <c r="F1141">
        <v>71400</v>
      </c>
      <c r="G1141">
        <v>500</v>
      </c>
      <c r="H1141">
        <v>0</v>
      </c>
      <c r="I1141" t="s">
        <v>2652</v>
      </c>
      <c r="J1141" s="4">
        <f t="shared" si="51"/>
        <v>71900</v>
      </c>
      <c r="K1141" s="4" t="str">
        <f t="shared" si="52"/>
        <v>2024-01</v>
      </c>
      <c r="L1141" s="4" t="str">
        <f t="shared" si="53"/>
        <v>목</v>
      </c>
      <c r="M1141" s="2" t="str">
        <f>VLOOKUP($C1141, 고객정보!$A$2:$E$151, 2, FALSE)</f>
        <v>인천</v>
      </c>
      <c r="N1141" t="str">
        <f>VLOOKUP(C1141,고객정보!$A$2:$D$151,4,FALSE)</f>
        <v>L5</v>
      </c>
      <c r="O1141" t="str">
        <f>VLOOKUP($C1141, 고객정보!$A$2:$E$151, 5, FALSE)</f>
        <v>30대</v>
      </c>
      <c r="P1141" t="str">
        <f>VLOOKUP(D1141,상품정보!$A$2:$E$61,2,FALSE)</f>
        <v>셔츠</v>
      </c>
      <c r="Q1141" t="str">
        <f>VLOOKUP(D1141,상품정보!$A$2:$D$151,3,FALSE)</f>
        <v>의류</v>
      </c>
      <c r="R1141" t="str">
        <f>VLOOKUP(D1141,상품정보!$A$2:$D$151,4,FALSE)</f>
        <v>브랜드A</v>
      </c>
    </row>
    <row r="1142" spans="1:18" x14ac:dyDescent="0.45">
      <c r="A1142" t="s">
        <v>95</v>
      </c>
      <c r="B1142" t="s">
        <v>1541</v>
      </c>
      <c r="C1142" t="s">
        <v>2484</v>
      </c>
      <c r="D1142" t="s">
        <v>2567</v>
      </c>
      <c r="E1142">
        <v>3</v>
      </c>
      <c r="F1142">
        <v>58600</v>
      </c>
      <c r="G1142">
        <v>0</v>
      </c>
      <c r="H1142">
        <v>6400</v>
      </c>
      <c r="I1142" t="s">
        <v>2614</v>
      </c>
      <c r="J1142" s="4">
        <f t="shared" si="51"/>
        <v>169400</v>
      </c>
      <c r="K1142" s="4" t="str">
        <f t="shared" si="52"/>
        <v>2024-10</v>
      </c>
      <c r="L1142" s="4" t="str">
        <f t="shared" si="53"/>
        <v>월</v>
      </c>
      <c r="M1142" s="2" t="str">
        <f>VLOOKUP($C1142, 고객정보!$A$2:$E$151, 2, FALSE)</f>
        <v>부산</v>
      </c>
      <c r="N1142" t="str">
        <f>VLOOKUP(C1142,고객정보!$A$2:$D$151,4,FALSE)</f>
        <v>L5</v>
      </c>
      <c r="O1142" t="str">
        <f>VLOOKUP($C1142, 고객정보!$A$2:$E$151, 5, FALSE)</f>
        <v>20대</v>
      </c>
      <c r="P1142" t="str">
        <f>VLOOKUP(D1142,상품정보!$A$2:$E$61,2,FALSE)</f>
        <v>귀걸이</v>
      </c>
      <c r="Q1142" t="str">
        <f>VLOOKUP(D1142,상품정보!$A$2:$D$151,3,FALSE)</f>
        <v>액세서리</v>
      </c>
      <c r="R1142" t="str">
        <f>VLOOKUP(D1142,상품정보!$A$2:$D$151,4,FALSE)</f>
        <v>브랜드B</v>
      </c>
    </row>
    <row r="1143" spans="1:18" x14ac:dyDescent="0.45">
      <c r="A1143" t="s">
        <v>375</v>
      </c>
      <c r="B1143" t="s">
        <v>1542</v>
      </c>
      <c r="C1143" t="s">
        <v>2517</v>
      </c>
      <c r="D1143" t="s">
        <v>2600</v>
      </c>
      <c r="E1143">
        <v>1</v>
      </c>
      <c r="F1143">
        <v>10900</v>
      </c>
      <c r="G1143">
        <v>0</v>
      </c>
      <c r="H1143">
        <v>0</v>
      </c>
      <c r="I1143" t="s">
        <v>2652</v>
      </c>
      <c r="J1143" s="4">
        <f t="shared" si="51"/>
        <v>10900</v>
      </c>
      <c r="K1143" s="4" t="str">
        <f t="shared" si="52"/>
        <v>2024-09</v>
      </c>
      <c r="L1143" s="4" t="str">
        <f t="shared" si="53"/>
        <v>화</v>
      </c>
      <c r="M1143" s="2" t="str">
        <f>VLOOKUP($C1143, 고객정보!$A$2:$E$151, 2, FALSE)</f>
        <v>서울</v>
      </c>
      <c r="N1143" t="str">
        <f>VLOOKUP(C1143,고객정보!$A$2:$D$151,4,FALSE)</f>
        <v>L4</v>
      </c>
      <c r="O1143" t="str">
        <f>VLOOKUP($C1143, 고객정보!$A$2:$E$151, 5, FALSE)</f>
        <v>20대</v>
      </c>
      <c r="P1143" t="str">
        <f>VLOOKUP(D1143,상품정보!$A$2:$E$61,2,FALSE)</f>
        <v>셔츠</v>
      </c>
      <c r="Q1143" t="str">
        <f>VLOOKUP(D1143,상품정보!$A$2:$D$151,3,FALSE)</f>
        <v>의류</v>
      </c>
      <c r="R1143" t="str">
        <f>VLOOKUP(D1143,상품정보!$A$2:$D$151,4,FALSE)</f>
        <v>브랜드E</v>
      </c>
    </row>
    <row r="1144" spans="1:18" x14ac:dyDescent="0.45">
      <c r="A1144" t="s">
        <v>47</v>
      </c>
      <c r="B1144" t="s">
        <v>1543</v>
      </c>
      <c r="C1144" t="s">
        <v>2433</v>
      </c>
      <c r="D1144" t="s">
        <v>2558</v>
      </c>
      <c r="E1144">
        <v>3</v>
      </c>
      <c r="F1144">
        <v>63700</v>
      </c>
      <c r="G1144">
        <v>500</v>
      </c>
      <c r="H1144">
        <v>0</v>
      </c>
      <c r="I1144" t="s">
        <v>2652</v>
      </c>
      <c r="J1144" s="4">
        <f t="shared" si="51"/>
        <v>191600</v>
      </c>
      <c r="K1144" s="4" t="str">
        <f t="shared" si="52"/>
        <v>2024-11</v>
      </c>
      <c r="L1144" s="4" t="str">
        <f t="shared" si="53"/>
        <v>토</v>
      </c>
      <c r="M1144" s="2" t="str">
        <f>VLOOKUP($C1144, 고객정보!$A$2:$E$151, 2, FALSE)</f>
        <v>부산</v>
      </c>
      <c r="N1144" t="str">
        <f>VLOOKUP(C1144,고객정보!$A$2:$D$151,4,FALSE)</f>
        <v>L3</v>
      </c>
      <c r="O1144" t="str">
        <f>VLOOKUP($C1144, 고객정보!$A$2:$E$151, 5, FALSE)</f>
        <v>10대</v>
      </c>
      <c r="P1144" t="str">
        <f>VLOOKUP(D1144,상품정보!$A$2:$E$61,2,FALSE)</f>
        <v>셔츠</v>
      </c>
      <c r="Q1144" t="str">
        <f>VLOOKUP(D1144,상품정보!$A$2:$D$151,3,FALSE)</f>
        <v>의류</v>
      </c>
      <c r="R1144" t="str">
        <f>VLOOKUP(D1144,상품정보!$A$2:$D$151,4,FALSE)</f>
        <v>브랜드A</v>
      </c>
    </row>
    <row r="1145" spans="1:18" x14ac:dyDescent="0.45">
      <c r="A1145" t="s">
        <v>364</v>
      </c>
      <c r="B1145" t="s">
        <v>1544</v>
      </c>
      <c r="C1145" t="s">
        <v>2424</v>
      </c>
      <c r="D1145" t="s">
        <v>2576</v>
      </c>
      <c r="E1145">
        <v>3</v>
      </c>
      <c r="F1145">
        <v>8800</v>
      </c>
      <c r="G1145">
        <v>500</v>
      </c>
      <c r="H1145">
        <v>0</v>
      </c>
      <c r="I1145" t="s">
        <v>2652</v>
      </c>
      <c r="J1145" s="4">
        <f t="shared" si="51"/>
        <v>26900</v>
      </c>
      <c r="K1145" s="4" t="str">
        <f t="shared" si="52"/>
        <v>2024-05</v>
      </c>
      <c r="L1145" s="4" t="str">
        <f t="shared" si="53"/>
        <v>월</v>
      </c>
      <c r="M1145" s="2" t="str">
        <f>VLOOKUP($C1145, 고객정보!$A$2:$E$151, 2, FALSE)</f>
        <v>서울</v>
      </c>
      <c r="N1145" t="str">
        <f>VLOOKUP(C1145,고객정보!$A$2:$D$151,4,FALSE)</f>
        <v>L1</v>
      </c>
      <c r="O1145" t="str">
        <f>VLOOKUP($C1145, 고객정보!$A$2:$E$151, 5, FALSE)</f>
        <v>30대</v>
      </c>
      <c r="P1145" t="str">
        <f>VLOOKUP(D1145,상품정보!$A$2:$E$61,2,FALSE)</f>
        <v>핸드폰케이스</v>
      </c>
      <c r="Q1145" t="str">
        <f>VLOOKUP(D1145,상품정보!$A$2:$D$151,3,FALSE)</f>
        <v>액세서리</v>
      </c>
      <c r="R1145" t="str">
        <f>VLOOKUP(D1145,상품정보!$A$2:$D$151,4,FALSE)</f>
        <v>브랜드D</v>
      </c>
    </row>
    <row r="1146" spans="1:18" x14ac:dyDescent="0.45">
      <c r="A1146" t="s">
        <v>169</v>
      </c>
      <c r="B1146" t="s">
        <v>1545</v>
      </c>
      <c r="C1146" t="s">
        <v>2528</v>
      </c>
      <c r="D1146" t="s">
        <v>2555</v>
      </c>
      <c r="E1146">
        <v>2</v>
      </c>
      <c r="F1146">
        <v>8300</v>
      </c>
      <c r="G1146">
        <v>0</v>
      </c>
      <c r="H1146">
        <v>0</v>
      </c>
      <c r="I1146" t="s">
        <v>2652</v>
      </c>
      <c r="J1146" s="4">
        <f t="shared" si="51"/>
        <v>16600</v>
      </c>
      <c r="K1146" s="4" t="str">
        <f t="shared" si="52"/>
        <v>2024-09</v>
      </c>
      <c r="L1146" s="4" t="str">
        <f t="shared" si="53"/>
        <v>토</v>
      </c>
      <c r="M1146" s="2" t="str">
        <f>VLOOKUP($C1146, 고객정보!$A$2:$E$151, 2, FALSE)</f>
        <v>광주</v>
      </c>
      <c r="N1146" t="str">
        <f>VLOOKUP(C1146,고객정보!$A$2:$D$151,4,FALSE)</f>
        <v>L3</v>
      </c>
      <c r="O1146" t="str">
        <f>VLOOKUP($C1146, 고객정보!$A$2:$E$151, 5, FALSE)</f>
        <v>10대</v>
      </c>
      <c r="P1146" t="str">
        <f>VLOOKUP(D1146,상품정보!$A$2:$E$61,2,FALSE)</f>
        <v>청바지</v>
      </c>
      <c r="Q1146" t="str">
        <f>VLOOKUP(D1146,상품정보!$A$2:$D$151,3,FALSE)</f>
        <v>의류</v>
      </c>
      <c r="R1146" t="str">
        <f>VLOOKUP(D1146,상품정보!$A$2:$D$151,4,FALSE)</f>
        <v>브랜드E</v>
      </c>
    </row>
    <row r="1147" spans="1:18" x14ac:dyDescent="0.45">
      <c r="A1147" t="s">
        <v>359</v>
      </c>
      <c r="B1147" t="s">
        <v>1546</v>
      </c>
      <c r="C1147" t="s">
        <v>2509</v>
      </c>
      <c r="D1147" t="s">
        <v>2590</v>
      </c>
      <c r="E1147">
        <v>1</v>
      </c>
      <c r="F1147">
        <v>68900</v>
      </c>
      <c r="G1147">
        <v>500</v>
      </c>
      <c r="H1147">
        <v>700</v>
      </c>
      <c r="I1147" t="s">
        <v>2611</v>
      </c>
      <c r="J1147" s="4">
        <f t="shared" si="51"/>
        <v>68700</v>
      </c>
      <c r="K1147" s="4" t="str">
        <f t="shared" si="52"/>
        <v>2024-11</v>
      </c>
      <c r="L1147" s="4" t="str">
        <f t="shared" si="53"/>
        <v>일</v>
      </c>
      <c r="M1147" s="2" t="str">
        <f>VLOOKUP($C1147, 고객정보!$A$2:$E$151, 2, FALSE)</f>
        <v>서울</v>
      </c>
      <c r="N1147" t="str">
        <f>VLOOKUP(C1147,고객정보!$A$2:$D$151,4,FALSE)</f>
        <v>L4</v>
      </c>
      <c r="O1147" t="str">
        <f>VLOOKUP($C1147, 고객정보!$A$2:$E$151, 5, FALSE)</f>
        <v>40대</v>
      </c>
      <c r="P1147" t="str">
        <f>VLOOKUP(D1147,상품정보!$A$2:$E$61,2,FALSE)</f>
        <v>반팔 티셔츠</v>
      </c>
      <c r="Q1147" t="str">
        <f>VLOOKUP(D1147,상품정보!$A$2:$D$151,3,FALSE)</f>
        <v>의류</v>
      </c>
      <c r="R1147" t="str">
        <f>VLOOKUP(D1147,상품정보!$A$2:$D$151,4,FALSE)</f>
        <v>브랜드A</v>
      </c>
    </row>
    <row r="1148" spans="1:18" x14ac:dyDescent="0.45">
      <c r="A1148" t="s">
        <v>373</v>
      </c>
      <c r="B1148" t="s">
        <v>1547</v>
      </c>
      <c r="C1148" t="s">
        <v>2456</v>
      </c>
      <c r="D1148" t="s">
        <v>2567</v>
      </c>
      <c r="E1148">
        <v>3</v>
      </c>
      <c r="F1148">
        <v>58600</v>
      </c>
      <c r="G1148">
        <v>1000</v>
      </c>
      <c r="H1148">
        <v>4400</v>
      </c>
      <c r="I1148" t="s">
        <v>2613</v>
      </c>
      <c r="J1148" s="4">
        <f t="shared" si="51"/>
        <v>172400</v>
      </c>
      <c r="K1148" s="4" t="str">
        <f t="shared" si="52"/>
        <v>2024-12</v>
      </c>
      <c r="L1148" s="4" t="str">
        <f t="shared" si="53"/>
        <v>토</v>
      </c>
      <c r="M1148" s="2" t="str">
        <f>VLOOKUP($C1148, 고객정보!$A$2:$E$151, 2, FALSE)</f>
        <v>대구</v>
      </c>
      <c r="N1148" t="str">
        <f>VLOOKUP(C1148,고객정보!$A$2:$D$151,4,FALSE)</f>
        <v>L3</v>
      </c>
      <c r="O1148" t="str">
        <f>VLOOKUP($C1148, 고객정보!$A$2:$E$151, 5, FALSE)</f>
        <v>30대</v>
      </c>
      <c r="P1148" t="str">
        <f>VLOOKUP(D1148,상품정보!$A$2:$E$61,2,FALSE)</f>
        <v>귀걸이</v>
      </c>
      <c r="Q1148" t="str">
        <f>VLOOKUP(D1148,상품정보!$A$2:$D$151,3,FALSE)</f>
        <v>액세서리</v>
      </c>
      <c r="R1148" t="str">
        <f>VLOOKUP(D1148,상품정보!$A$2:$D$151,4,FALSE)</f>
        <v>브랜드B</v>
      </c>
    </row>
    <row r="1149" spans="1:18" x14ac:dyDescent="0.45">
      <c r="A1149" t="s">
        <v>127</v>
      </c>
      <c r="B1149" t="s">
        <v>1548</v>
      </c>
      <c r="C1149" t="s">
        <v>2430</v>
      </c>
      <c r="D1149" t="s">
        <v>2586</v>
      </c>
      <c r="E1149">
        <v>1</v>
      </c>
      <c r="F1149">
        <v>73000</v>
      </c>
      <c r="G1149">
        <v>0</v>
      </c>
      <c r="H1149">
        <v>0</v>
      </c>
      <c r="I1149" t="s">
        <v>2652</v>
      </c>
      <c r="J1149" s="4">
        <f t="shared" si="51"/>
        <v>73000</v>
      </c>
      <c r="K1149" s="4" t="str">
        <f t="shared" si="52"/>
        <v>2024-12</v>
      </c>
      <c r="L1149" s="4" t="str">
        <f t="shared" si="53"/>
        <v>일</v>
      </c>
      <c r="M1149" s="2" t="str">
        <f>VLOOKUP($C1149, 고객정보!$A$2:$E$151, 2, FALSE)</f>
        <v>광주</v>
      </c>
      <c r="N1149" t="str">
        <f>VLOOKUP(C1149,고객정보!$A$2:$D$151,4,FALSE)</f>
        <v>L4</v>
      </c>
      <c r="O1149" t="str">
        <f>VLOOKUP($C1149, 고객정보!$A$2:$E$151, 5, FALSE)</f>
        <v>30대</v>
      </c>
      <c r="P1149" t="str">
        <f>VLOOKUP(D1149,상품정보!$A$2:$E$61,2,FALSE)</f>
        <v>귀걸이</v>
      </c>
      <c r="Q1149" t="str">
        <f>VLOOKUP(D1149,상품정보!$A$2:$D$151,3,FALSE)</f>
        <v>액세서리</v>
      </c>
      <c r="R1149" t="str">
        <f>VLOOKUP(D1149,상품정보!$A$2:$D$151,4,FALSE)</f>
        <v>브랜드B</v>
      </c>
    </row>
    <row r="1150" spans="1:18" x14ac:dyDescent="0.45">
      <c r="A1150" t="s">
        <v>13</v>
      </c>
      <c r="B1150" t="s">
        <v>1549</v>
      </c>
      <c r="C1150" t="s">
        <v>2530</v>
      </c>
      <c r="D1150" t="s">
        <v>2595</v>
      </c>
      <c r="E1150">
        <v>3</v>
      </c>
      <c r="F1150">
        <v>12700</v>
      </c>
      <c r="G1150">
        <v>500</v>
      </c>
      <c r="H1150">
        <v>8600</v>
      </c>
      <c r="I1150" t="s">
        <v>2612</v>
      </c>
      <c r="J1150" s="4">
        <f t="shared" si="51"/>
        <v>30000</v>
      </c>
      <c r="K1150" s="4" t="str">
        <f t="shared" si="52"/>
        <v>2024-08</v>
      </c>
      <c r="L1150" s="4" t="str">
        <f t="shared" si="53"/>
        <v>금</v>
      </c>
      <c r="M1150" s="2" t="str">
        <f>VLOOKUP($C1150, 고객정보!$A$2:$E$151, 2, FALSE)</f>
        <v>대전</v>
      </c>
      <c r="N1150" t="str">
        <f>VLOOKUP(C1150,고객정보!$A$2:$D$151,4,FALSE)</f>
        <v>L2</v>
      </c>
      <c r="O1150" t="str">
        <f>VLOOKUP($C1150, 고객정보!$A$2:$E$151, 5, FALSE)</f>
        <v>20대</v>
      </c>
      <c r="P1150" t="str">
        <f>VLOOKUP(D1150,상품정보!$A$2:$E$61,2,FALSE)</f>
        <v>반지</v>
      </c>
      <c r="Q1150" t="str">
        <f>VLOOKUP(D1150,상품정보!$A$2:$D$151,3,FALSE)</f>
        <v>액세서리</v>
      </c>
      <c r="R1150" t="str">
        <f>VLOOKUP(D1150,상품정보!$A$2:$D$151,4,FALSE)</f>
        <v>브랜드C</v>
      </c>
    </row>
    <row r="1151" spans="1:18" x14ac:dyDescent="0.45">
      <c r="A1151" t="s">
        <v>276</v>
      </c>
      <c r="B1151" t="s">
        <v>1550</v>
      </c>
      <c r="C1151" t="s">
        <v>2456</v>
      </c>
      <c r="D1151" t="s">
        <v>2559</v>
      </c>
      <c r="E1151">
        <v>1</v>
      </c>
      <c r="F1151">
        <v>5400</v>
      </c>
      <c r="G1151">
        <v>1000</v>
      </c>
      <c r="H1151">
        <v>300</v>
      </c>
      <c r="I1151" t="s">
        <v>2613</v>
      </c>
      <c r="J1151" s="4">
        <f t="shared" si="51"/>
        <v>6100</v>
      </c>
      <c r="K1151" s="4" t="str">
        <f t="shared" si="52"/>
        <v>2024-10</v>
      </c>
      <c r="L1151" s="4" t="str">
        <f t="shared" si="53"/>
        <v>금</v>
      </c>
      <c r="M1151" s="2" t="str">
        <f>VLOOKUP($C1151, 고객정보!$A$2:$E$151, 2, FALSE)</f>
        <v>대구</v>
      </c>
      <c r="N1151" t="str">
        <f>VLOOKUP(C1151,고객정보!$A$2:$D$151,4,FALSE)</f>
        <v>L3</v>
      </c>
      <c r="O1151" t="str">
        <f>VLOOKUP($C1151, 고객정보!$A$2:$E$151, 5, FALSE)</f>
        <v>30대</v>
      </c>
      <c r="P1151" t="str">
        <f>VLOOKUP(D1151,상품정보!$A$2:$E$61,2,FALSE)</f>
        <v>반지</v>
      </c>
      <c r="Q1151" t="str">
        <f>VLOOKUP(D1151,상품정보!$A$2:$D$151,3,FALSE)</f>
        <v>액세서리</v>
      </c>
      <c r="R1151" t="str">
        <f>VLOOKUP(D1151,상품정보!$A$2:$D$151,4,FALSE)</f>
        <v>브랜드D</v>
      </c>
    </row>
    <row r="1152" spans="1:18" x14ac:dyDescent="0.45">
      <c r="A1152" t="s">
        <v>316</v>
      </c>
      <c r="B1152" t="s">
        <v>1551</v>
      </c>
      <c r="C1152" t="s">
        <v>2453</v>
      </c>
      <c r="D1152" t="s">
        <v>2602</v>
      </c>
      <c r="E1152">
        <v>2</v>
      </c>
      <c r="F1152">
        <v>59900</v>
      </c>
      <c r="G1152">
        <v>0</v>
      </c>
      <c r="H1152">
        <v>5300</v>
      </c>
      <c r="I1152" t="s">
        <v>2614</v>
      </c>
      <c r="J1152" s="4">
        <f t="shared" si="51"/>
        <v>114500</v>
      </c>
      <c r="K1152" s="4" t="str">
        <f t="shared" si="52"/>
        <v>2024-06</v>
      </c>
      <c r="L1152" s="4" t="str">
        <f t="shared" si="53"/>
        <v>월</v>
      </c>
      <c r="M1152" s="2" t="str">
        <f>VLOOKUP($C1152, 고객정보!$A$2:$E$151, 2, FALSE)</f>
        <v>대구</v>
      </c>
      <c r="N1152" t="str">
        <f>VLOOKUP(C1152,고객정보!$A$2:$D$151,4,FALSE)</f>
        <v>L5</v>
      </c>
      <c r="O1152" t="str">
        <f>VLOOKUP($C1152, 고객정보!$A$2:$E$151, 5, FALSE)</f>
        <v>50대 이상</v>
      </c>
      <c r="P1152" t="str">
        <f>VLOOKUP(D1152,상품정보!$A$2:$E$61,2,FALSE)</f>
        <v>셔츠</v>
      </c>
      <c r="Q1152" t="str">
        <f>VLOOKUP(D1152,상품정보!$A$2:$D$151,3,FALSE)</f>
        <v>의류</v>
      </c>
      <c r="R1152" t="str">
        <f>VLOOKUP(D1152,상품정보!$A$2:$D$151,4,FALSE)</f>
        <v>브랜드A</v>
      </c>
    </row>
    <row r="1153" spans="1:18" x14ac:dyDescent="0.45">
      <c r="A1153" t="s">
        <v>376</v>
      </c>
      <c r="B1153" t="s">
        <v>1552</v>
      </c>
      <c r="C1153" t="s">
        <v>2407</v>
      </c>
      <c r="D1153" t="s">
        <v>2579</v>
      </c>
      <c r="E1153">
        <v>5</v>
      </c>
      <c r="F1153">
        <v>51000</v>
      </c>
      <c r="G1153">
        <v>1000</v>
      </c>
      <c r="H1153">
        <v>7500</v>
      </c>
      <c r="I1153" t="s">
        <v>2612</v>
      </c>
      <c r="J1153" s="4">
        <f t="shared" si="51"/>
        <v>248500</v>
      </c>
      <c r="K1153" s="4" t="str">
        <f t="shared" si="52"/>
        <v>2024-11</v>
      </c>
      <c r="L1153" s="4" t="str">
        <f t="shared" si="53"/>
        <v>금</v>
      </c>
      <c r="M1153" s="2" t="str">
        <f>VLOOKUP($C1153, 고객정보!$A$2:$E$151, 2, FALSE)</f>
        <v>서울</v>
      </c>
      <c r="N1153" t="str">
        <f>VLOOKUP(C1153,고객정보!$A$2:$D$151,4,FALSE)</f>
        <v>L5</v>
      </c>
      <c r="O1153" t="str">
        <f>VLOOKUP($C1153, 고객정보!$A$2:$E$151, 5, FALSE)</f>
        <v>30대</v>
      </c>
      <c r="P1153" t="str">
        <f>VLOOKUP(D1153,상품정보!$A$2:$E$61,2,FALSE)</f>
        <v>핸드폰케이스</v>
      </c>
      <c r="Q1153" t="str">
        <f>VLOOKUP(D1153,상품정보!$A$2:$D$151,3,FALSE)</f>
        <v>액세서리</v>
      </c>
      <c r="R1153" t="str">
        <f>VLOOKUP(D1153,상품정보!$A$2:$D$151,4,FALSE)</f>
        <v>브랜드F</v>
      </c>
    </row>
    <row r="1154" spans="1:18" x14ac:dyDescent="0.45">
      <c r="A1154" t="s">
        <v>46</v>
      </c>
      <c r="B1154" t="s">
        <v>1553</v>
      </c>
      <c r="C1154" t="s">
        <v>2446</v>
      </c>
      <c r="D1154" t="s">
        <v>2582</v>
      </c>
      <c r="E1154">
        <v>3</v>
      </c>
      <c r="F1154">
        <v>12500</v>
      </c>
      <c r="G1154">
        <v>500</v>
      </c>
      <c r="H1154">
        <v>0</v>
      </c>
      <c r="I1154" t="s">
        <v>2652</v>
      </c>
      <c r="J1154" s="4">
        <f t="shared" si="51"/>
        <v>38000</v>
      </c>
      <c r="K1154" s="4" t="str">
        <f t="shared" si="52"/>
        <v>2024-09</v>
      </c>
      <c r="L1154" s="4" t="str">
        <f t="shared" si="53"/>
        <v>월</v>
      </c>
      <c r="M1154" s="2" t="str">
        <f>VLOOKUP($C1154, 고객정보!$A$2:$E$151, 2, FALSE)</f>
        <v>대전</v>
      </c>
      <c r="N1154" t="str">
        <f>VLOOKUP(C1154,고객정보!$A$2:$D$151,4,FALSE)</f>
        <v>L2</v>
      </c>
      <c r="O1154" t="str">
        <f>VLOOKUP($C1154, 고객정보!$A$2:$E$151, 5, FALSE)</f>
        <v>50대 이상</v>
      </c>
      <c r="P1154" t="str">
        <f>VLOOKUP(D1154,상품정보!$A$2:$E$61,2,FALSE)</f>
        <v>셔츠</v>
      </c>
      <c r="Q1154" t="str">
        <f>VLOOKUP(D1154,상품정보!$A$2:$D$151,3,FALSE)</f>
        <v>의류</v>
      </c>
      <c r="R1154" t="str">
        <f>VLOOKUP(D1154,상품정보!$A$2:$D$151,4,FALSE)</f>
        <v>브랜드D</v>
      </c>
    </row>
    <row r="1155" spans="1:18" x14ac:dyDescent="0.45">
      <c r="A1155" t="s">
        <v>254</v>
      </c>
      <c r="B1155" t="s">
        <v>1554</v>
      </c>
      <c r="C1155" t="s">
        <v>2528</v>
      </c>
      <c r="D1155" t="s">
        <v>2610</v>
      </c>
      <c r="E1155">
        <v>2</v>
      </c>
      <c r="F1155">
        <v>18800</v>
      </c>
      <c r="G1155">
        <v>0</v>
      </c>
      <c r="H1155">
        <v>0</v>
      </c>
      <c r="I1155" t="s">
        <v>2652</v>
      </c>
      <c r="J1155" s="4">
        <f t="shared" ref="J1155:J1218" si="54">E1155*F1155+G1155-H1155</f>
        <v>37600</v>
      </c>
      <c r="K1155" s="4" t="str">
        <f t="shared" ref="K1155:K1218" si="55">LEFT(A1155,7)</f>
        <v>2024-12</v>
      </c>
      <c r="L1155" s="4" t="str">
        <f t="shared" ref="L1155:L1218" si="56">TEXT(WEEKDAY(A1155),"aaa")</f>
        <v>월</v>
      </c>
      <c r="M1155" s="2" t="str">
        <f>VLOOKUP($C1155, 고객정보!$A$2:$E$151, 2, FALSE)</f>
        <v>광주</v>
      </c>
      <c r="N1155" t="str">
        <f>VLOOKUP(C1155,고객정보!$A$2:$D$151,4,FALSE)</f>
        <v>L3</v>
      </c>
      <c r="O1155" t="str">
        <f>VLOOKUP($C1155, 고객정보!$A$2:$E$151, 5, FALSE)</f>
        <v>10대</v>
      </c>
      <c r="P1155" t="str">
        <f>VLOOKUP(D1155,상품정보!$A$2:$E$61,2,FALSE)</f>
        <v>자켓</v>
      </c>
      <c r="Q1155" t="str">
        <f>VLOOKUP(D1155,상품정보!$A$2:$D$151,3,FALSE)</f>
        <v>의류</v>
      </c>
      <c r="R1155" t="str">
        <f>VLOOKUP(D1155,상품정보!$A$2:$D$151,4,FALSE)</f>
        <v>브랜드E</v>
      </c>
    </row>
    <row r="1156" spans="1:18" x14ac:dyDescent="0.45">
      <c r="A1156" t="s">
        <v>377</v>
      </c>
      <c r="B1156" t="s">
        <v>1555</v>
      </c>
      <c r="C1156" t="s">
        <v>2463</v>
      </c>
      <c r="D1156" t="s">
        <v>2604</v>
      </c>
      <c r="E1156">
        <v>3</v>
      </c>
      <c r="F1156">
        <v>9700</v>
      </c>
      <c r="G1156">
        <v>0</v>
      </c>
      <c r="H1156">
        <v>0</v>
      </c>
      <c r="I1156" t="s">
        <v>2652</v>
      </c>
      <c r="J1156" s="4">
        <f t="shared" si="54"/>
        <v>29100</v>
      </c>
      <c r="K1156" s="4" t="str">
        <f t="shared" si="55"/>
        <v>2024-02</v>
      </c>
      <c r="L1156" s="4" t="str">
        <f t="shared" si="56"/>
        <v>월</v>
      </c>
      <c r="M1156" s="2" t="str">
        <f>VLOOKUP($C1156, 고객정보!$A$2:$E$151, 2, FALSE)</f>
        <v>대구</v>
      </c>
      <c r="N1156" t="str">
        <f>VLOOKUP(C1156,고객정보!$A$2:$D$151,4,FALSE)</f>
        <v>L4</v>
      </c>
      <c r="O1156" t="str">
        <f>VLOOKUP($C1156, 고객정보!$A$2:$E$151, 5, FALSE)</f>
        <v>20대</v>
      </c>
      <c r="P1156" t="str">
        <f>VLOOKUP(D1156,상품정보!$A$2:$E$61,2,FALSE)</f>
        <v>반팔 티셔츠</v>
      </c>
      <c r="Q1156" t="str">
        <f>VLOOKUP(D1156,상품정보!$A$2:$D$151,3,FALSE)</f>
        <v>의류</v>
      </c>
      <c r="R1156" t="str">
        <f>VLOOKUP(D1156,상품정보!$A$2:$D$151,4,FALSE)</f>
        <v>브랜드E</v>
      </c>
    </row>
    <row r="1157" spans="1:18" x14ac:dyDescent="0.45">
      <c r="A1157" t="s">
        <v>329</v>
      </c>
      <c r="B1157" t="s">
        <v>1556</v>
      </c>
      <c r="C1157" t="s">
        <v>2550</v>
      </c>
      <c r="D1157" t="s">
        <v>2552</v>
      </c>
      <c r="E1157">
        <v>3</v>
      </c>
      <c r="F1157">
        <v>13300</v>
      </c>
      <c r="G1157">
        <v>500</v>
      </c>
      <c r="H1157">
        <v>4500</v>
      </c>
      <c r="I1157" t="s">
        <v>2614</v>
      </c>
      <c r="J1157" s="4">
        <f t="shared" si="54"/>
        <v>35900</v>
      </c>
      <c r="K1157" s="4" t="str">
        <f t="shared" si="55"/>
        <v>2025-01</v>
      </c>
      <c r="L1157" s="4" t="str">
        <f t="shared" si="56"/>
        <v>월</v>
      </c>
      <c r="M1157" s="2" t="str">
        <f>VLOOKUP($C1157, 고객정보!$A$2:$E$151, 2, FALSE)</f>
        <v>광주</v>
      </c>
      <c r="N1157" t="str">
        <f>VLOOKUP(C1157,고객정보!$A$2:$D$151,4,FALSE)</f>
        <v>L1</v>
      </c>
      <c r="O1157" t="str">
        <f>VLOOKUP($C1157, 고객정보!$A$2:$E$151, 5, FALSE)</f>
        <v>40대</v>
      </c>
      <c r="P1157" t="str">
        <f>VLOOKUP(D1157,상품정보!$A$2:$E$61,2,FALSE)</f>
        <v>셔츠</v>
      </c>
      <c r="Q1157" t="str">
        <f>VLOOKUP(D1157,상품정보!$A$2:$D$151,3,FALSE)</f>
        <v>의류</v>
      </c>
      <c r="R1157" t="str">
        <f>VLOOKUP(D1157,상품정보!$A$2:$D$151,4,FALSE)</f>
        <v>브랜드E</v>
      </c>
    </row>
    <row r="1158" spans="1:18" x14ac:dyDescent="0.45">
      <c r="A1158" t="s">
        <v>373</v>
      </c>
      <c r="B1158" t="s">
        <v>1557</v>
      </c>
      <c r="C1158" t="s">
        <v>2406</v>
      </c>
      <c r="D1158" t="s">
        <v>2557</v>
      </c>
      <c r="E1158">
        <v>2</v>
      </c>
      <c r="F1158">
        <v>77700</v>
      </c>
      <c r="G1158">
        <v>0</v>
      </c>
      <c r="H1158">
        <v>0</v>
      </c>
      <c r="I1158" t="s">
        <v>2652</v>
      </c>
      <c r="J1158" s="4">
        <f t="shared" si="54"/>
        <v>155400</v>
      </c>
      <c r="K1158" s="4" t="str">
        <f t="shared" si="55"/>
        <v>2024-12</v>
      </c>
      <c r="L1158" s="4" t="str">
        <f t="shared" si="56"/>
        <v>토</v>
      </c>
      <c r="M1158" s="2" t="str">
        <f>VLOOKUP($C1158, 고객정보!$A$2:$E$151, 2, FALSE)</f>
        <v>부산</v>
      </c>
      <c r="N1158" t="str">
        <f>VLOOKUP(C1158,고객정보!$A$2:$D$151,4,FALSE)</f>
        <v>L5</v>
      </c>
      <c r="O1158" t="str">
        <f>VLOOKUP($C1158, 고객정보!$A$2:$E$151, 5, FALSE)</f>
        <v>30대</v>
      </c>
      <c r="P1158" t="str">
        <f>VLOOKUP(D1158,상품정보!$A$2:$E$61,2,FALSE)</f>
        <v>귀걸이</v>
      </c>
      <c r="Q1158" t="str">
        <f>VLOOKUP(D1158,상품정보!$A$2:$D$151,3,FALSE)</f>
        <v>액세서리</v>
      </c>
      <c r="R1158" t="str">
        <f>VLOOKUP(D1158,상품정보!$A$2:$D$151,4,FALSE)</f>
        <v>브랜드B</v>
      </c>
    </row>
    <row r="1159" spans="1:18" x14ac:dyDescent="0.45">
      <c r="A1159" t="s">
        <v>235</v>
      </c>
      <c r="B1159" t="s">
        <v>1558</v>
      </c>
      <c r="C1159" t="s">
        <v>2526</v>
      </c>
      <c r="D1159" t="s">
        <v>2593</v>
      </c>
      <c r="E1159">
        <v>1</v>
      </c>
      <c r="F1159">
        <v>74600</v>
      </c>
      <c r="G1159">
        <v>1000</v>
      </c>
      <c r="H1159">
        <v>4600</v>
      </c>
      <c r="I1159" t="s">
        <v>2613</v>
      </c>
      <c r="J1159" s="4">
        <f t="shared" si="54"/>
        <v>71000</v>
      </c>
      <c r="K1159" s="4" t="str">
        <f t="shared" si="55"/>
        <v>2024-04</v>
      </c>
      <c r="L1159" s="4" t="str">
        <f t="shared" si="56"/>
        <v>화</v>
      </c>
      <c r="M1159" s="2" t="str">
        <f>VLOOKUP($C1159, 고객정보!$A$2:$E$151, 2, FALSE)</f>
        <v>부산</v>
      </c>
      <c r="N1159" t="str">
        <f>VLOOKUP(C1159,고객정보!$A$2:$D$151,4,FALSE)</f>
        <v>L3</v>
      </c>
      <c r="O1159" t="str">
        <f>VLOOKUP($C1159, 고객정보!$A$2:$E$151, 5, FALSE)</f>
        <v>10대</v>
      </c>
      <c r="P1159" t="str">
        <f>VLOOKUP(D1159,상품정보!$A$2:$E$61,2,FALSE)</f>
        <v>반팔 티셔츠</v>
      </c>
      <c r="Q1159" t="str">
        <f>VLOOKUP(D1159,상품정보!$A$2:$D$151,3,FALSE)</f>
        <v>의류</v>
      </c>
      <c r="R1159" t="str">
        <f>VLOOKUP(D1159,상품정보!$A$2:$D$151,4,FALSE)</f>
        <v>브랜드B</v>
      </c>
    </row>
    <row r="1160" spans="1:18" x14ac:dyDescent="0.45">
      <c r="A1160" t="s">
        <v>378</v>
      </c>
      <c r="B1160" t="s">
        <v>1559</v>
      </c>
      <c r="C1160" t="s">
        <v>2498</v>
      </c>
      <c r="D1160" t="s">
        <v>2607</v>
      </c>
      <c r="E1160">
        <v>3</v>
      </c>
      <c r="F1160">
        <v>16000</v>
      </c>
      <c r="G1160">
        <v>0</v>
      </c>
      <c r="H1160">
        <v>1400</v>
      </c>
      <c r="I1160" t="s">
        <v>2614</v>
      </c>
      <c r="J1160" s="4">
        <f t="shared" si="54"/>
        <v>46600</v>
      </c>
      <c r="K1160" s="4" t="str">
        <f t="shared" si="55"/>
        <v>2024-08</v>
      </c>
      <c r="L1160" s="4" t="str">
        <f t="shared" si="56"/>
        <v>토</v>
      </c>
      <c r="M1160" s="2" t="str">
        <f>VLOOKUP($C1160, 고객정보!$A$2:$E$151, 2, FALSE)</f>
        <v>서울</v>
      </c>
      <c r="N1160" t="str">
        <f>VLOOKUP(C1160,고객정보!$A$2:$D$151,4,FALSE)</f>
        <v>L3</v>
      </c>
      <c r="O1160" t="str">
        <f>VLOOKUP($C1160, 고객정보!$A$2:$E$151, 5, FALSE)</f>
        <v>30대</v>
      </c>
      <c r="P1160" t="str">
        <f>VLOOKUP(D1160,상품정보!$A$2:$E$61,2,FALSE)</f>
        <v>목걸이</v>
      </c>
      <c r="Q1160" t="str">
        <f>VLOOKUP(D1160,상품정보!$A$2:$D$151,3,FALSE)</f>
        <v>액세서리</v>
      </c>
      <c r="R1160" t="str">
        <f>VLOOKUP(D1160,상품정보!$A$2:$D$151,4,FALSE)</f>
        <v>브랜드E</v>
      </c>
    </row>
    <row r="1161" spans="1:18" x14ac:dyDescent="0.45">
      <c r="A1161" t="s">
        <v>78</v>
      </c>
      <c r="B1161" t="s">
        <v>1560</v>
      </c>
      <c r="C1161" t="s">
        <v>2481</v>
      </c>
      <c r="D1161" t="s">
        <v>2599</v>
      </c>
      <c r="E1161">
        <v>3</v>
      </c>
      <c r="F1161">
        <v>73800</v>
      </c>
      <c r="G1161">
        <v>500</v>
      </c>
      <c r="H1161">
        <v>0</v>
      </c>
      <c r="I1161" t="s">
        <v>2652</v>
      </c>
      <c r="J1161" s="4">
        <f t="shared" si="54"/>
        <v>221900</v>
      </c>
      <c r="K1161" s="4" t="str">
        <f t="shared" si="55"/>
        <v>2024-10</v>
      </c>
      <c r="L1161" s="4" t="str">
        <f t="shared" si="56"/>
        <v>토</v>
      </c>
      <c r="M1161" s="2" t="str">
        <f>VLOOKUP($C1161, 고객정보!$A$2:$E$151, 2, FALSE)</f>
        <v>부산</v>
      </c>
      <c r="N1161" t="str">
        <f>VLOOKUP(C1161,고객정보!$A$2:$D$151,4,FALSE)</f>
        <v>L5</v>
      </c>
      <c r="O1161" t="str">
        <f>VLOOKUP($C1161, 고객정보!$A$2:$E$151, 5, FALSE)</f>
        <v>20대</v>
      </c>
      <c r="P1161" t="str">
        <f>VLOOKUP(D1161,상품정보!$A$2:$E$61,2,FALSE)</f>
        <v>핸드폰케이스</v>
      </c>
      <c r="Q1161" t="str">
        <f>VLOOKUP(D1161,상품정보!$A$2:$D$151,3,FALSE)</f>
        <v>액세서리</v>
      </c>
      <c r="R1161" t="str">
        <f>VLOOKUP(D1161,상품정보!$A$2:$D$151,4,FALSE)</f>
        <v>브랜드F</v>
      </c>
    </row>
    <row r="1162" spans="1:18" x14ac:dyDescent="0.45">
      <c r="A1162" t="s">
        <v>105</v>
      </c>
      <c r="B1162" t="s">
        <v>1561</v>
      </c>
      <c r="C1162" t="s">
        <v>2511</v>
      </c>
      <c r="D1162" t="s">
        <v>2581</v>
      </c>
      <c r="E1162">
        <v>1</v>
      </c>
      <c r="F1162">
        <v>72900</v>
      </c>
      <c r="G1162">
        <v>1000</v>
      </c>
      <c r="H1162">
        <v>800</v>
      </c>
      <c r="I1162" t="s">
        <v>2613</v>
      </c>
      <c r="J1162" s="4">
        <f t="shared" si="54"/>
        <v>73100</v>
      </c>
      <c r="K1162" s="4" t="str">
        <f t="shared" si="55"/>
        <v>2024-08</v>
      </c>
      <c r="L1162" s="4" t="str">
        <f t="shared" si="56"/>
        <v>수</v>
      </c>
      <c r="M1162" s="2" t="str">
        <f>VLOOKUP($C1162, 고객정보!$A$2:$E$151, 2, FALSE)</f>
        <v>인천</v>
      </c>
      <c r="N1162" t="str">
        <f>VLOOKUP(C1162,고객정보!$A$2:$D$151,4,FALSE)</f>
        <v>L1</v>
      </c>
      <c r="O1162" t="str">
        <f>VLOOKUP($C1162, 고객정보!$A$2:$E$151, 5, FALSE)</f>
        <v>50대 이상</v>
      </c>
      <c r="P1162" t="str">
        <f>VLOOKUP(D1162,상품정보!$A$2:$E$61,2,FALSE)</f>
        <v>귀걸이</v>
      </c>
      <c r="Q1162" t="str">
        <f>VLOOKUP(D1162,상품정보!$A$2:$D$151,3,FALSE)</f>
        <v>액세서리</v>
      </c>
      <c r="R1162" t="str">
        <f>VLOOKUP(D1162,상품정보!$A$2:$D$151,4,FALSE)</f>
        <v>브랜드F</v>
      </c>
    </row>
    <row r="1163" spans="1:18" x14ac:dyDescent="0.45">
      <c r="A1163" t="s">
        <v>379</v>
      </c>
      <c r="B1163" t="s">
        <v>1562</v>
      </c>
      <c r="C1163" t="s">
        <v>2455</v>
      </c>
      <c r="D1163" t="s">
        <v>2576</v>
      </c>
      <c r="E1163">
        <v>5</v>
      </c>
      <c r="F1163">
        <v>8800</v>
      </c>
      <c r="G1163">
        <v>0</v>
      </c>
      <c r="H1163">
        <v>0</v>
      </c>
      <c r="I1163" t="s">
        <v>2652</v>
      </c>
      <c r="J1163" s="4">
        <f t="shared" si="54"/>
        <v>44000</v>
      </c>
      <c r="K1163" s="4" t="str">
        <f t="shared" si="55"/>
        <v>2024-10</v>
      </c>
      <c r="L1163" s="4" t="str">
        <f t="shared" si="56"/>
        <v>목</v>
      </c>
      <c r="M1163" s="2" t="str">
        <f>VLOOKUP($C1163, 고객정보!$A$2:$E$151, 2, FALSE)</f>
        <v>서울</v>
      </c>
      <c r="N1163" t="str">
        <f>VLOOKUP(C1163,고객정보!$A$2:$D$151,4,FALSE)</f>
        <v>L5</v>
      </c>
      <c r="O1163" t="str">
        <f>VLOOKUP($C1163, 고객정보!$A$2:$E$151, 5, FALSE)</f>
        <v>20대</v>
      </c>
      <c r="P1163" t="str">
        <f>VLOOKUP(D1163,상품정보!$A$2:$E$61,2,FALSE)</f>
        <v>핸드폰케이스</v>
      </c>
      <c r="Q1163" t="str">
        <f>VLOOKUP(D1163,상품정보!$A$2:$D$151,3,FALSE)</f>
        <v>액세서리</v>
      </c>
      <c r="R1163" t="str">
        <f>VLOOKUP(D1163,상품정보!$A$2:$D$151,4,FALSE)</f>
        <v>브랜드D</v>
      </c>
    </row>
    <row r="1164" spans="1:18" x14ac:dyDescent="0.45">
      <c r="A1164" t="s">
        <v>261</v>
      </c>
      <c r="B1164" t="s">
        <v>1563</v>
      </c>
      <c r="C1164" t="s">
        <v>2421</v>
      </c>
      <c r="D1164" t="s">
        <v>2608</v>
      </c>
      <c r="E1164">
        <v>2</v>
      </c>
      <c r="F1164">
        <v>10600</v>
      </c>
      <c r="G1164">
        <v>500</v>
      </c>
      <c r="H1164">
        <v>0</v>
      </c>
      <c r="I1164" t="s">
        <v>2652</v>
      </c>
      <c r="J1164" s="4">
        <f t="shared" si="54"/>
        <v>21700</v>
      </c>
      <c r="K1164" s="4" t="str">
        <f t="shared" si="55"/>
        <v>2024-09</v>
      </c>
      <c r="L1164" s="4" t="str">
        <f t="shared" si="56"/>
        <v>금</v>
      </c>
      <c r="M1164" s="2" t="str">
        <f>VLOOKUP($C1164, 고객정보!$A$2:$E$151, 2, FALSE)</f>
        <v>부산</v>
      </c>
      <c r="N1164" t="str">
        <f>VLOOKUP(C1164,고객정보!$A$2:$D$151,4,FALSE)</f>
        <v>L3</v>
      </c>
      <c r="O1164" t="str">
        <f>VLOOKUP($C1164, 고객정보!$A$2:$E$151, 5, FALSE)</f>
        <v>30대</v>
      </c>
      <c r="P1164" t="str">
        <f>VLOOKUP(D1164,상품정보!$A$2:$E$61,2,FALSE)</f>
        <v>셔츠</v>
      </c>
      <c r="Q1164" t="str">
        <f>VLOOKUP(D1164,상품정보!$A$2:$D$151,3,FALSE)</f>
        <v>의류</v>
      </c>
      <c r="R1164" t="str">
        <f>VLOOKUP(D1164,상품정보!$A$2:$D$151,4,FALSE)</f>
        <v>브랜드D</v>
      </c>
    </row>
    <row r="1165" spans="1:18" x14ac:dyDescent="0.45">
      <c r="A1165" t="s">
        <v>230</v>
      </c>
      <c r="B1165" t="s">
        <v>1564</v>
      </c>
      <c r="C1165" t="s">
        <v>2449</v>
      </c>
      <c r="D1165" t="s">
        <v>2576</v>
      </c>
      <c r="E1165">
        <v>4</v>
      </c>
      <c r="F1165">
        <v>8800</v>
      </c>
      <c r="G1165">
        <v>500</v>
      </c>
      <c r="H1165">
        <v>1800</v>
      </c>
      <c r="I1165" t="s">
        <v>2614</v>
      </c>
      <c r="J1165" s="4">
        <f t="shared" si="54"/>
        <v>33900</v>
      </c>
      <c r="K1165" s="4" t="str">
        <f t="shared" si="55"/>
        <v>2024-09</v>
      </c>
      <c r="L1165" s="4" t="str">
        <f t="shared" si="56"/>
        <v>토</v>
      </c>
      <c r="M1165" s="2" t="str">
        <f>VLOOKUP($C1165, 고객정보!$A$2:$E$151, 2, FALSE)</f>
        <v>대구</v>
      </c>
      <c r="N1165" t="str">
        <f>VLOOKUP(C1165,고객정보!$A$2:$D$151,4,FALSE)</f>
        <v>L5</v>
      </c>
      <c r="O1165" t="str">
        <f>VLOOKUP($C1165, 고객정보!$A$2:$E$151, 5, FALSE)</f>
        <v>40대</v>
      </c>
      <c r="P1165" t="str">
        <f>VLOOKUP(D1165,상품정보!$A$2:$E$61,2,FALSE)</f>
        <v>핸드폰케이스</v>
      </c>
      <c r="Q1165" t="str">
        <f>VLOOKUP(D1165,상품정보!$A$2:$D$151,3,FALSE)</f>
        <v>액세서리</v>
      </c>
      <c r="R1165" t="str">
        <f>VLOOKUP(D1165,상품정보!$A$2:$D$151,4,FALSE)</f>
        <v>브랜드D</v>
      </c>
    </row>
    <row r="1166" spans="1:18" x14ac:dyDescent="0.45">
      <c r="A1166" t="s">
        <v>185</v>
      </c>
      <c r="B1166" t="s">
        <v>1565</v>
      </c>
      <c r="C1166" t="s">
        <v>2528</v>
      </c>
      <c r="D1166" t="s">
        <v>2592</v>
      </c>
      <c r="E1166">
        <v>1</v>
      </c>
      <c r="F1166">
        <v>72700</v>
      </c>
      <c r="G1166">
        <v>0</v>
      </c>
      <c r="H1166">
        <v>0</v>
      </c>
      <c r="I1166" t="s">
        <v>2652</v>
      </c>
      <c r="J1166" s="4">
        <f t="shared" si="54"/>
        <v>72700</v>
      </c>
      <c r="K1166" s="4" t="str">
        <f t="shared" si="55"/>
        <v>2024-03</v>
      </c>
      <c r="L1166" s="4" t="str">
        <f t="shared" si="56"/>
        <v>월</v>
      </c>
      <c r="M1166" s="2" t="str">
        <f>VLOOKUP($C1166, 고객정보!$A$2:$E$151, 2, FALSE)</f>
        <v>광주</v>
      </c>
      <c r="N1166" t="str">
        <f>VLOOKUP(C1166,고객정보!$A$2:$D$151,4,FALSE)</f>
        <v>L3</v>
      </c>
      <c r="O1166" t="str">
        <f>VLOOKUP($C1166, 고객정보!$A$2:$E$151, 5, FALSE)</f>
        <v>10대</v>
      </c>
      <c r="P1166" t="str">
        <f>VLOOKUP(D1166,상품정보!$A$2:$E$61,2,FALSE)</f>
        <v>귀걸이</v>
      </c>
      <c r="Q1166" t="str">
        <f>VLOOKUP(D1166,상품정보!$A$2:$D$151,3,FALSE)</f>
        <v>액세서리</v>
      </c>
      <c r="R1166" t="str">
        <f>VLOOKUP(D1166,상품정보!$A$2:$D$151,4,FALSE)</f>
        <v>브랜드A</v>
      </c>
    </row>
    <row r="1167" spans="1:18" x14ac:dyDescent="0.45">
      <c r="A1167" t="s">
        <v>220</v>
      </c>
      <c r="B1167" t="s">
        <v>1566</v>
      </c>
      <c r="C1167" t="s">
        <v>2430</v>
      </c>
      <c r="D1167" t="s">
        <v>2555</v>
      </c>
      <c r="E1167">
        <v>3</v>
      </c>
      <c r="F1167">
        <v>8300</v>
      </c>
      <c r="G1167">
        <v>0</v>
      </c>
      <c r="H1167">
        <v>2500</v>
      </c>
      <c r="I1167" t="s">
        <v>2613</v>
      </c>
      <c r="J1167" s="4">
        <f t="shared" si="54"/>
        <v>22400</v>
      </c>
      <c r="K1167" s="4" t="str">
        <f t="shared" si="55"/>
        <v>2024-07</v>
      </c>
      <c r="L1167" s="4" t="str">
        <f t="shared" si="56"/>
        <v>일</v>
      </c>
      <c r="M1167" s="2" t="str">
        <f>VLOOKUP($C1167, 고객정보!$A$2:$E$151, 2, FALSE)</f>
        <v>광주</v>
      </c>
      <c r="N1167" t="str">
        <f>VLOOKUP(C1167,고객정보!$A$2:$D$151,4,FALSE)</f>
        <v>L4</v>
      </c>
      <c r="O1167" t="str">
        <f>VLOOKUP($C1167, 고객정보!$A$2:$E$151, 5, FALSE)</f>
        <v>30대</v>
      </c>
      <c r="P1167" t="str">
        <f>VLOOKUP(D1167,상품정보!$A$2:$E$61,2,FALSE)</f>
        <v>청바지</v>
      </c>
      <c r="Q1167" t="str">
        <f>VLOOKUP(D1167,상품정보!$A$2:$D$151,3,FALSE)</f>
        <v>의류</v>
      </c>
      <c r="R1167" t="str">
        <f>VLOOKUP(D1167,상품정보!$A$2:$D$151,4,FALSE)</f>
        <v>브랜드E</v>
      </c>
    </row>
    <row r="1168" spans="1:18" x14ac:dyDescent="0.45">
      <c r="A1168" t="s">
        <v>380</v>
      </c>
      <c r="B1168" t="s">
        <v>1567</v>
      </c>
      <c r="C1168" t="s">
        <v>2489</v>
      </c>
      <c r="D1168" t="s">
        <v>2590</v>
      </c>
      <c r="E1168">
        <v>4</v>
      </c>
      <c r="F1168">
        <v>68900</v>
      </c>
      <c r="G1168">
        <v>0</v>
      </c>
      <c r="H1168">
        <v>9200</v>
      </c>
      <c r="I1168" t="s">
        <v>2611</v>
      </c>
      <c r="J1168" s="4">
        <f t="shared" si="54"/>
        <v>266400</v>
      </c>
      <c r="K1168" s="4" t="str">
        <f t="shared" si="55"/>
        <v>2024-03</v>
      </c>
      <c r="L1168" s="4" t="str">
        <f t="shared" si="56"/>
        <v>목</v>
      </c>
      <c r="M1168" s="2" t="str">
        <f>VLOOKUP($C1168, 고객정보!$A$2:$E$151, 2, FALSE)</f>
        <v>서울</v>
      </c>
      <c r="N1168" t="str">
        <f>VLOOKUP(C1168,고객정보!$A$2:$D$151,4,FALSE)</f>
        <v>L3</v>
      </c>
      <c r="O1168" t="str">
        <f>VLOOKUP($C1168, 고객정보!$A$2:$E$151, 5, FALSE)</f>
        <v>10대</v>
      </c>
      <c r="P1168" t="str">
        <f>VLOOKUP(D1168,상품정보!$A$2:$E$61,2,FALSE)</f>
        <v>반팔 티셔츠</v>
      </c>
      <c r="Q1168" t="str">
        <f>VLOOKUP(D1168,상품정보!$A$2:$D$151,3,FALSE)</f>
        <v>의류</v>
      </c>
      <c r="R1168" t="str">
        <f>VLOOKUP(D1168,상품정보!$A$2:$D$151,4,FALSE)</f>
        <v>브랜드A</v>
      </c>
    </row>
    <row r="1169" spans="1:18" x14ac:dyDescent="0.45">
      <c r="A1169" t="s">
        <v>324</v>
      </c>
      <c r="B1169" t="s">
        <v>1568</v>
      </c>
      <c r="C1169" t="s">
        <v>2426</v>
      </c>
      <c r="D1169" t="s">
        <v>2576</v>
      </c>
      <c r="E1169">
        <v>2</v>
      </c>
      <c r="F1169">
        <v>8800</v>
      </c>
      <c r="G1169">
        <v>0</v>
      </c>
      <c r="H1169">
        <v>0</v>
      </c>
      <c r="I1169" t="s">
        <v>2652</v>
      </c>
      <c r="J1169" s="4">
        <f t="shared" si="54"/>
        <v>17600</v>
      </c>
      <c r="K1169" s="4" t="str">
        <f t="shared" si="55"/>
        <v>2024-02</v>
      </c>
      <c r="L1169" s="4" t="str">
        <f t="shared" si="56"/>
        <v>일</v>
      </c>
      <c r="M1169" s="2" t="str">
        <f>VLOOKUP($C1169, 고객정보!$A$2:$E$151, 2, FALSE)</f>
        <v>대전</v>
      </c>
      <c r="N1169" t="str">
        <f>VLOOKUP(C1169,고객정보!$A$2:$D$151,4,FALSE)</f>
        <v>L5</v>
      </c>
      <c r="O1169" t="str">
        <f>VLOOKUP($C1169, 고객정보!$A$2:$E$151, 5, FALSE)</f>
        <v>30대</v>
      </c>
      <c r="P1169" t="str">
        <f>VLOOKUP(D1169,상품정보!$A$2:$E$61,2,FALSE)</f>
        <v>핸드폰케이스</v>
      </c>
      <c r="Q1169" t="str">
        <f>VLOOKUP(D1169,상품정보!$A$2:$D$151,3,FALSE)</f>
        <v>액세서리</v>
      </c>
      <c r="R1169" t="str">
        <f>VLOOKUP(D1169,상품정보!$A$2:$D$151,4,FALSE)</f>
        <v>브랜드D</v>
      </c>
    </row>
    <row r="1170" spans="1:18" x14ac:dyDescent="0.45">
      <c r="A1170" t="s">
        <v>250</v>
      </c>
      <c r="B1170" t="s">
        <v>1569</v>
      </c>
      <c r="C1170" t="s">
        <v>2452</v>
      </c>
      <c r="D1170" t="s">
        <v>2558</v>
      </c>
      <c r="E1170">
        <v>2</v>
      </c>
      <c r="F1170">
        <v>63700</v>
      </c>
      <c r="G1170">
        <v>0</v>
      </c>
      <c r="H1170">
        <v>0</v>
      </c>
      <c r="I1170" t="s">
        <v>2652</v>
      </c>
      <c r="J1170" s="4">
        <f t="shared" si="54"/>
        <v>127400</v>
      </c>
      <c r="K1170" s="4" t="str">
        <f t="shared" si="55"/>
        <v>2024-06</v>
      </c>
      <c r="L1170" s="4" t="str">
        <f t="shared" si="56"/>
        <v>일</v>
      </c>
      <c r="M1170" s="2" t="str">
        <f>VLOOKUP($C1170, 고객정보!$A$2:$E$151, 2, FALSE)</f>
        <v>서울</v>
      </c>
      <c r="N1170" t="str">
        <f>VLOOKUP(C1170,고객정보!$A$2:$D$151,4,FALSE)</f>
        <v>L3</v>
      </c>
      <c r="O1170" t="str">
        <f>VLOOKUP($C1170, 고객정보!$A$2:$E$151, 5, FALSE)</f>
        <v>30대</v>
      </c>
      <c r="P1170" t="str">
        <f>VLOOKUP(D1170,상품정보!$A$2:$E$61,2,FALSE)</f>
        <v>셔츠</v>
      </c>
      <c r="Q1170" t="str">
        <f>VLOOKUP(D1170,상품정보!$A$2:$D$151,3,FALSE)</f>
        <v>의류</v>
      </c>
      <c r="R1170" t="str">
        <f>VLOOKUP(D1170,상품정보!$A$2:$D$151,4,FALSE)</f>
        <v>브랜드A</v>
      </c>
    </row>
    <row r="1171" spans="1:18" x14ac:dyDescent="0.45">
      <c r="A1171" t="s">
        <v>136</v>
      </c>
      <c r="B1171" t="s">
        <v>1570</v>
      </c>
      <c r="C1171" t="s">
        <v>2443</v>
      </c>
      <c r="D1171" t="s">
        <v>2594</v>
      </c>
      <c r="E1171">
        <v>4</v>
      </c>
      <c r="F1171">
        <v>73000</v>
      </c>
      <c r="G1171">
        <v>0</v>
      </c>
      <c r="H1171">
        <v>0</v>
      </c>
      <c r="I1171" t="s">
        <v>2652</v>
      </c>
      <c r="J1171" s="4">
        <f t="shared" si="54"/>
        <v>292000</v>
      </c>
      <c r="K1171" s="4" t="str">
        <f t="shared" si="55"/>
        <v>2024-05</v>
      </c>
      <c r="L1171" s="4" t="str">
        <f t="shared" si="56"/>
        <v>월</v>
      </c>
      <c r="M1171" s="2" t="str">
        <f>VLOOKUP($C1171, 고객정보!$A$2:$E$151, 2, FALSE)</f>
        <v>서울</v>
      </c>
      <c r="N1171" t="str">
        <f>VLOOKUP(C1171,고객정보!$A$2:$D$151,4,FALSE)</f>
        <v>L4</v>
      </c>
      <c r="O1171" t="str">
        <f>VLOOKUP($C1171, 고객정보!$A$2:$E$151, 5, FALSE)</f>
        <v>30대</v>
      </c>
      <c r="P1171" t="str">
        <f>VLOOKUP(D1171,상품정보!$A$2:$E$61,2,FALSE)</f>
        <v>자켓</v>
      </c>
      <c r="Q1171" t="str">
        <f>VLOOKUP(D1171,상품정보!$A$2:$D$151,3,FALSE)</f>
        <v>의류</v>
      </c>
      <c r="R1171" t="str">
        <f>VLOOKUP(D1171,상품정보!$A$2:$D$151,4,FALSE)</f>
        <v>브랜드A</v>
      </c>
    </row>
    <row r="1172" spans="1:18" x14ac:dyDescent="0.45">
      <c r="A1172" t="s">
        <v>110</v>
      </c>
      <c r="B1172" t="s">
        <v>1571</v>
      </c>
      <c r="C1172" t="s">
        <v>2420</v>
      </c>
      <c r="D1172" t="s">
        <v>2557</v>
      </c>
      <c r="E1172">
        <v>2</v>
      </c>
      <c r="F1172">
        <v>77700</v>
      </c>
      <c r="G1172">
        <v>500</v>
      </c>
      <c r="H1172">
        <v>0</v>
      </c>
      <c r="I1172" t="s">
        <v>2652</v>
      </c>
      <c r="J1172" s="4">
        <f t="shared" si="54"/>
        <v>155900</v>
      </c>
      <c r="K1172" s="4" t="str">
        <f t="shared" si="55"/>
        <v>2024-10</v>
      </c>
      <c r="L1172" s="4" t="str">
        <f t="shared" si="56"/>
        <v>화</v>
      </c>
      <c r="M1172" s="2" t="str">
        <f>VLOOKUP($C1172, 고객정보!$A$2:$E$151, 2, FALSE)</f>
        <v>대전</v>
      </c>
      <c r="N1172" t="str">
        <f>VLOOKUP(C1172,고객정보!$A$2:$D$151,4,FALSE)</f>
        <v>L3</v>
      </c>
      <c r="O1172" t="str">
        <f>VLOOKUP($C1172, 고객정보!$A$2:$E$151, 5, FALSE)</f>
        <v>30대</v>
      </c>
      <c r="P1172" t="str">
        <f>VLOOKUP(D1172,상품정보!$A$2:$E$61,2,FALSE)</f>
        <v>귀걸이</v>
      </c>
      <c r="Q1172" t="str">
        <f>VLOOKUP(D1172,상품정보!$A$2:$D$151,3,FALSE)</f>
        <v>액세서리</v>
      </c>
      <c r="R1172" t="str">
        <f>VLOOKUP(D1172,상품정보!$A$2:$D$151,4,FALSE)</f>
        <v>브랜드B</v>
      </c>
    </row>
    <row r="1173" spans="1:18" x14ac:dyDescent="0.45">
      <c r="A1173" t="s">
        <v>240</v>
      </c>
      <c r="B1173" t="s">
        <v>1572</v>
      </c>
      <c r="C1173" t="s">
        <v>2432</v>
      </c>
      <c r="D1173" t="s">
        <v>2583</v>
      </c>
      <c r="E1173">
        <v>1</v>
      </c>
      <c r="F1173">
        <v>6600</v>
      </c>
      <c r="G1173">
        <v>500</v>
      </c>
      <c r="H1173">
        <v>2100</v>
      </c>
      <c r="I1173" t="s">
        <v>2614</v>
      </c>
      <c r="J1173" s="4">
        <f t="shared" si="54"/>
        <v>5000</v>
      </c>
      <c r="K1173" s="4" t="str">
        <f t="shared" si="55"/>
        <v>2024-03</v>
      </c>
      <c r="L1173" s="4" t="str">
        <f t="shared" si="56"/>
        <v>목</v>
      </c>
      <c r="M1173" s="2" t="str">
        <f>VLOOKUP($C1173, 고객정보!$A$2:$E$151, 2, FALSE)</f>
        <v>서울</v>
      </c>
      <c r="N1173" t="str">
        <f>VLOOKUP(C1173,고객정보!$A$2:$D$151,4,FALSE)</f>
        <v>L5</v>
      </c>
      <c r="O1173" t="str">
        <f>VLOOKUP($C1173, 고객정보!$A$2:$E$151, 5, FALSE)</f>
        <v>20대</v>
      </c>
      <c r="P1173" t="str">
        <f>VLOOKUP(D1173,상품정보!$A$2:$E$61,2,FALSE)</f>
        <v>셔츠</v>
      </c>
      <c r="Q1173" t="str">
        <f>VLOOKUP(D1173,상품정보!$A$2:$D$151,3,FALSE)</f>
        <v>의류</v>
      </c>
      <c r="R1173" t="str">
        <f>VLOOKUP(D1173,상품정보!$A$2:$D$151,4,FALSE)</f>
        <v>브랜드E</v>
      </c>
    </row>
    <row r="1174" spans="1:18" x14ac:dyDescent="0.45">
      <c r="A1174" t="s">
        <v>355</v>
      </c>
      <c r="B1174" t="s">
        <v>1573</v>
      </c>
      <c r="C1174" t="s">
        <v>2485</v>
      </c>
      <c r="D1174" t="s">
        <v>2601</v>
      </c>
      <c r="E1174">
        <v>4</v>
      </c>
      <c r="F1174">
        <v>17000</v>
      </c>
      <c r="G1174">
        <v>0</v>
      </c>
      <c r="H1174">
        <v>0</v>
      </c>
      <c r="I1174" t="s">
        <v>2652</v>
      </c>
      <c r="J1174" s="4">
        <f t="shared" si="54"/>
        <v>68000</v>
      </c>
      <c r="K1174" s="4" t="str">
        <f t="shared" si="55"/>
        <v>2024-07</v>
      </c>
      <c r="L1174" s="4" t="str">
        <f t="shared" si="56"/>
        <v>목</v>
      </c>
      <c r="M1174" s="2" t="str">
        <f>VLOOKUP($C1174, 고객정보!$A$2:$E$151, 2, FALSE)</f>
        <v>서울</v>
      </c>
      <c r="N1174" t="str">
        <f>VLOOKUP(C1174,고객정보!$A$2:$D$151,4,FALSE)</f>
        <v>L4</v>
      </c>
      <c r="O1174" t="str">
        <f>VLOOKUP($C1174, 고객정보!$A$2:$E$151, 5, FALSE)</f>
        <v>40대</v>
      </c>
      <c r="P1174" t="str">
        <f>VLOOKUP(D1174,상품정보!$A$2:$E$61,2,FALSE)</f>
        <v>자켓</v>
      </c>
      <c r="Q1174" t="str">
        <f>VLOOKUP(D1174,상품정보!$A$2:$D$151,3,FALSE)</f>
        <v>의류</v>
      </c>
      <c r="R1174" t="str">
        <f>VLOOKUP(D1174,상품정보!$A$2:$D$151,4,FALSE)</f>
        <v>브랜드E</v>
      </c>
    </row>
    <row r="1175" spans="1:18" x14ac:dyDescent="0.45">
      <c r="A1175" t="s">
        <v>344</v>
      </c>
      <c r="B1175" t="s">
        <v>1574</v>
      </c>
      <c r="C1175" t="s">
        <v>2501</v>
      </c>
      <c r="D1175" t="s">
        <v>2608</v>
      </c>
      <c r="E1175">
        <v>4</v>
      </c>
      <c r="F1175">
        <v>10600</v>
      </c>
      <c r="G1175">
        <v>1000</v>
      </c>
      <c r="H1175">
        <v>0</v>
      </c>
      <c r="I1175" t="s">
        <v>2652</v>
      </c>
      <c r="J1175" s="4">
        <f t="shared" si="54"/>
        <v>43400</v>
      </c>
      <c r="K1175" s="4" t="str">
        <f t="shared" si="55"/>
        <v>2024-01</v>
      </c>
      <c r="L1175" s="4" t="str">
        <f t="shared" si="56"/>
        <v>수</v>
      </c>
      <c r="M1175" s="2" t="str">
        <f>VLOOKUP($C1175, 고객정보!$A$2:$E$151, 2, FALSE)</f>
        <v>서울</v>
      </c>
      <c r="N1175" t="str">
        <f>VLOOKUP(C1175,고객정보!$A$2:$D$151,4,FALSE)</f>
        <v>L4</v>
      </c>
      <c r="O1175" t="str">
        <f>VLOOKUP($C1175, 고객정보!$A$2:$E$151, 5, FALSE)</f>
        <v>50대 이상</v>
      </c>
      <c r="P1175" t="str">
        <f>VLOOKUP(D1175,상품정보!$A$2:$E$61,2,FALSE)</f>
        <v>셔츠</v>
      </c>
      <c r="Q1175" t="str">
        <f>VLOOKUP(D1175,상품정보!$A$2:$D$151,3,FALSE)</f>
        <v>의류</v>
      </c>
      <c r="R1175" t="str">
        <f>VLOOKUP(D1175,상품정보!$A$2:$D$151,4,FALSE)</f>
        <v>브랜드D</v>
      </c>
    </row>
    <row r="1176" spans="1:18" x14ac:dyDescent="0.45">
      <c r="A1176" t="s">
        <v>320</v>
      </c>
      <c r="B1176" t="s">
        <v>1575</v>
      </c>
      <c r="C1176" t="s">
        <v>2483</v>
      </c>
      <c r="D1176" t="s">
        <v>2561</v>
      </c>
      <c r="E1176">
        <v>2</v>
      </c>
      <c r="F1176">
        <v>63300</v>
      </c>
      <c r="G1176">
        <v>0</v>
      </c>
      <c r="H1176">
        <v>0</v>
      </c>
      <c r="I1176" t="s">
        <v>2652</v>
      </c>
      <c r="J1176" s="4">
        <f t="shared" si="54"/>
        <v>126600</v>
      </c>
      <c r="K1176" s="4" t="str">
        <f t="shared" si="55"/>
        <v>2025-01</v>
      </c>
      <c r="L1176" s="4" t="str">
        <f t="shared" si="56"/>
        <v>목</v>
      </c>
      <c r="M1176" s="2" t="str">
        <f>VLOOKUP($C1176, 고객정보!$A$2:$E$151, 2, FALSE)</f>
        <v>인천</v>
      </c>
      <c r="N1176" t="str">
        <f>VLOOKUP(C1176,고객정보!$A$2:$D$151,4,FALSE)</f>
        <v>L1</v>
      </c>
      <c r="O1176" t="str">
        <f>VLOOKUP($C1176, 고객정보!$A$2:$E$151, 5, FALSE)</f>
        <v>30대</v>
      </c>
      <c r="P1176" t="str">
        <f>VLOOKUP(D1176,상품정보!$A$2:$E$61,2,FALSE)</f>
        <v>귀걸이</v>
      </c>
      <c r="Q1176" t="str">
        <f>VLOOKUP(D1176,상품정보!$A$2:$D$151,3,FALSE)</f>
        <v>액세서리</v>
      </c>
      <c r="R1176" t="str">
        <f>VLOOKUP(D1176,상품정보!$A$2:$D$151,4,FALSE)</f>
        <v>브랜드B</v>
      </c>
    </row>
    <row r="1177" spans="1:18" x14ac:dyDescent="0.45">
      <c r="A1177" t="s">
        <v>328</v>
      </c>
      <c r="B1177" t="s">
        <v>1576</v>
      </c>
      <c r="C1177" t="s">
        <v>2440</v>
      </c>
      <c r="D1177" t="s">
        <v>2594</v>
      </c>
      <c r="E1177">
        <v>3</v>
      </c>
      <c r="F1177">
        <v>73000</v>
      </c>
      <c r="G1177">
        <v>0</v>
      </c>
      <c r="H1177">
        <v>0</v>
      </c>
      <c r="I1177" t="s">
        <v>2652</v>
      </c>
      <c r="J1177" s="4">
        <f t="shared" si="54"/>
        <v>219000</v>
      </c>
      <c r="K1177" s="4" t="str">
        <f t="shared" si="55"/>
        <v>2025-01</v>
      </c>
      <c r="L1177" s="4" t="str">
        <f t="shared" si="56"/>
        <v>수</v>
      </c>
      <c r="M1177" s="2" t="str">
        <f>VLOOKUP($C1177, 고객정보!$A$2:$E$151, 2, FALSE)</f>
        <v>대구</v>
      </c>
      <c r="N1177" t="str">
        <f>VLOOKUP(C1177,고객정보!$A$2:$D$151,4,FALSE)</f>
        <v>L2</v>
      </c>
      <c r="O1177" t="str">
        <f>VLOOKUP($C1177, 고객정보!$A$2:$E$151, 5, FALSE)</f>
        <v>10대</v>
      </c>
      <c r="P1177" t="str">
        <f>VLOOKUP(D1177,상품정보!$A$2:$E$61,2,FALSE)</f>
        <v>자켓</v>
      </c>
      <c r="Q1177" t="str">
        <f>VLOOKUP(D1177,상품정보!$A$2:$D$151,3,FALSE)</f>
        <v>의류</v>
      </c>
      <c r="R1177" t="str">
        <f>VLOOKUP(D1177,상품정보!$A$2:$D$151,4,FALSE)</f>
        <v>브랜드A</v>
      </c>
    </row>
    <row r="1178" spans="1:18" x14ac:dyDescent="0.45">
      <c r="A1178" t="s">
        <v>9</v>
      </c>
      <c r="B1178" t="s">
        <v>1577</v>
      </c>
      <c r="C1178" t="s">
        <v>2441</v>
      </c>
      <c r="D1178" t="s">
        <v>2555</v>
      </c>
      <c r="E1178">
        <v>1</v>
      </c>
      <c r="F1178">
        <v>8300</v>
      </c>
      <c r="G1178">
        <v>500</v>
      </c>
      <c r="H1178">
        <v>3900</v>
      </c>
      <c r="I1178" t="s">
        <v>2614</v>
      </c>
      <c r="J1178" s="4">
        <f t="shared" si="54"/>
        <v>4900</v>
      </c>
      <c r="K1178" s="4" t="str">
        <f t="shared" si="55"/>
        <v>2024-12</v>
      </c>
      <c r="L1178" s="4" t="str">
        <f t="shared" si="56"/>
        <v>목</v>
      </c>
      <c r="M1178" s="2" t="str">
        <f>VLOOKUP($C1178, 고객정보!$A$2:$E$151, 2, FALSE)</f>
        <v>부산</v>
      </c>
      <c r="N1178" t="str">
        <f>VLOOKUP(C1178,고객정보!$A$2:$D$151,4,FALSE)</f>
        <v>L2</v>
      </c>
      <c r="O1178" t="str">
        <f>VLOOKUP($C1178, 고객정보!$A$2:$E$151, 5, FALSE)</f>
        <v>20대</v>
      </c>
      <c r="P1178" t="str">
        <f>VLOOKUP(D1178,상품정보!$A$2:$E$61,2,FALSE)</f>
        <v>청바지</v>
      </c>
      <c r="Q1178" t="str">
        <f>VLOOKUP(D1178,상품정보!$A$2:$D$151,3,FALSE)</f>
        <v>의류</v>
      </c>
      <c r="R1178" t="str">
        <f>VLOOKUP(D1178,상품정보!$A$2:$D$151,4,FALSE)</f>
        <v>브랜드E</v>
      </c>
    </row>
    <row r="1179" spans="1:18" x14ac:dyDescent="0.45">
      <c r="A1179" t="s">
        <v>209</v>
      </c>
      <c r="B1179" t="s">
        <v>1578</v>
      </c>
      <c r="C1179" t="s">
        <v>2408</v>
      </c>
      <c r="D1179" t="s">
        <v>2601</v>
      </c>
      <c r="E1179">
        <v>2</v>
      </c>
      <c r="F1179">
        <v>17000</v>
      </c>
      <c r="G1179">
        <v>0</v>
      </c>
      <c r="H1179">
        <v>0</v>
      </c>
      <c r="I1179" t="s">
        <v>2652</v>
      </c>
      <c r="J1179" s="4">
        <f t="shared" si="54"/>
        <v>34000</v>
      </c>
      <c r="K1179" s="4" t="str">
        <f t="shared" si="55"/>
        <v>2024-04</v>
      </c>
      <c r="L1179" s="4" t="str">
        <f t="shared" si="56"/>
        <v>목</v>
      </c>
      <c r="M1179" s="2" t="str">
        <f>VLOOKUP($C1179, 고객정보!$A$2:$E$151, 2, FALSE)</f>
        <v>수원</v>
      </c>
      <c r="N1179" t="str">
        <f>VLOOKUP(C1179,고객정보!$A$2:$D$151,4,FALSE)</f>
        <v>L5</v>
      </c>
      <c r="O1179" t="str">
        <f>VLOOKUP($C1179, 고객정보!$A$2:$E$151, 5, FALSE)</f>
        <v>20대</v>
      </c>
      <c r="P1179" t="str">
        <f>VLOOKUP(D1179,상품정보!$A$2:$E$61,2,FALSE)</f>
        <v>자켓</v>
      </c>
      <c r="Q1179" t="str">
        <f>VLOOKUP(D1179,상품정보!$A$2:$D$151,3,FALSE)</f>
        <v>의류</v>
      </c>
      <c r="R1179" t="str">
        <f>VLOOKUP(D1179,상품정보!$A$2:$D$151,4,FALSE)</f>
        <v>브랜드E</v>
      </c>
    </row>
    <row r="1180" spans="1:18" x14ac:dyDescent="0.45">
      <c r="A1180" t="s">
        <v>17</v>
      </c>
      <c r="B1180" t="s">
        <v>1579</v>
      </c>
      <c r="C1180" t="s">
        <v>2412</v>
      </c>
      <c r="D1180" t="s">
        <v>2600</v>
      </c>
      <c r="E1180">
        <v>2</v>
      </c>
      <c r="F1180">
        <v>10900</v>
      </c>
      <c r="G1180">
        <v>1000</v>
      </c>
      <c r="H1180">
        <v>2000</v>
      </c>
      <c r="I1180" t="s">
        <v>2611</v>
      </c>
      <c r="J1180" s="4">
        <f t="shared" si="54"/>
        <v>20800</v>
      </c>
      <c r="K1180" s="4" t="str">
        <f t="shared" si="55"/>
        <v>2024-02</v>
      </c>
      <c r="L1180" s="4" t="str">
        <f t="shared" si="56"/>
        <v>목</v>
      </c>
      <c r="M1180" s="2" t="str">
        <f>VLOOKUP($C1180, 고객정보!$A$2:$E$151, 2, FALSE)</f>
        <v>대전</v>
      </c>
      <c r="N1180" t="str">
        <f>VLOOKUP(C1180,고객정보!$A$2:$D$151,4,FALSE)</f>
        <v>L4</v>
      </c>
      <c r="O1180" t="str">
        <f>VLOOKUP($C1180, 고객정보!$A$2:$E$151, 5, FALSE)</f>
        <v>30대</v>
      </c>
      <c r="P1180" t="str">
        <f>VLOOKUP(D1180,상품정보!$A$2:$E$61,2,FALSE)</f>
        <v>셔츠</v>
      </c>
      <c r="Q1180" t="str">
        <f>VLOOKUP(D1180,상품정보!$A$2:$D$151,3,FALSE)</f>
        <v>의류</v>
      </c>
      <c r="R1180" t="str">
        <f>VLOOKUP(D1180,상품정보!$A$2:$D$151,4,FALSE)</f>
        <v>브랜드E</v>
      </c>
    </row>
    <row r="1181" spans="1:18" x14ac:dyDescent="0.45">
      <c r="A1181" t="s">
        <v>381</v>
      </c>
      <c r="B1181" t="s">
        <v>1580</v>
      </c>
      <c r="C1181" t="s">
        <v>2496</v>
      </c>
      <c r="D1181" t="s">
        <v>2554</v>
      </c>
      <c r="E1181">
        <v>5</v>
      </c>
      <c r="F1181">
        <v>12100</v>
      </c>
      <c r="G1181">
        <v>0</v>
      </c>
      <c r="H1181">
        <v>0</v>
      </c>
      <c r="I1181" t="s">
        <v>2652</v>
      </c>
      <c r="J1181" s="4">
        <f t="shared" si="54"/>
        <v>60500</v>
      </c>
      <c r="K1181" s="4" t="str">
        <f t="shared" si="55"/>
        <v>2024-06</v>
      </c>
      <c r="L1181" s="4" t="str">
        <f t="shared" si="56"/>
        <v>수</v>
      </c>
      <c r="M1181" s="2" t="str">
        <f>VLOOKUP($C1181, 고객정보!$A$2:$E$151, 2, FALSE)</f>
        <v>서울</v>
      </c>
      <c r="N1181" t="str">
        <f>VLOOKUP(C1181,고객정보!$A$2:$D$151,4,FALSE)</f>
        <v>L3</v>
      </c>
      <c r="O1181" t="str">
        <f>VLOOKUP($C1181, 고객정보!$A$2:$E$151, 5, FALSE)</f>
        <v>50대 이상</v>
      </c>
      <c r="P1181" t="str">
        <f>VLOOKUP(D1181,상품정보!$A$2:$E$61,2,FALSE)</f>
        <v>귀걸이</v>
      </c>
      <c r="Q1181" t="str">
        <f>VLOOKUP(D1181,상품정보!$A$2:$D$151,3,FALSE)</f>
        <v>액세서리</v>
      </c>
      <c r="R1181" t="str">
        <f>VLOOKUP(D1181,상품정보!$A$2:$D$151,4,FALSE)</f>
        <v>브랜드D</v>
      </c>
    </row>
    <row r="1182" spans="1:18" x14ac:dyDescent="0.45">
      <c r="A1182" t="s">
        <v>189</v>
      </c>
      <c r="B1182" t="s">
        <v>1581</v>
      </c>
      <c r="C1182" t="s">
        <v>2499</v>
      </c>
      <c r="D1182" t="s">
        <v>2571</v>
      </c>
      <c r="E1182">
        <v>1</v>
      </c>
      <c r="F1182">
        <v>55600</v>
      </c>
      <c r="G1182">
        <v>0</v>
      </c>
      <c r="H1182">
        <v>3700</v>
      </c>
      <c r="I1182" t="s">
        <v>2611</v>
      </c>
      <c r="J1182" s="4">
        <f t="shared" si="54"/>
        <v>51900</v>
      </c>
      <c r="K1182" s="4" t="str">
        <f t="shared" si="55"/>
        <v>2024-06</v>
      </c>
      <c r="L1182" s="4" t="str">
        <f t="shared" si="56"/>
        <v>토</v>
      </c>
      <c r="M1182" s="2" t="str">
        <f>VLOOKUP($C1182, 고객정보!$A$2:$E$151, 2, FALSE)</f>
        <v>서울</v>
      </c>
      <c r="N1182" t="str">
        <f>VLOOKUP(C1182,고객정보!$A$2:$D$151,4,FALSE)</f>
        <v>L2</v>
      </c>
      <c r="O1182" t="str">
        <f>VLOOKUP($C1182, 고객정보!$A$2:$E$151, 5, FALSE)</f>
        <v>40대</v>
      </c>
      <c r="P1182" t="str">
        <f>VLOOKUP(D1182,상품정보!$A$2:$E$61,2,FALSE)</f>
        <v>자켓</v>
      </c>
      <c r="Q1182" t="str">
        <f>VLOOKUP(D1182,상품정보!$A$2:$D$151,3,FALSE)</f>
        <v>의류</v>
      </c>
      <c r="R1182" t="str">
        <f>VLOOKUP(D1182,상품정보!$A$2:$D$151,4,FALSE)</f>
        <v>브랜드B</v>
      </c>
    </row>
    <row r="1183" spans="1:18" x14ac:dyDescent="0.45">
      <c r="A1183" t="s">
        <v>40</v>
      </c>
      <c r="B1183" t="s">
        <v>1582</v>
      </c>
      <c r="C1183" t="s">
        <v>2417</v>
      </c>
      <c r="D1183" t="s">
        <v>2581</v>
      </c>
      <c r="E1183">
        <v>5</v>
      </c>
      <c r="F1183">
        <v>72900</v>
      </c>
      <c r="G1183">
        <v>0</v>
      </c>
      <c r="H1183">
        <v>0</v>
      </c>
      <c r="I1183" t="s">
        <v>2652</v>
      </c>
      <c r="J1183" s="4">
        <f t="shared" si="54"/>
        <v>364500</v>
      </c>
      <c r="K1183" s="4" t="str">
        <f t="shared" si="55"/>
        <v>2024-11</v>
      </c>
      <c r="L1183" s="4" t="str">
        <f t="shared" si="56"/>
        <v>금</v>
      </c>
      <c r="M1183" s="2" t="str">
        <f>VLOOKUP($C1183, 고객정보!$A$2:$E$151, 2, FALSE)</f>
        <v>인천</v>
      </c>
      <c r="N1183" t="str">
        <f>VLOOKUP(C1183,고객정보!$A$2:$D$151,4,FALSE)</f>
        <v>L1</v>
      </c>
      <c r="O1183" t="str">
        <f>VLOOKUP($C1183, 고객정보!$A$2:$E$151, 5, FALSE)</f>
        <v>30대</v>
      </c>
      <c r="P1183" t="str">
        <f>VLOOKUP(D1183,상품정보!$A$2:$E$61,2,FALSE)</f>
        <v>귀걸이</v>
      </c>
      <c r="Q1183" t="str">
        <f>VLOOKUP(D1183,상품정보!$A$2:$D$151,3,FALSE)</f>
        <v>액세서리</v>
      </c>
      <c r="R1183" t="str">
        <f>VLOOKUP(D1183,상품정보!$A$2:$D$151,4,FALSE)</f>
        <v>브랜드F</v>
      </c>
    </row>
    <row r="1184" spans="1:18" x14ac:dyDescent="0.45">
      <c r="A1184" t="s">
        <v>382</v>
      </c>
      <c r="B1184" t="s">
        <v>1583</v>
      </c>
      <c r="C1184" t="s">
        <v>2513</v>
      </c>
      <c r="D1184" t="s">
        <v>2558</v>
      </c>
      <c r="E1184">
        <v>4</v>
      </c>
      <c r="F1184">
        <v>63700</v>
      </c>
      <c r="G1184">
        <v>500</v>
      </c>
      <c r="H1184">
        <v>0</v>
      </c>
      <c r="I1184" t="s">
        <v>2652</v>
      </c>
      <c r="J1184" s="4">
        <f t="shared" si="54"/>
        <v>255300</v>
      </c>
      <c r="K1184" s="4" t="str">
        <f t="shared" si="55"/>
        <v>2024-12</v>
      </c>
      <c r="L1184" s="4" t="str">
        <f t="shared" si="56"/>
        <v>화</v>
      </c>
      <c r="M1184" s="2" t="str">
        <f>VLOOKUP($C1184, 고객정보!$A$2:$E$151, 2, FALSE)</f>
        <v>수원</v>
      </c>
      <c r="N1184" t="str">
        <f>VLOOKUP(C1184,고객정보!$A$2:$D$151,4,FALSE)</f>
        <v>L5</v>
      </c>
      <c r="O1184" t="str">
        <f>VLOOKUP($C1184, 고객정보!$A$2:$E$151, 5, FALSE)</f>
        <v>20대</v>
      </c>
      <c r="P1184" t="str">
        <f>VLOOKUP(D1184,상품정보!$A$2:$E$61,2,FALSE)</f>
        <v>셔츠</v>
      </c>
      <c r="Q1184" t="str">
        <f>VLOOKUP(D1184,상품정보!$A$2:$D$151,3,FALSE)</f>
        <v>의류</v>
      </c>
      <c r="R1184" t="str">
        <f>VLOOKUP(D1184,상품정보!$A$2:$D$151,4,FALSE)</f>
        <v>브랜드A</v>
      </c>
    </row>
    <row r="1185" spans="1:18" x14ac:dyDescent="0.45">
      <c r="A1185" t="s">
        <v>18</v>
      </c>
      <c r="B1185" t="s">
        <v>1584</v>
      </c>
      <c r="C1185" t="s">
        <v>2525</v>
      </c>
      <c r="D1185" t="s">
        <v>2558</v>
      </c>
      <c r="E1185">
        <v>4</v>
      </c>
      <c r="F1185">
        <v>63700</v>
      </c>
      <c r="G1185">
        <v>0</v>
      </c>
      <c r="H1185">
        <v>1900</v>
      </c>
      <c r="I1185" t="s">
        <v>2614</v>
      </c>
      <c r="J1185" s="4">
        <f t="shared" si="54"/>
        <v>252900</v>
      </c>
      <c r="K1185" s="4" t="str">
        <f t="shared" si="55"/>
        <v>2024-07</v>
      </c>
      <c r="L1185" s="4" t="str">
        <f t="shared" si="56"/>
        <v>화</v>
      </c>
      <c r="M1185" s="2" t="str">
        <f>VLOOKUP($C1185, 고객정보!$A$2:$E$151, 2, FALSE)</f>
        <v>수원</v>
      </c>
      <c r="N1185" t="str">
        <f>VLOOKUP(C1185,고객정보!$A$2:$D$151,4,FALSE)</f>
        <v>L4</v>
      </c>
      <c r="O1185" t="str">
        <f>VLOOKUP($C1185, 고객정보!$A$2:$E$151, 5, FALSE)</f>
        <v>20대</v>
      </c>
      <c r="P1185" t="str">
        <f>VLOOKUP(D1185,상품정보!$A$2:$E$61,2,FALSE)</f>
        <v>셔츠</v>
      </c>
      <c r="Q1185" t="str">
        <f>VLOOKUP(D1185,상품정보!$A$2:$D$151,3,FALSE)</f>
        <v>의류</v>
      </c>
      <c r="R1185" t="str">
        <f>VLOOKUP(D1185,상품정보!$A$2:$D$151,4,FALSE)</f>
        <v>브랜드A</v>
      </c>
    </row>
    <row r="1186" spans="1:18" x14ac:dyDescent="0.45">
      <c r="A1186" t="s">
        <v>285</v>
      </c>
      <c r="B1186" t="s">
        <v>1585</v>
      </c>
      <c r="C1186" t="s">
        <v>2464</v>
      </c>
      <c r="D1186" t="s">
        <v>2566</v>
      </c>
      <c r="E1186">
        <v>4</v>
      </c>
      <c r="F1186">
        <v>60600</v>
      </c>
      <c r="G1186">
        <v>0</v>
      </c>
      <c r="H1186">
        <v>0</v>
      </c>
      <c r="I1186" t="s">
        <v>2652</v>
      </c>
      <c r="J1186" s="4">
        <f t="shared" si="54"/>
        <v>242400</v>
      </c>
      <c r="K1186" s="4" t="str">
        <f t="shared" si="55"/>
        <v>2024-01</v>
      </c>
      <c r="L1186" s="4" t="str">
        <f t="shared" si="56"/>
        <v>수</v>
      </c>
      <c r="M1186" s="2" t="str">
        <f>VLOOKUP($C1186, 고객정보!$A$2:$E$151, 2, FALSE)</f>
        <v>대구</v>
      </c>
      <c r="N1186" t="str">
        <f>VLOOKUP(C1186,고객정보!$A$2:$D$151,4,FALSE)</f>
        <v>L1</v>
      </c>
      <c r="O1186" t="str">
        <f>VLOOKUP($C1186, 고객정보!$A$2:$E$151, 5, FALSE)</f>
        <v>20대</v>
      </c>
      <c r="P1186" t="str">
        <f>VLOOKUP(D1186,상품정보!$A$2:$E$61,2,FALSE)</f>
        <v>반팔 티셔츠</v>
      </c>
      <c r="Q1186" t="str">
        <f>VLOOKUP(D1186,상품정보!$A$2:$D$151,3,FALSE)</f>
        <v>의류</v>
      </c>
      <c r="R1186" t="str">
        <f>VLOOKUP(D1186,상품정보!$A$2:$D$151,4,FALSE)</f>
        <v>브랜드A</v>
      </c>
    </row>
    <row r="1187" spans="1:18" x14ac:dyDescent="0.45">
      <c r="A1187" t="s">
        <v>167</v>
      </c>
      <c r="B1187" t="s">
        <v>1586</v>
      </c>
      <c r="C1187" t="s">
        <v>2451</v>
      </c>
      <c r="D1187" t="s">
        <v>2607</v>
      </c>
      <c r="E1187">
        <v>2</v>
      </c>
      <c r="F1187">
        <v>16000</v>
      </c>
      <c r="G1187">
        <v>0</v>
      </c>
      <c r="H1187">
        <v>5600</v>
      </c>
      <c r="I1187" t="s">
        <v>2611</v>
      </c>
      <c r="J1187" s="4">
        <f t="shared" si="54"/>
        <v>26400</v>
      </c>
      <c r="K1187" s="4" t="str">
        <f t="shared" si="55"/>
        <v>2024-04</v>
      </c>
      <c r="L1187" s="4" t="str">
        <f t="shared" si="56"/>
        <v>목</v>
      </c>
      <c r="M1187" s="2" t="str">
        <f>VLOOKUP($C1187, 고객정보!$A$2:$E$151, 2, FALSE)</f>
        <v>서울</v>
      </c>
      <c r="N1187" t="str">
        <f>VLOOKUP(C1187,고객정보!$A$2:$D$151,4,FALSE)</f>
        <v>L1</v>
      </c>
      <c r="O1187" t="str">
        <f>VLOOKUP($C1187, 고객정보!$A$2:$E$151, 5, FALSE)</f>
        <v>30대</v>
      </c>
      <c r="P1187" t="str">
        <f>VLOOKUP(D1187,상품정보!$A$2:$E$61,2,FALSE)</f>
        <v>목걸이</v>
      </c>
      <c r="Q1187" t="str">
        <f>VLOOKUP(D1187,상품정보!$A$2:$D$151,3,FALSE)</f>
        <v>액세서리</v>
      </c>
      <c r="R1187" t="str">
        <f>VLOOKUP(D1187,상품정보!$A$2:$D$151,4,FALSE)</f>
        <v>브랜드E</v>
      </c>
    </row>
    <row r="1188" spans="1:18" x14ac:dyDescent="0.45">
      <c r="A1188" t="s">
        <v>265</v>
      </c>
      <c r="B1188" t="s">
        <v>1587</v>
      </c>
      <c r="C1188" t="s">
        <v>2520</v>
      </c>
      <c r="D1188" t="s">
        <v>2589</v>
      </c>
      <c r="E1188">
        <v>5</v>
      </c>
      <c r="F1188">
        <v>71400</v>
      </c>
      <c r="G1188">
        <v>500</v>
      </c>
      <c r="H1188">
        <v>0</v>
      </c>
      <c r="I1188" t="s">
        <v>2652</v>
      </c>
      <c r="J1188" s="4">
        <f t="shared" si="54"/>
        <v>357500</v>
      </c>
      <c r="K1188" s="4" t="str">
        <f t="shared" si="55"/>
        <v>2024-03</v>
      </c>
      <c r="L1188" s="4" t="str">
        <f t="shared" si="56"/>
        <v>수</v>
      </c>
      <c r="M1188" s="2" t="str">
        <f>VLOOKUP($C1188, 고객정보!$A$2:$E$151, 2, FALSE)</f>
        <v>서울</v>
      </c>
      <c r="N1188" t="str">
        <f>VLOOKUP(C1188,고객정보!$A$2:$D$151,4,FALSE)</f>
        <v>L2</v>
      </c>
      <c r="O1188" t="str">
        <f>VLOOKUP($C1188, 고객정보!$A$2:$E$151, 5, FALSE)</f>
        <v>40대</v>
      </c>
      <c r="P1188" t="str">
        <f>VLOOKUP(D1188,상품정보!$A$2:$E$61,2,FALSE)</f>
        <v>셔츠</v>
      </c>
      <c r="Q1188" t="str">
        <f>VLOOKUP(D1188,상품정보!$A$2:$D$151,3,FALSE)</f>
        <v>의류</v>
      </c>
      <c r="R1188" t="str">
        <f>VLOOKUP(D1188,상품정보!$A$2:$D$151,4,FALSE)</f>
        <v>브랜드A</v>
      </c>
    </row>
    <row r="1189" spans="1:18" x14ac:dyDescent="0.45">
      <c r="A1189" t="s">
        <v>277</v>
      </c>
      <c r="B1189" t="s">
        <v>1588</v>
      </c>
      <c r="C1189" t="s">
        <v>2487</v>
      </c>
      <c r="D1189" t="s">
        <v>2599</v>
      </c>
      <c r="E1189">
        <v>1</v>
      </c>
      <c r="F1189">
        <v>73800</v>
      </c>
      <c r="G1189">
        <v>500</v>
      </c>
      <c r="H1189">
        <v>0</v>
      </c>
      <c r="I1189" t="s">
        <v>2652</v>
      </c>
      <c r="J1189" s="4">
        <f t="shared" si="54"/>
        <v>74300</v>
      </c>
      <c r="K1189" s="4" t="str">
        <f t="shared" si="55"/>
        <v>2024-07</v>
      </c>
      <c r="L1189" s="4" t="str">
        <f t="shared" si="56"/>
        <v>목</v>
      </c>
      <c r="M1189" s="2" t="str">
        <f>VLOOKUP($C1189, 고객정보!$A$2:$E$151, 2, FALSE)</f>
        <v>서울</v>
      </c>
      <c r="N1189" t="str">
        <f>VLOOKUP(C1189,고객정보!$A$2:$D$151,4,FALSE)</f>
        <v>L1</v>
      </c>
      <c r="O1189" t="str">
        <f>VLOOKUP($C1189, 고객정보!$A$2:$E$151, 5, FALSE)</f>
        <v>10대</v>
      </c>
      <c r="P1189" t="str">
        <f>VLOOKUP(D1189,상품정보!$A$2:$E$61,2,FALSE)</f>
        <v>핸드폰케이스</v>
      </c>
      <c r="Q1189" t="str">
        <f>VLOOKUP(D1189,상품정보!$A$2:$D$151,3,FALSE)</f>
        <v>액세서리</v>
      </c>
      <c r="R1189" t="str">
        <f>VLOOKUP(D1189,상품정보!$A$2:$D$151,4,FALSE)</f>
        <v>브랜드F</v>
      </c>
    </row>
    <row r="1190" spans="1:18" x14ac:dyDescent="0.45">
      <c r="A1190" t="s">
        <v>374</v>
      </c>
      <c r="B1190" t="s">
        <v>1589</v>
      </c>
      <c r="C1190" t="s">
        <v>2505</v>
      </c>
      <c r="D1190" t="s">
        <v>2587</v>
      </c>
      <c r="E1190">
        <v>5</v>
      </c>
      <c r="F1190">
        <v>50200</v>
      </c>
      <c r="G1190">
        <v>1000</v>
      </c>
      <c r="H1190">
        <v>0</v>
      </c>
      <c r="I1190" t="s">
        <v>2652</v>
      </c>
      <c r="J1190" s="4">
        <f t="shared" si="54"/>
        <v>252000</v>
      </c>
      <c r="K1190" s="4" t="str">
        <f t="shared" si="55"/>
        <v>2024-11</v>
      </c>
      <c r="L1190" s="4" t="str">
        <f t="shared" si="56"/>
        <v>금</v>
      </c>
      <c r="M1190" s="2" t="str">
        <f>VLOOKUP($C1190, 고객정보!$A$2:$E$151, 2, FALSE)</f>
        <v>대구</v>
      </c>
      <c r="N1190" t="str">
        <f>VLOOKUP(C1190,고객정보!$A$2:$D$151,4,FALSE)</f>
        <v>L4</v>
      </c>
      <c r="O1190" t="str">
        <f>VLOOKUP($C1190, 고객정보!$A$2:$E$151, 5, FALSE)</f>
        <v>40대</v>
      </c>
      <c r="P1190" t="str">
        <f>VLOOKUP(D1190,상품정보!$A$2:$E$61,2,FALSE)</f>
        <v>반지</v>
      </c>
      <c r="Q1190" t="str">
        <f>VLOOKUP(D1190,상품정보!$A$2:$D$151,3,FALSE)</f>
        <v>액세서리</v>
      </c>
      <c r="R1190" t="str">
        <f>VLOOKUP(D1190,상품정보!$A$2:$D$151,4,FALSE)</f>
        <v>브랜드B</v>
      </c>
    </row>
    <row r="1191" spans="1:18" x14ac:dyDescent="0.45">
      <c r="A1191" t="s">
        <v>159</v>
      </c>
      <c r="B1191" t="s">
        <v>1590</v>
      </c>
      <c r="C1191" t="s">
        <v>2431</v>
      </c>
      <c r="D1191" t="s">
        <v>2560</v>
      </c>
      <c r="E1191">
        <v>1</v>
      </c>
      <c r="F1191">
        <v>60600</v>
      </c>
      <c r="G1191">
        <v>0</v>
      </c>
      <c r="H1191">
        <v>2800</v>
      </c>
      <c r="I1191" t="s">
        <v>2612</v>
      </c>
      <c r="J1191" s="4">
        <f t="shared" si="54"/>
        <v>57800</v>
      </c>
      <c r="K1191" s="4" t="str">
        <f t="shared" si="55"/>
        <v>2024-12</v>
      </c>
      <c r="L1191" s="4" t="str">
        <f t="shared" si="56"/>
        <v>수</v>
      </c>
      <c r="M1191" s="2" t="str">
        <f>VLOOKUP($C1191, 고객정보!$A$2:$E$151, 2, FALSE)</f>
        <v>광주</v>
      </c>
      <c r="N1191" t="str">
        <f>VLOOKUP(C1191,고객정보!$A$2:$D$151,4,FALSE)</f>
        <v>L3</v>
      </c>
      <c r="O1191" t="str">
        <f>VLOOKUP($C1191, 고객정보!$A$2:$E$151, 5, FALSE)</f>
        <v>40대</v>
      </c>
      <c r="P1191" t="str">
        <f>VLOOKUP(D1191,상품정보!$A$2:$E$61,2,FALSE)</f>
        <v>반팔 티셔츠</v>
      </c>
      <c r="Q1191" t="str">
        <f>VLOOKUP(D1191,상품정보!$A$2:$D$151,3,FALSE)</f>
        <v>의류</v>
      </c>
      <c r="R1191" t="str">
        <f>VLOOKUP(D1191,상품정보!$A$2:$D$151,4,FALSE)</f>
        <v>브랜드F</v>
      </c>
    </row>
    <row r="1192" spans="1:18" x14ac:dyDescent="0.45">
      <c r="A1192" t="s">
        <v>286</v>
      </c>
      <c r="B1192" t="s">
        <v>1591</v>
      </c>
      <c r="C1192" t="s">
        <v>2438</v>
      </c>
      <c r="D1192" t="s">
        <v>2593</v>
      </c>
      <c r="E1192">
        <v>1</v>
      </c>
      <c r="F1192">
        <v>74600</v>
      </c>
      <c r="G1192">
        <v>0</v>
      </c>
      <c r="H1192">
        <v>0</v>
      </c>
      <c r="I1192" t="s">
        <v>2652</v>
      </c>
      <c r="J1192" s="4">
        <f t="shared" si="54"/>
        <v>74600</v>
      </c>
      <c r="K1192" s="4" t="str">
        <f t="shared" si="55"/>
        <v>2024-01</v>
      </c>
      <c r="L1192" s="4" t="str">
        <f t="shared" si="56"/>
        <v>목</v>
      </c>
      <c r="M1192" s="2" t="str">
        <f>VLOOKUP($C1192, 고객정보!$A$2:$E$151, 2, FALSE)</f>
        <v>대구</v>
      </c>
      <c r="N1192" t="str">
        <f>VLOOKUP(C1192,고객정보!$A$2:$D$151,4,FALSE)</f>
        <v>L4</v>
      </c>
      <c r="O1192" t="str">
        <f>VLOOKUP($C1192, 고객정보!$A$2:$E$151, 5, FALSE)</f>
        <v>30대</v>
      </c>
      <c r="P1192" t="str">
        <f>VLOOKUP(D1192,상품정보!$A$2:$E$61,2,FALSE)</f>
        <v>반팔 티셔츠</v>
      </c>
      <c r="Q1192" t="str">
        <f>VLOOKUP(D1192,상품정보!$A$2:$D$151,3,FALSE)</f>
        <v>의류</v>
      </c>
      <c r="R1192" t="str">
        <f>VLOOKUP(D1192,상품정보!$A$2:$D$151,4,FALSE)</f>
        <v>브랜드B</v>
      </c>
    </row>
    <row r="1193" spans="1:18" x14ac:dyDescent="0.45">
      <c r="A1193" t="s">
        <v>29</v>
      </c>
      <c r="B1193" t="s">
        <v>1592</v>
      </c>
      <c r="C1193" t="s">
        <v>2504</v>
      </c>
      <c r="D1193" t="s">
        <v>2592</v>
      </c>
      <c r="E1193">
        <v>4</v>
      </c>
      <c r="F1193">
        <v>72700</v>
      </c>
      <c r="G1193">
        <v>500</v>
      </c>
      <c r="H1193">
        <v>0</v>
      </c>
      <c r="I1193" t="s">
        <v>2652</v>
      </c>
      <c r="J1193" s="4">
        <f t="shared" si="54"/>
        <v>291300</v>
      </c>
      <c r="K1193" s="4" t="str">
        <f t="shared" si="55"/>
        <v>2024-07</v>
      </c>
      <c r="L1193" s="4" t="str">
        <f t="shared" si="56"/>
        <v>토</v>
      </c>
      <c r="M1193" s="2" t="str">
        <f>VLOOKUP($C1193, 고객정보!$A$2:$E$151, 2, FALSE)</f>
        <v>서울</v>
      </c>
      <c r="N1193" t="str">
        <f>VLOOKUP(C1193,고객정보!$A$2:$D$151,4,FALSE)</f>
        <v>L1</v>
      </c>
      <c r="O1193" t="str">
        <f>VLOOKUP($C1193, 고객정보!$A$2:$E$151, 5, FALSE)</f>
        <v>40대</v>
      </c>
      <c r="P1193" t="str">
        <f>VLOOKUP(D1193,상품정보!$A$2:$E$61,2,FALSE)</f>
        <v>귀걸이</v>
      </c>
      <c r="Q1193" t="str">
        <f>VLOOKUP(D1193,상품정보!$A$2:$D$151,3,FALSE)</f>
        <v>액세서리</v>
      </c>
      <c r="R1193" t="str">
        <f>VLOOKUP(D1193,상품정보!$A$2:$D$151,4,FALSE)</f>
        <v>브랜드A</v>
      </c>
    </row>
    <row r="1194" spans="1:18" x14ac:dyDescent="0.45">
      <c r="A1194" t="s">
        <v>153</v>
      </c>
      <c r="B1194" t="s">
        <v>1593</v>
      </c>
      <c r="C1194" t="s">
        <v>2487</v>
      </c>
      <c r="D1194" t="s">
        <v>2562</v>
      </c>
      <c r="E1194">
        <v>3</v>
      </c>
      <c r="F1194">
        <v>15600</v>
      </c>
      <c r="G1194">
        <v>1000</v>
      </c>
      <c r="H1194">
        <v>0</v>
      </c>
      <c r="I1194" t="s">
        <v>2652</v>
      </c>
      <c r="J1194" s="4">
        <f t="shared" si="54"/>
        <v>47800</v>
      </c>
      <c r="K1194" s="4" t="str">
        <f t="shared" si="55"/>
        <v>2024-08</v>
      </c>
      <c r="L1194" s="4" t="str">
        <f t="shared" si="56"/>
        <v>금</v>
      </c>
      <c r="M1194" s="2" t="str">
        <f>VLOOKUP($C1194, 고객정보!$A$2:$E$151, 2, FALSE)</f>
        <v>서울</v>
      </c>
      <c r="N1194" t="str">
        <f>VLOOKUP(C1194,고객정보!$A$2:$D$151,4,FALSE)</f>
        <v>L1</v>
      </c>
      <c r="O1194" t="str">
        <f>VLOOKUP($C1194, 고객정보!$A$2:$E$151, 5, FALSE)</f>
        <v>10대</v>
      </c>
      <c r="P1194" t="str">
        <f>VLOOKUP(D1194,상품정보!$A$2:$E$61,2,FALSE)</f>
        <v>반팔 티셔츠</v>
      </c>
      <c r="Q1194" t="str">
        <f>VLOOKUP(D1194,상품정보!$A$2:$D$151,3,FALSE)</f>
        <v>의류</v>
      </c>
      <c r="R1194" t="str">
        <f>VLOOKUP(D1194,상품정보!$A$2:$D$151,4,FALSE)</f>
        <v>브랜드E</v>
      </c>
    </row>
    <row r="1195" spans="1:18" x14ac:dyDescent="0.45">
      <c r="A1195" t="s">
        <v>383</v>
      </c>
      <c r="B1195" t="s">
        <v>1594</v>
      </c>
      <c r="C1195" t="s">
        <v>2477</v>
      </c>
      <c r="D1195" t="s">
        <v>2572</v>
      </c>
      <c r="E1195">
        <v>1</v>
      </c>
      <c r="F1195">
        <v>61700</v>
      </c>
      <c r="G1195">
        <v>500</v>
      </c>
      <c r="H1195">
        <v>0</v>
      </c>
      <c r="I1195" t="s">
        <v>2652</v>
      </c>
      <c r="J1195" s="4">
        <f t="shared" si="54"/>
        <v>62200</v>
      </c>
      <c r="K1195" s="4" t="str">
        <f t="shared" si="55"/>
        <v>2024-06</v>
      </c>
      <c r="L1195" s="4" t="str">
        <f t="shared" si="56"/>
        <v>월</v>
      </c>
      <c r="M1195" s="2" t="str">
        <f>VLOOKUP($C1195, 고객정보!$A$2:$E$151, 2, FALSE)</f>
        <v>부산</v>
      </c>
      <c r="N1195" t="str">
        <f>VLOOKUP(C1195,고객정보!$A$2:$D$151,4,FALSE)</f>
        <v>L4</v>
      </c>
      <c r="O1195" t="str">
        <f>VLOOKUP($C1195, 고객정보!$A$2:$E$151, 5, FALSE)</f>
        <v>20대</v>
      </c>
      <c r="P1195" t="str">
        <f>VLOOKUP(D1195,상품정보!$A$2:$E$61,2,FALSE)</f>
        <v>반팔 티셔츠</v>
      </c>
      <c r="Q1195" t="str">
        <f>VLOOKUP(D1195,상품정보!$A$2:$D$151,3,FALSE)</f>
        <v>의류</v>
      </c>
      <c r="R1195" t="str">
        <f>VLOOKUP(D1195,상품정보!$A$2:$D$151,4,FALSE)</f>
        <v>브랜드F</v>
      </c>
    </row>
    <row r="1196" spans="1:18" x14ac:dyDescent="0.45">
      <c r="A1196" t="s">
        <v>112</v>
      </c>
      <c r="B1196" t="s">
        <v>1595</v>
      </c>
      <c r="C1196" t="s">
        <v>2537</v>
      </c>
      <c r="D1196" t="s">
        <v>2567</v>
      </c>
      <c r="E1196">
        <v>1</v>
      </c>
      <c r="F1196">
        <v>58600</v>
      </c>
      <c r="G1196">
        <v>1000</v>
      </c>
      <c r="H1196">
        <v>0</v>
      </c>
      <c r="I1196" t="s">
        <v>2652</v>
      </c>
      <c r="J1196" s="4">
        <f t="shared" si="54"/>
        <v>59600</v>
      </c>
      <c r="K1196" s="4" t="str">
        <f t="shared" si="55"/>
        <v>2024-12</v>
      </c>
      <c r="L1196" s="4" t="str">
        <f t="shared" si="56"/>
        <v>목</v>
      </c>
      <c r="M1196" s="2" t="str">
        <f>VLOOKUP($C1196, 고객정보!$A$2:$E$151, 2, FALSE)</f>
        <v>광주</v>
      </c>
      <c r="N1196" t="str">
        <f>VLOOKUP(C1196,고객정보!$A$2:$D$151,4,FALSE)</f>
        <v>L2</v>
      </c>
      <c r="O1196" t="str">
        <f>VLOOKUP($C1196, 고객정보!$A$2:$E$151, 5, FALSE)</f>
        <v>40대</v>
      </c>
      <c r="P1196" t="str">
        <f>VLOOKUP(D1196,상품정보!$A$2:$E$61,2,FALSE)</f>
        <v>귀걸이</v>
      </c>
      <c r="Q1196" t="str">
        <f>VLOOKUP(D1196,상품정보!$A$2:$D$151,3,FALSE)</f>
        <v>액세서리</v>
      </c>
      <c r="R1196" t="str">
        <f>VLOOKUP(D1196,상품정보!$A$2:$D$151,4,FALSE)</f>
        <v>브랜드B</v>
      </c>
    </row>
    <row r="1197" spans="1:18" x14ac:dyDescent="0.45">
      <c r="A1197" t="s">
        <v>117</v>
      </c>
      <c r="B1197" t="s">
        <v>1596</v>
      </c>
      <c r="C1197" t="s">
        <v>2468</v>
      </c>
      <c r="D1197" t="s">
        <v>2565</v>
      </c>
      <c r="E1197">
        <v>5</v>
      </c>
      <c r="F1197">
        <v>50000</v>
      </c>
      <c r="G1197">
        <v>0</v>
      </c>
      <c r="H1197">
        <v>5000</v>
      </c>
      <c r="I1197" t="s">
        <v>2613</v>
      </c>
      <c r="J1197" s="4">
        <f t="shared" si="54"/>
        <v>245000</v>
      </c>
      <c r="K1197" s="4" t="str">
        <f t="shared" si="55"/>
        <v>2024-11</v>
      </c>
      <c r="L1197" s="4" t="str">
        <f t="shared" si="56"/>
        <v>수</v>
      </c>
      <c r="M1197" s="2" t="str">
        <f>VLOOKUP($C1197, 고객정보!$A$2:$E$151, 2, FALSE)</f>
        <v>부산</v>
      </c>
      <c r="N1197" t="str">
        <f>VLOOKUP(C1197,고객정보!$A$2:$D$151,4,FALSE)</f>
        <v>L5</v>
      </c>
      <c r="O1197" t="str">
        <f>VLOOKUP($C1197, 고객정보!$A$2:$E$151, 5, FALSE)</f>
        <v>20대</v>
      </c>
      <c r="P1197" t="str">
        <f>VLOOKUP(D1197,상품정보!$A$2:$E$61,2,FALSE)</f>
        <v>핸드폰케이스</v>
      </c>
      <c r="Q1197" t="str">
        <f>VLOOKUP(D1197,상품정보!$A$2:$D$151,3,FALSE)</f>
        <v>액세서리</v>
      </c>
      <c r="R1197" t="str">
        <f>VLOOKUP(D1197,상품정보!$A$2:$D$151,4,FALSE)</f>
        <v>브랜드B</v>
      </c>
    </row>
    <row r="1198" spans="1:18" x14ac:dyDescent="0.45">
      <c r="A1198" t="s">
        <v>325</v>
      </c>
      <c r="B1198" t="s">
        <v>1597</v>
      </c>
      <c r="C1198" t="s">
        <v>2430</v>
      </c>
      <c r="D1198" t="s">
        <v>2592</v>
      </c>
      <c r="E1198">
        <v>1</v>
      </c>
      <c r="F1198">
        <v>72700</v>
      </c>
      <c r="G1198">
        <v>500</v>
      </c>
      <c r="H1198">
        <v>300</v>
      </c>
      <c r="I1198" t="s">
        <v>2613</v>
      </c>
      <c r="J1198" s="4">
        <f t="shared" si="54"/>
        <v>72900</v>
      </c>
      <c r="K1198" s="4" t="str">
        <f t="shared" si="55"/>
        <v>2024-09</v>
      </c>
      <c r="L1198" s="4" t="str">
        <f t="shared" si="56"/>
        <v>수</v>
      </c>
      <c r="M1198" s="2" t="str">
        <f>VLOOKUP($C1198, 고객정보!$A$2:$E$151, 2, FALSE)</f>
        <v>광주</v>
      </c>
      <c r="N1198" t="str">
        <f>VLOOKUP(C1198,고객정보!$A$2:$D$151,4,FALSE)</f>
        <v>L4</v>
      </c>
      <c r="O1198" t="str">
        <f>VLOOKUP($C1198, 고객정보!$A$2:$E$151, 5, FALSE)</f>
        <v>30대</v>
      </c>
      <c r="P1198" t="str">
        <f>VLOOKUP(D1198,상품정보!$A$2:$E$61,2,FALSE)</f>
        <v>귀걸이</v>
      </c>
      <c r="Q1198" t="str">
        <f>VLOOKUP(D1198,상품정보!$A$2:$D$151,3,FALSE)</f>
        <v>액세서리</v>
      </c>
      <c r="R1198" t="str">
        <f>VLOOKUP(D1198,상품정보!$A$2:$D$151,4,FALSE)</f>
        <v>브랜드A</v>
      </c>
    </row>
    <row r="1199" spans="1:18" x14ac:dyDescent="0.45">
      <c r="A1199" t="s">
        <v>307</v>
      </c>
      <c r="B1199" t="s">
        <v>1598</v>
      </c>
      <c r="C1199" t="s">
        <v>2449</v>
      </c>
      <c r="D1199" t="s">
        <v>2595</v>
      </c>
      <c r="E1199">
        <v>1</v>
      </c>
      <c r="F1199">
        <v>12700</v>
      </c>
      <c r="G1199">
        <v>1000</v>
      </c>
      <c r="H1199">
        <v>2200</v>
      </c>
      <c r="I1199" t="s">
        <v>2613</v>
      </c>
      <c r="J1199" s="4">
        <f t="shared" si="54"/>
        <v>11500</v>
      </c>
      <c r="K1199" s="4" t="str">
        <f t="shared" si="55"/>
        <v>2024-02</v>
      </c>
      <c r="L1199" s="4" t="str">
        <f t="shared" si="56"/>
        <v>토</v>
      </c>
      <c r="M1199" s="2" t="str">
        <f>VLOOKUP($C1199, 고객정보!$A$2:$E$151, 2, FALSE)</f>
        <v>대구</v>
      </c>
      <c r="N1199" t="str">
        <f>VLOOKUP(C1199,고객정보!$A$2:$D$151,4,FALSE)</f>
        <v>L5</v>
      </c>
      <c r="O1199" t="str">
        <f>VLOOKUP($C1199, 고객정보!$A$2:$E$151, 5, FALSE)</f>
        <v>40대</v>
      </c>
      <c r="P1199" t="str">
        <f>VLOOKUP(D1199,상품정보!$A$2:$E$61,2,FALSE)</f>
        <v>반지</v>
      </c>
      <c r="Q1199" t="str">
        <f>VLOOKUP(D1199,상품정보!$A$2:$D$151,3,FALSE)</f>
        <v>액세서리</v>
      </c>
      <c r="R1199" t="str">
        <f>VLOOKUP(D1199,상품정보!$A$2:$D$151,4,FALSE)</f>
        <v>브랜드C</v>
      </c>
    </row>
    <row r="1200" spans="1:18" x14ac:dyDescent="0.45">
      <c r="A1200" t="s">
        <v>348</v>
      </c>
      <c r="B1200" t="s">
        <v>1599</v>
      </c>
      <c r="C1200" t="s">
        <v>2530</v>
      </c>
      <c r="D1200" t="s">
        <v>2555</v>
      </c>
      <c r="E1200">
        <v>5</v>
      </c>
      <c r="F1200">
        <v>8300</v>
      </c>
      <c r="G1200">
        <v>500</v>
      </c>
      <c r="H1200">
        <v>2700</v>
      </c>
      <c r="I1200" t="s">
        <v>2612</v>
      </c>
      <c r="J1200" s="4">
        <f t="shared" si="54"/>
        <v>39300</v>
      </c>
      <c r="K1200" s="4" t="str">
        <f t="shared" si="55"/>
        <v>2024-04</v>
      </c>
      <c r="L1200" s="4" t="str">
        <f t="shared" si="56"/>
        <v>금</v>
      </c>
      <c r="M1200" s="2" t="str">
        <f>VLOOKUP($C1200, 고객정보!$A$2:$E$151, 2, FALSE)</f>
        <v>대전</v>
      </c>
      <c r="N1200" t="str">
        <f>VLOOKUP(C1200,고객정보!$A$2:$D$151,4,FALSE)</f>
        <v>L2</v>
      </c>
      <c r="O1200" t="str">
        <f>VLOOKUP($C1200, 고객정보!$A$2:$E$151, 5, FALSE)</f>
        <v>20대</v>
      </c>
      <c r="P1200" t="str">
        <f>VLOOKUP(D1200,상품정보!$A$2:$E$61,2,FALSE)</f>
        <v>청바지</v>
      </c>
      <c r="Q1200" t="str">
        <f>VLOOKUP(D1200,상품정보!$A$2:$D$151,3,FALSE)</f>
        <v>의류</v>
      </c>
      <c r="R1200" t="str">
        <f>VLOOKUP(D1200,상품정보!$A$2:$D$151,4,FALSE)</f>
        <v>브랜드E</v>
      </c>
    </row>
    <row r="1201" spans="1:18" x14ac:dyDescent="0.45">
      <c r="A1201" t="s">
        <v>293</v>
      </c>
      <c r="B1201" t="s">
        <v>1600</v>
      </c>
      <c r="C1201" t="s">
        <v>2428</v>
      </c>
      <c r="D1201" t="s">
        <v>2569</v>
      </c>
      <c r="E1201">
        <v>5</v>
      </c>
      <c r="F1201">
        <v>11400</v>
      </c>
      <c r="G1201">
        <v>0</v>
      </c>
      <c r="H1201">
        <v>0</v>
      </c>
      <c r="I1201" t="s">
        <v>2652</v>
      </c>
      <c r="J1201" s="4">
        <f t="shared" si="54"/>
        <v>57000</v>
      </c>
      <c r="K1201" s="4" t="str">
        <f t="shared" si="55"/>
        <v>2024-04</v>
      </c>
      <c r="L1201" s="4" t="str">
        <f t="shared" si="56"/>
        <v>토</v>
      </c>
      <c r="M1201" s="2" t="str">
        <f>VLOOKUP($C1201, 고객정보!$A$2:$E$151, 2, FALSE)</f>
        <v>광주</v>
      </c>
      <c r="N1201" t="str">
        <f>VLOOKUP(C1201,고객정보!$A$2:$D$151,4,FALSE)</f>
        <v>L4</v>
      </c>
      <c r="O1201" t="str">
        <f>VLOOKUP($C1201, 고객정보!$A$2:$E$151, 5, FALSE)</f>
        <v>10대</v>
      </c>
      <c r="P1201" t="str">
        <f>VLOOKUP(D1201,상품정보!$A$2:$E$61,2,FALSE)</f>
        <v>귀걸이</v>
      </c>
      <c r="Q1201" t="str">
        <f>VLOOKUP(D1201,상품정보!$A$2:$D$151,3,FALSE)</f>
        <v>액세서리</v>
      </c>
      <c r="R1201" t="str">
        <f>VLOOKUP(D1201,상품정보!$A$2:$D$151,4,FALSE)</f>
        <v>브랜드E</v>
      </c>
    </row>
    <row r="1202" spans="1:18" x14ac:dyDescent="0.45">
      <c r="A1202" t="s">
        <v>231</v>
      </c>
      <c r="B1202" t="s">
        <v>1601</v>
      </c>
      <c r="C1202" t="s">
        <v>2529</v>
      </c>
      <c r="D1202" t="s">
        <v>2588</v>
      </c>
      <c r="E1202">
        <v>4</v>
      </c>
      <c r="F1202">
        <v>7700</v>
      </c>
      <c r="G1202">
        <v>0</v>
      </c>
      <c r="H1202">
        <v>300</v>
      </c>
      <c r="I1202" t="s">
        <v>2611</v>
      </c>
      <c r="J1202" s="4">
        <f t="shared" si="54"/>
        <v>30500</v>
      </c>
      <c r="K1202" s="4" t="str">
        <f t="shared" si="55"/>
        <v>2024-05</v>
      </c>
      <c r="L1202" s="4" t="str">
        <f t="shared" si="56"/>
        <v>금</v>
      </c>
      <c r="M1202" s="2" t="str">
        <f>VLOOKUP($C1202, 고객정보!$A$2:$E$151, 2, FALSE)</f>
        <v>인천</v>
      </c>
      <c r="N1202" t="str">
        <f>VLOOKUP(C1202,고객정보!$A$2:$D$151,4,FALSE)</f>
        <v>L2</v>
      </c>
      <c r="O1202" t="str">
        <f>VLOOKUP($C1202, 고객정보!$A$2:$E$151, 5, FALSE)</f>
        <v>30대</v>
      </c>
      <c r="P1202" t="str">
        <f>VLOOKUP(D1202,상품정보!$A$2:$E$61,2,FALSE)</f>
        <v>귀걸이</v>
      </c>
      <c r="Q1202" t="str">
        <f>VLOOKUP(D1202,상품정보!$A$2:$D$151,3,FALSE)</f>
        <v>액세서리</v>
      </c>
      <c r="R1202" t="str">
        <f>VLOOKUP(D1202,상품정보!$A$2:$D$151,4,FALSE)</f>
        <v>브랜드D</v>
      </c>
    </row>
    <row r="1203" spans="1:18" x14ac:dyDescent="0.45">
      <c r="A1203" t="s">
        <v>226</v>
      </c>
      <c r="B1203" t="s">
        <v>1602</v>
      </c>
      <c r="C1203" t="s">
        <v>2541</v>
      </c>
      <c r="D1203" t="s">
        <v>2564</v>
      </c>
      <c r="E1203">
        <v>5</v>
      </c>
      <c r="F1203">
        <v>66600</v>
      </c>
      <c r="G1203">
        <v>500</v>
      </c>
      <c r="H1203">
        <v>0</v>
      </c>
      <c r="I1203" t="s">
        <v>2652</v>
      </c>
      <c r="J1203" s="4">
        <f t="shared" si="54"/>
        <v>333500</v>
      </c>
      <c r="K1203" s="4" t="str">
        <f t="shared" si="55"/>
        <v>2024-09</v>
      </c>
      <c r="L1203" s="4" t="str">
        <f t="shared" si="56"/>
        <v>수</v>
      </c>
      <c r="M1203" s="2" t="str">
        <f>VLOOKUP($C1203, 고객정보!$A$2:$E$151, 2, FALSE)</f>
        <v>대구</v>
      </c>
      <c r="N1203" t="str">
        <f>VLOOKUP(C1203,고객정보!$A$2:$D$151,4,FALSE)</f>
        <v>L5</v>
      </c>
      <c r="O1203" t="str">
        <f>VLOOKUP($C1203, 고객정보!$A$2:$E$151, 5, FALSE)</f>
        <v>30대</v>
      </c>
      <c r="P1203" t="str">
        <f>VLOOKUP(D1203,상품정보!$A$2:$E$61,2,FALSE)</f>
        <v>청바지</v>
      </c>
      <c r="Q1203" t="str">
        <f>VLOOKUP(D1203,상품정보!$A$2:$D$151,3,FALSE)</f>
        <v>의류</v>
      </c>
      <c r="R1203" t="str">
        <f>VLOOKUP(D1203,상품정보!$A$2:$D$151,4,FALSE)</f>
        <v>브랜드B</v>
      </c>
    </row>
    <row r="1204" spans="1:18" x14ac:dyDescent="0.45">
      <c r="A1204" t="s">
        <v>61</v>
      </c>
      <c r="B1204" t="s">
        <v>1603</v>
      </c>
      <c r="C1204" t="s">
        <v>2420</v>
      </c>
      <c r="D1204" t="s">
        <v>2606</v>
      </c>
      <c r="E1204">
        <v>4</v>
      </c>
      <c r="F1204">
        <v>15000</v>
      </c>
      <c r="G1204">
        <v>0</v>
      </c>
      <c r="H1204">
        <v>0</v>
      </c>
      <c r="I1204" t="s">
        <v>2652</v>
      </c>
      <c r="J1204" s="4">
        <f t="shared" si="54"/>
        <v>60000</v>
      </c>
      <c r="K1204" s="4" t="str">
        <f t="shared" si="55"/>
        <v>2024-06</v>
      </c>
      <c r="L1204" s="4" t="str">
        <f t="shared" si="56"/>
        <v>화</v>
      </c>
      <c r="M1204" s="2" t="str">
        <f>VLOOKUP($C1204, 고객정보!$A$2:$E$151, 2, FALSE)</f>
        <v>대전</v>
      </c>
      <c r="N1204" t="str">
        <f>VLOOKUP(C1204,고객정보!$A$2:$D$151,4,FALSE)</f>
        <v>L3</v>
      </c>
      <c r="O1204" t="str">
        <f>VLOOKUP($C1204, 고객정보!$A$2:$E$151, 5, FALSE)</f>
        <v>30대</v>
      </c>
      <c r="P1204" t="str">
        <f>VLOOKUP(D1204,상품정보!$A$2:$E$61,2,FALSE)</f>
        <v>귀걸이</v>
      </c>
      <c r="Q1204" t="str">
        <f>VLOOKUP(D1204,상품정보!$A$2:$D$151,3,FALSE)</f>
        <v>액세서리</v>
      </c>
      <c r="R1204" t="str">
        <f>VLOOKUP(D1204,상품정보!$A$2:$D$151,4,FALSE)</f>
        <v>브랜드E</v>
      </c>
    </row>
    <row r="1205" spans="1:18" x14ac:dyDescent="0.45">
      <c r="A1205" t="s">
        <v>203</v>
      </c>
      <c r="B1205" t="s">
        <v>1604</v>
      </c>
      <c r="C1205" t="s">
        <v>2467</v>
      </c>
      <c r="D1205" t="s">
        <v>2594</v>
      </c>
      <c r="E1205">
        <v>1</v>
      </c>
      <c r="F1205">
        <v>73000</v>
      </c>
      <c r="G1205">
        <v>1500</v>
      </c>
      <c r="H1205">
        <v>0</v>
      </c>
      <c r="I1205" t="s">
        <v>2652</v>
      </c>
      <c r="J1205" s="4">
        <f t="shared" si="54"/>
        <v>74500</v>
      </c>
      <c r="K1205" s="4" t="str">
        <f t="shared" si="55"/>
        <v>2024-12</v>
      </c>
      <c r="L1205" s="4" t="str">
        <f t="shared" si="56"/>
        <v>월</v>
      </c>
      <c r="M1205" s="2" t="str">
        <f>VLOOKUP($C1205, 고객정보!$A$2:$E$151, 2, FALSE)</f>
        <v>부산</v>
      </c>
      <c r="N1205" t="str">
        <f>VLOOKUP(C1205,고객정보!$A$2:$D$151,4,FALSE)</f>
        <v>L4</v>
      </c>
      <c r="O1205" t="str">
        <f>VLOOKUP($C1205, 고객정보!$A$2:$E$151, 5, FALSE)</f>
        <v>20대</v>
      </c>
      <c r="P1205" t="str">
        <f>VLOOKUP(D1205,상품정보!$A$2:$E$61,2,FALSE)</f>
        <v>자켓</v>
      </c>
      <c r="Q1205" t="str">
        <f>VLOOKUP(D1205,상품정보!$A$2:$D$151,3,FALSE)</f>
        <v>의류</v>
      </c>
      <c r="R1205" t="str">
        <f>VLOOKUP(D1205,상품정보!$A$2:$D$151,4,FALSE)</f>
        <v>브랜드A</v>
      </c>
    </row>
    <row r="1206" spans="1:18" x14ac:dyDescent="0.45">
      <c r="A1206" t="s">
        <v>253</v>
      </c>
      <c r="B1206" t="s">
        <v>1605</v>
      </c>
      <c r="C1206" t="s">
        <v>2544</v>
      </c>
      <c r="D1206" t="s">
        <v>2582</v>
      </c>
      <c r="E1206">
        <v>1</v>
      </c>
      <c r="F1206">
        <v>12500</v>
      </c>
      <c r="G1206">
        <v>2000</v>
      </c>
      <c r="H1206">
        <v>0</v>
      </c>
      <c r="I1206" t="s">
        <v>2652</v>
      </c>
      <c r="J1206" s="4">
        <f t="shared" si="54"/>
        <v>14500</v>
      </c>
      <c r="K1206" s="4" t="str">
        <f t="shared" si="55"/>
        <v>2024-10</v>
      </c>
      <c r="L1206" s="4" t="str">
        <f t="shared" si="56"/>
        <v>일</v>
      </c>
      <c r="M1206" s="2" t="str">
        <f>VLOOKUP($C1206, 고객정보!$A$2:$E$151, 2, FALSE)</f>
        <v>서울</v>
      </c>
      <c r="N1206" t="str">
        <f>VLOOKUP(C1206,고객정보!$A$2:$D$151,4,FALSE)</f>
        <v>L5</v>
      </c>
      <c r="O1206" t="str">
        <f>VLOOKUP($C1206, 고객정보!$A$2:$E$151, 5, FALSE)</f>
        <v>40대</v>
      </c>
      <c r="P1206" t="str">
        <f>VLOOKUP(D1206,상품정보!$A$2:$E$61,2,FALSE)</f>
        <v>셔츠</v>
      </c>
      <c r="Q1206" t="str">
        <f>VLOOKUP(D1206,상품정보!$A$2:$D$151,3,FALSE)</f>
        <v>의류</v>
      </c>
      <c r="R1206" t="str">
        <f>VLOOKUP(D1206,상품정보!$A$2:$D$151,4,FALSE)</f>
        <v>브랜드D</v>
      </c>
    </row>
    <row r="1207" spans="1:18" x14ac:dyDescent="0.45">
      <c r="A1207" t="s">
        <v>325</v>
      </c>
      <c r="B1207" t="s">
        <v>1606</v>
      </c>
      <c r="C1207" t="s">
        <v>2534</v>
      </c>
      <c r="D1207" t="s">
        <v>2573</v>
      </c>
      <c r="E1207">
        <v>1</v>
      </c>
      <c r="F1207">
        <v>6400</v>
      </c>
      <c r="G1207">
        <v>1000</v>
      </c>
      <c r="H1207">
        <v>500</v>
      </c>
      <c r="I1207" t="s">
        <v>2611</v>
      </c>
      <c r="J1207" s="4">
        <f t="shared" si="54"/>
        <v>6900</v>
      </c>
      <c r="K1207" s="4" t="str">
        <f t="shared" si="55"/>
        <v>2024-09</v>
      </c>
      <c r="L1207" s="4" t="str">
        <f t="shared" si="56"/>
        <v>수</v>
      </c>
      <c r="M1207" s="2" t="str">
        <f>VLOOKUP($C1207, 고객정보!$A$2:$E$151, 2, FALSE)</f>
        <v>광주</v>
      </c>
      <c r="N1207" t="str">
        <f>VLOOKUP(C1207,고객정보!$A$2:$D$151,4,FALSE)</f>
        <v>L2</v>
      </c>
      <c r="O1207" t="str">
        <f>VLOOKUP($C1207, 고객정보!$A$2:$E$151, 5, FALSE)</f>
        <v>10대</v>
      </c>
      <c r="P1207" t="str">
        <f>VLOOKUP(D1207,상품정보!$A$2:$E$61,2,FALSE)</f>
        <v>귀걸이</v>
      </c>
      <c r="Q1207" t="str">
        <f>VLOOKUP(D1207,상품정보!$A$2:$D$151,3,FALSE)</f>
        <v>액세서리</v>
      </c>
      <c r="R1207" t="str">
        <f>VLOOKUP(D1207,상품정보!$A$2:$D$151,4,FALSE)</f>
        <v>브랜드E</v>
      </c>
    </row>
    <row r="1208" spans="1:18" x14ac:dyDescent="0.45">
      <c r="A1208" t="s">
        <v>384</v>
      </c>
      <c r="B1208" t="s">
        <v>1607</v>
      </c>
      <c r="C1208" t="s">
        <v>2532</v>
      </c>
      <c r="D1208" t="s">
        <v>2586</v>
      </c>
      <c r="E1208">
        <v>1</v>
      </c>
      <c r="F1208">
        <v>73000</v>
      </c>
      <c r="G1208">
        <v>1500</v>
      </c>
      <c r="H1208">
        <v>0</v>
      </c>
      <c r="I1208" t="s">
        <v>2652</v>
      </c>
      <c r="J1208" s="4">
        <f t="shared" si="54"/>
        <v>74500</v>
      </c>
      <c r="K1208" s="4" t="str">
        <f t="shared" si="55"/>
        <v>2024-05</v>
      </c>
      <c r="L1208" s="4" t="str">
        <f t="shared" si="56"/>
        <v>토</v>
      </c>
      <c r="M1208" s="2" t="str">
        <f>VLOOKUP($C1208, 고객정보!$A$2:$E$151, 2, FALSE)</f>
        <v>서울</v>
      </c>
      <c r="N1208" t="str">
        <f>VLOOKUP(C1208,고객정보!$A$2:$D$151,4,FALSE)</f>
        <v>L2</v>
      </c>
      <c r="O1208" t="str">
        <f>VLOOKUP($C1208, 고객정보!$A$2:$E$151, 5, FALSE)</f>
        <v>50대 이상</v>
      </c>
      <c r="P1208" t="str">
        <f>VLOOKUP(D1208,상품정보!$A$2:$E$61,2,FALSE)</f>
        <v>귀걸이</v>
      </c>
      <c r="Q1208" t="str">
        <f>VLOOKUP(D1208,상품정보!$A$2:$D$151,3,FALSE)</f>
        <v>액세서리</v>
      </c>
      <c r="R1208" t="str">
        <f>VLOOKUP(D1208,상품정보!$A$2:$D$151,4,FALSE)</f>
        <v>브랜드B</v>
      </c>
    </row>
    <row r="1209" spans="1:18" x14ac:dyDescent="0.45">
      <c r="A1209" t="s">
        <v>55</v>
      </c>
      <c r="B1209" t="s">
        <v>1608</v>
      </c>
      <c r="C1209" t="s">
        <v>2405</v>
      </c>
      <c r="D1209" t="s">
        <v>2581</v>
      </c>
      <c r="E1209">
        <v>3</v>
      </c>
      <c r="F1209">
        <v>72900</v>
      </c>
      <c r="G1209">
        <v>0</v>
      </c>
      <c r="H1209">
        <v>0</v>
      </c>
      <c r="I1209" t="s">
        <v>2652</v>
      </c>
      <c r="J1209" s="4">
        <f t="shared" si="54"/>
        <v>218700</v>
      </c>
      <c r="K1209" s="4" t="str">
        <f t="shared" si="55"/>
        <v>2024-05</v>
      </c>
      <c r="L1209" s="4" t="str">
        <f t="shared" si="56"/>
        <v>수</v>
      </c>
      <c r="M1209" s="2" t="str">
        <f>VLOOKUP($C1209, 고객정보!$A$2:$E$151, 2, FALSE)</f>
        <v>부산</v>
      </c>
      <c r="N1209" t="str">
        <f>VLOOKUP(C1209,고객정보!$A$2:$D$151,4,FALSE)</f>
        <v>L3</v>
      </c>
      <c r="O1209" t="str">
        <f>VLOOKUP($C1209, 고객정보!$A$2:$E$151, 5, FALSE)</f>
        <v>40대</v>
      </c>
      <c r="P1209" t="str">
        <f>VLOOKUP(D1209,상품정보!$A$2:$E$61,2,FALSE)</f>
        <v>귀걸이</v>
      </c>
      <c r="Q1209" t="str">
        <f>VLOOKUP(D1209,상품정보!$A$2:$D$151,3,FALSE)</f>
        <v>액세서리</v>
      </c>
      <c r="R1209" t="str">
        <f>VLOOKUP(D1209,상품정보!$A$2:$D$151,4,FALSE)</f>
        <v>브랜드F</v>
      </c>
    </row>
    <row r="1210" spans="1:18" x14ac:dyDescent="0.45">
      <c r="A1210" t="s">
        <v>319</v>
      </c>
      <c r="B1210" t="s">
        <v>1609</v>
      </c>
      <c r="C1210" t="s">
        <v>2507</v>
      </c>
      <c r="D1210" t="s">
        <v>2596</v>
      </c>
      <c r="E1210">
        <v>1</v>
      </c>
      <c r="F1210">
        <v>59700</v>
      </c>
      <c r="G1210">
        <v>0</v>
      </c>
      <c r="H1210">
        <v>0</v>
      </c>
      <c r="I1210" t="s">
        <v>2652</v>
      </c>
      <c r="J1210" s="4">
        <f t="shared" si="54"/>
        <v>59700</v>
      </c>
      <c r="K1210" s="4" t="str">
        <f t="shared" si="55"/>
        <v>2024-03</v>
      </c>
      <c r="L1210" s="4" t="str">
        <f t="shared" si="56"/>
        <v>토</v>
      </c>
      <c r="M1210" s="2" t="str">
        <f>VLOOKUP($C1210, 고객정보!$A$2:$E$151, 2, FALSE)</f>
        <v>대전</v>
      </c>
      <c r="N1210" t="str">
        <f>VLOOKUP(C1210,고객정보!$A$2:$D$151,4,FALSE)</f>
        <v>L2</v>
      </c>
      <c r="O1210" t="str">
        <f>VLOOKUP($C1210, 고객정보!$A$2:$E$151, 5, FALSE)</f>
        <v>40대</v>
      </c>
      <c r="P1210" t="str">
        <f>VLOOKUP(D1210,상품정보!$A$2:$E$61,2,FALSE)</f>
        <v>청바지</v>
      </c>
      <c r="Q1210" t="str">
        <f>VLOOKUP(D1210,상품정보!$A$2:$D$151,3,FALSE)</f>
        <v>의류</v>
      </c>
      <c r="R1210" t="str">
        <f>VLOOKUP(D1210,상품정보!$A$2:$D$151,4,FALSE)</f>
        <v>브랜드A</v>
      </c>
    </row>
    <row r="1211" spans="1:18" x14ac:dyDescent="0.45">
      <c r="A1211" t="s">
        <v>180</v>
      </c>
      <c r="B1211" t="s">
        <v>1610</v>
      </c>
      <c r="C1211" t="s">
        <v>2476</v>
      </c>
      <c r="D1211" t="s">
        <v>2610</v>
      </c>
      <c r="E1211">
        <v>3</v>
      </c>
      <c r="F1211">
        <v>18800</v>
      </c>
      <c r="G1211">
        <v>0</v>
      </c>
      <c r="H1211">
        <v>4400</v>
      </c>
      <c r="I1211" t="s">
        <v>2614</v>
      </c>
      <c r="J1211" s="4">
        <f t="shared" si="54"/>
        <v>52000</v>
      </c>
      <c r="K1211" s="4" t="str">
        <f t="shared" si="55"/>
        <v>2024-07</v>
      </c>
      <c r="L1211" s="4" t="str">
        <f t="shared" si="56"/>
        <v>수</v>
      </c>
      <c r="M1211" s="2" t="str">
        <f>VLOOKUP($C1211, 고객정보!$A$2:$E$151, 2, FALSE)</f>
        <v>서울</v>
      </c>
      <c r="N1211" t="str">
        <f>VLOOKUP(C1211,고객정보!$A$2:$D$151,4,FALSE)</f>
        <v>L2</v>
      </c>
      <c r="O1211" t="str">
        <f>VLOOKUP($C1211, 고객정보!$A$2:$E$151, 5, FALSE)</f>
        <v>10대</v>
      </c>
      <c r="P1211" t="str">
        <f>VLOOKUP(D1211,상품정보!$A$2:$E$61,2,FALSE)</f>
        <v>자켓</v>
      </c>
      <c r="Q1211" t="str">
        <f>VLOOKUP(D1211,상품정보!$A$2:$D$151,3,FALSE)</f>
        <v>의류</v>
      </c>
      <c r="R1211" t="str">
        <f>VLOOKUP(D1211,상품정보!$A$2:$D$151,4,FALSE)</f>
        <v>브랜드E</v>
      </c>
    </row>
    <row r="1212" spans="1:18" x14ac:dyDescent="0.45">
      <c r="A1212" t="s">
        <v>385</v>
      </c>
      <c r="B1212" t="s">
        <v>1611</v>
      </c>
      <c r="C1212" t="s">
        <v>2426</v>
      </c>
      <c r="D1212" t="s">
        <v>2609</v>
      </c>
      <c r="E1212">
        <v>1</v>
      </c>
      <c r="F1212">
        <v>58600</v>
      </c>
      <c r="G1212">
        <v>1000</v>
      </c>
      <c r="H1212">
        <v>0</v>
      </c>
      <c r="I1212" t="s">
        <v>2652</v>
      </c>
      <c r="J1212" s="4">
        <f t="shared" si="54"/>
        <v>59600</v>
      </c>
      <c r="K1212" s="4" t="str">
        <f t="shared" si="55"/>
        <v>2024-02</v>
      </c>
      <c r="L1212" s="4" t="str">
        <f t="shared" si="56"/>
        <v>일</v>
      </c>
      <c r="M1212" s="2" t="str">
        <f>VLOOKUP($C1212, 고객정보!$A$2:$E$151, 2, FALSE)</f>
        <v>대전</v>
      </c>
      <c r="N1212" t="str">
        <f>VLOOKUP(C1212,고객정보!$A$2:$D$151,4,FALSE)</f>
        <v>L5</v>
      </c>
      <c r="O1212" t="str">
        <f>VLOOKUP($C1212, 고객정보!$A$2:$E$151, 5, FALSE)</f>
        <v>30대</v>
      </c>
      <c r="P1212" t="str">
        <f>VLOOKUP(D1212,상품정보!$A$2:$E$61,2,FALSE)</f>
        <v>목걸이</v>
      </c>
      <c r="Q1212" t="str">
        <f>VLOOKUP(D1212,상품정보!$A$2:$D$151,3,FALSE)</f>
        <v>액세서리</v>
      </c>
      <c r="R1212" t="str">
        <f>VLOOKUP(D1212,상품정보!$A$2:$D$151,4,FALSE)</f>
        <v>브랜드F</v>
      </c>
    </row>
    <row r="1213" spans="1:18" x14ac:dyDescent="0.45">
      <c r="A1213" t="s">
        <v>112</v>
      </c>
      <c r="B1213" t="s">
        <v>1612</v>
      </c>
      <c r="C1213" t="s">
        <v>2473</v>
      </c>
      <c r="D1213" t="s">
        <v>2594</v>
      </c>
      <c r="E1213">
        <v>2</v>
      </c>
      <c r="F1213">
        <v>73000</v>
      </c>
      <c r="G1213">
        <v>500</v>
      </c>
      <c r="H1213">
        <v>0</v>
      </c>
      <c r="I1213" t="s">
        <v>2652</v>
      </c>
      <c r="J1213" s="4">
        <f t="shared" si="54"/>
        <v>146500</v>
      </c>
      <c r="K1213" s="4" t="str">
        <f t="shared" si="55"/>
        <v>2024-12</v>
      </c>
      <c r="L1213" s="4" t="str">
        <f t="shared" si="56"/>
        <v>목</v>
      </c>
      <c r="M1213" s="2" t="str">
        <f>VLOOKUP($C1213, 고객정보!$A$2:$E$151, 2, FALSE)</f>
        <v>수원</v>
      </c>
      <c r="N1213" t="str">
        <f>VLOOKUP(C1213,고객정보!$A$2:$D$151,4,FALSE)</f>
        <v>L3</v>
      </c>
      <c r="O1213" t="str">
        <f>VLOOKUP($C1213, 고객정보!$A$2:$E$151, 5, FALSE)</f>
        <v>50대 이상</v>
      </c>
      <c r="P1213" t="str">
        <f>VLOOKUP(D1213,상품정보!$A$2:$E$61,2,FALSE)</f>
        <v>자켓</v>
      </c>
      <c r="Q1213" t="str">
        <f>VLOOKUP(D1213,상품정보!$A$2:$D$151,3,FALSE)</f>
        <v>의류</v>
      </c>
      <c r="R1213" t="str">
        <f>VLOOKUP(D1213,상품정보!$A$2:$D$151,4,FALSE)</f>
        <v>브랜드A</v>
      </c>
    </row>
    <row r="1214" spans="1:18" x14ac:dyDescent="0.45">
      <c r="A1214" t="s">
        <v>199</v>
      </c>
      <c r="B1214" t="s">
        <v>1613</v>
      </c>
      <c r="C1214" t="s">
        <v>2492</v>
      </c>
      <c r="D1214" t="s">
        <v>2558</v>
      </c>
      <c r="E1214">
        <v>3</v>
      </c>
      <c r="F1214">
        <v>63700</v>
      </c>
      <c r="G1214">
        <v>0</v>
      </c>
      <c r="H1214">
        <v>0</v>
      </c>
      <c r="I1214" t="s">
        <v>2652</v>
      </c>
      <c r="J1214" s="4">
        <f t="shared" si="54"/>
        <v>191100</v>
      </c>
      <c r="K1214" s="4" t="str">
        <f t="shared" si="55"/>
        <v>2024-08</v>
      </c>
      <c r="L1214" s="4" t="str">
        <f t="shared" si="56"/>
        <v>월</v>
      </c>
      <c r="M1214" s="2" t="str">
        <f>VLOOKUP($C1214, 고객정보!$A$2:$E$151, 2, FALSE)</f>
        <v>N/A</v>
      </c>
      <c r="N1214" t="str">
        <f>VLOOKUP(C1214,고객정보!$A$2:$D$151,4,FALSE)</f>
        <v>L1</v>
      </c>
      <c r="O1214" t="str">
        <f>VLOOKUP($C1214, 고객정보!$A$2:$E$151, 5, FALSE)</f>
        <v>20대</v>
      </c>
      <c r="P1214" t="str">
        <f>VLOOKUP(D1214,상품정보!$A$2:$E$61,2,FALSE)</f>
        <v>셔츠</v>
      </c>
      <c r="Q1214" t="str">
        <f>VLOOKUP(D1214,상품정보!$A$2:$D$151,3,FALSE)</f>
        <v>의류</v>
      </c>
      <c r="R1214" t="str">
        <f>VLOOKUP(D1214,상품정보!$A$2:$D$151,4,FALSE)</f>
        <v>브랜드A</v>
      </c>
    </row>
    <row r="1215" spans="1:18" x14ac:dyDescent="0.45">
      <c r="A1215" t="s">
        <v>282</v>
      </c>
      <c r="B1215" t="s">
        <v>1614</v>
      </c>
      <c r="C1215" t="s">
        <v>2425</v>
      </c>
      <c r="D1215" t="s">
        <v>2584</v>
      </c>
      <c r="E1215">
        <v>1</v>
      </c>
      <c r="F1215">
        <v>59700</v>
      </c>
      <c r="G1215">
        <v>0</v>
      </c>
      <c r="H1215">
        <v>200</v>
      </c>
      <c r="I1215" t="s">
        <v>2611</v>
      </c>
      <c r="J1215" s="4">
        <f t="shared" si="54"/>
        <v>59500</v>
      </c>
      <c r="K1215" s="4" t="str">
        <f t="shared" si="55"/>
        <v>2024-07</v>
      </c>
      <c r="L1215" s="4" t="str">
        <f t="shared" si="56"/>
        <v>화</v>
      </c>
      <c r="M1215" s="2" t="str">
        <f>VLOOKUP($C1215, 고객정보!$A$2:$E$151, 2, FALSE)</f>
        <v>서울</v>
      </c>
      <c r="N1215" t="str">
        <f>VLOOKUP(C1215,고객정보!$A$2:$D$151,4,FALSE)</f>
        <v>L4</v>
      </c>
      <c r="O1215" t="str">
        <f>VLOOKUP($C1215, 고객정보!$A$2:$E$151, 5, FALSE)</f>
        <v>30대</v>
      </c>
      <c r="P1215" t="str">
        <f>VLOOKUP(D1215,상품정보!$A$2:$E$61,2,FALSE)</f>
        <v>목걸이</v>
      </c>
      <c r="Q1215" t="str">
        <f>VLOOKUP(D1215,상품정보!$A$2:$D$151,3,FALSE)</f>
        <v>액세서리</v>
      </c>
      <c r="R1215" t="str">
        <f>VLOOKUP(D1215,상품정보!$A$2:$D$151,4,FALSE)</f>
        <v>브랜드B</v>
      </c>
    </row>
    <row r="1216" spans="1:18" x14ac:dyDescent="0.45">
      <c r="A1216" t="s">
        <v>32</v>
      </c>
      <c r="B1216" t="s">
        <v>1615</v>
      </c>
      <c r="C1216" t="s">
        <v>2437</v>
      </c>
      <c r="D1216" t="s">
        <v>2604</v>
      </c>
      <c r="E1216">
        <v>1</v>
      </c>
      <c r="F1216">
        <v>9700</v>
      </c>
      <c r="G1216">
        <v>0</v>
      </c>
      <c r="H1216">
        <v>0</v>
      </c>
      <c r="I1216" t="s">
        <v>2652</v>
      </c>
      <c r="J1216" s="4">
        <f t="shared" si="54"/>
        <v>9700</v>
      </c>
      <c r="K1216" s="4" t="str">
        <f t="shared" si="55"/>
        <v>2024-07</v>
      </c>
      <c r="L1216" s="4" t="str">
        <f t="shared" si="56"/>
        <v>수</v>
      </c>
      <c r="M1216" s="2" t="str">
        <f>VLOOKUP($C1216, 고객정보!$A$2:$E$151, 2, FALSE)</f>
        <v>인천</v>
      </c>
      <c r="N1216" t="str">
        <f>VLOOKUP(C1216,고객정보!$A$2:$D$151,4,FALSE)</f>
        <v>L1</v>
      </c>
      <c r="O1216" t="str">
        <f>VLOOKUP($C1216, 고객정보!$A$2:$E$151, 5, FALSE)</f>
        <v>30대</v>
      </c>
      <c r="P1216" t="str">
        <f>VLOOKUP(D1216,상품정보!$A$2:$E$61,2,FALSE)</f>
        <v>반팔 티셔츠</v>
      </c>
      <c r="Q1216" t="str">
        <f>VLOOKUP(D1216,상품정보!$A$2:$D$151,3,FALSE)</f>
        <v>의류</v>
      </c>
      <c r="R1216" t="str">
        <f>VLOOKUP(D1216,상품정보!$A$2:$D$151,4,FALSE)</f>
        <v>브랜드E</v>
      </c>
    </row>
    <row r="1217" spans="1:18" x14ac:dyDescent="0.45">
      <c r="A1217" t="s">
        <v>217</v>
      </c>
      <c r="B1217" t="s">
        <v>1616</v>
      </c>
      <c r="C1217" t="s">
        <v>2461</v>
      </c>
      <c r="D1217" t="s">
        <v>2581</v>
      </c>
      <c r="E1217">
        <v>3</v>
      </c>
      <c r="F1217">
        <v>72900</v>
      </c>
      <c r="G1217">
        <v>2000</v>
      </c>
      <c r="H1217">
        <v>0</v>
      </c>
      <c r="I1217" t="s">
        <v>2652</v>
      </c>
      <c r="J1217" s="4">
        <f t="shared" si="54"/>
        <v>220700</v>
      </c>
      <c r="K1217" s="4" t="str">
        <f t="shared" si="55"/>
        <v>2024-07</v>
      </c>
      <c r="L1217" s="4" t="str">
        <f t="shared" si="56"/>
        <v>화</v>
      </c>
      <c r="M1217" s="2" t="str">
        <f>VLOOKUP($C1217, 고객정보!$A$2:$E$151, 2, FALSE)</f>
        <v>부산</v>
      </c>
      <c r="N1217" t="str">
        <f>VLOOKUP(C1217,고객정보!$A$2:$D$151,4,FALSE)</f>
        <v>L2</v>
      </c>
      <c r="O1217" t="str">
        <f>VLOOKUP($C1217, 고객정보!$A$2:$E$151, 5, FALSE)</f>
        <v>40대</v>
      </c>
      <c r="P1217" t="str">
        <f>VLOOKUP(D1217,상품정보!$A$2:$E$61,2,FALSE)</f>
        <v>귀걸이</v>
      </c>
      <c r="Q1217" t="str">
        <f>VLOOKUP(D1217,상품정보!$A$2:$D$151,3,FALSE)</f>
        <v>액세서리</v>
      </c>
      <c r="R1217" t="str">
        <f>VLOOKUP(D1217,상품정보!$A$2:$D$151,4,FALSE)</f>
        <v>브랜드F</v>
      </c>
    </row>
    <row r="1218" spans="1:18" x14ac:dyDescent="0.45">
      <c r="A1218" t="s">
        <v>221</v>
      </c>
      <c r="B1218" t="s">
        <v>1617</v>
      </c>
      <c r="C1218" t="s">
        <v>2466</v>
      </c>
      <c r="D1218" t="s">
        <v>2570</v>
      </c>
      <c r="E1218">
        <v>4</v>
      </c>
      <c r="F1218">
        <v>73900</v>
      </c>
      <c r="G1218">
        <v>0</v>
      </c>
      <c r="H1218">
        <v>0</v>
      </c>
      <c r="I1218" t="s">
        <v>2652</v>
      </c>
      <c r="J1218" s="4">
        <f t="shared" si="54"/>
        <v>295600</v>
      </c>
      <c r="K1218" s="4" t="str">
        <f t="shared" si="55"/>
        <v>2024-11</v>
      </c>
      <c r="L1218" s="4" t="str">
        <f t="shared" si="56"/>
        <v>목</v>
      </c>
      <c r="M1218" s="2" t="str">
        <f>VLOOKUP($C1218, 고객정보!$A$2:$E$151, 2, FALSE)</f>
        <v>부산</v>
      </c>
      <c r="N1218" t="str">
        <f>VLOOKUP(C1218,고객정보!$A$2:$D$151,4,FALSE)</f>
        <v>L2</v>
      </c>
      <c r="O1218" t="str">
        <f>VLOOKUP($C1218, 고객정보!$A$2:$E$151, 5, FALSE)</f>
        <v>50대 이상</v>
      </c>
      <c r="P1218" t="str">
        <f>VLOOKUP(D1218,상품정보!$A$2:$E$61,2,FALSE)</f>
        <v>반지</v>
      </c>
      <c r="Q1218" t="str">
        <f>VLOOKUP(D1218,상품정보!$A$2:$D$151,3,FALSE)</f>
        <v>액세서리</v>
      </c>
      <c r="R1218" t="str">
        <f>VLOOKUP(D1218,상품정보!$A$2:$D$151,4,FALSE)</f>
        <v>브랜드B</v>
      </c>
    </row>
    <row r="1219" spans="1:18" x14ac:dyDescent="0.45">
      <c r="A1219" t="s">
        <v>76</v>
      </c>
      <c r="B1219" t="s">
        <v>1618</v>
      </c>
      <c r="C1219" t="s">
        <v>2499</v>
      </c>
      <c r="D1219" t="s">
        <v>2580</v>
      </c>
      <c r="E1219">
        <v>2</v>
      </c>
      <c r="F1219">
        <v>77800</v>
      </c>
      <c r="G1219">
        <v>0</v>
      </c>
      <c r="H1219">
        <v>0</v>
      </c>
      <c r="I1219" t="s">
        <v>2652</v>
      </c>
      <c r="J1219" s="4">
        <f t="shared" ref="J1219:J1282" si="57">E1219*F1219+G1219-H1219</f>
        <v>155600</v>
      </c>
      <c r="K1219" s="4" t="str">
        <f t="shared" ref="K1219:K1282" si="58">LEFT(A1219,7)</f>
        <v>2024-12</v>
      </c>
      <c r="L1219" s="4" t="str">
        <f t="shared" ref="L1219:L1282" si="59">TEXT(WEEKDAY(A1219),"aaa")</f>
        <v>일</v>
      </c>
      <c r="M1219" s="2" t="str">
        <f>VLOOKUP($C1219, 고객정보!$A$2:$E$151, 2, FALSE)</f>
        <v>서울</v>
      </c>
      <c r="N1219" t="str">
        <f>VLOOKUP(C1219,고객정보!$A$2:$D$151,4,FALSE)</f>
        <v>L2</v>
      </c>
      <c r="O1219" t="str">
        <f>VLOOKUP($C1219, 고객정보!$A$2:$E$151, 5, FALSE)</f>
        <v>40대</v>
      </c>
      <c r="P1219" t="str">
        <f>VLOOKUP(D1219,상품정보!$A$2:$E$61,2,FALSE)</f>
        <v>청바지</v>
      </c>
      <c r="Q1219" t="str">
        <f>VLOOKUP(D1219,상품정보!$A$2:$D$151,3,FALSE)</f>
        <v>의류</v>
      </c>
      <c r="R1219" t="str">
        <f>VLOOKUP(D1219,상품정보!$A$2:$D$151,4,FALSE)</f>
        <v>브랜드A</v>
      </c>
    </row>
    <row r="1220" spans="1:18" x14ac:dyDescent="0.45">
      <c r="A1220" t="s">
        <v>363</v>
      </c>
      <c r="B1220" t="s">
        <v>1619</v>
      </c>
      <c r="C1220" t="s">
        <v>2497</v>
      </c>
      <c r="D1220" t="s">
        <v>2610</v>
      </c>
      <c r="E1220">
        <v>2</v>
      </c>
      <c r="F1220">
        <v>18800</v>
      </c>
      <c r="G1220">
        <v>0</v>
      </c>
      <c r="H1220">
        <v>0</v>
      </c>
      <c r="I1220" t="s">
        <v>2652</v>
      </c>
      <c r="J1220" s="4">
        <f t="shared" si="57"/>
        <v>37600</v>
      </c>
      <c r="K1220" s="4" t="str">
        <f t="shared" si="58"/>
        <v>2024-02</v>
      </c>
      <c r="L1220" s="4" t="str">
        <f t="shared" si="59"/>
        <v>금</v>
      </c>
      <c r="M1220" s="2" t="str">
        <f>VLOOKUP($C1220, 고객정보!$A$2:$E$151, 2, FALSE)</f>
        <v>서울</v>
      </c>
      <c r="N1220" t="str">
        <f>VLOOKUP(C1220,고객정보!$A$2:$D$151,4,FALSE)</f>
        <v>L3</v>
      </c>
      <c r="O1220" t="str">
        <f>VLOOKUP($C1220, 고객정보!$A$2:$E$151, 5, FALSE)</f>
        <v>10대</v>
      </c>
      <c r="P1220" t="str">
        <f>VLOOKUP(D1220,상품정보!$A$2:$E$61,2,FALSE)</f>
        <v>자켓</v>
      </c>
      <c r="Q1220" t="str">
        <f>VLOOKUP(D1220,상품정보!$A$2:$D$151,3,FALSE)</f>
        <v>의류</v>
      </c>
      <c r="R1220" t="str">
        <f>VLOOKUP(D1220,상품정보!$A$2:$D$151,4,FALSE)</f>
        <v>브랜드E</v>
      </c>
    </row>
    <row r="1221" spans="1:18" x14ac:dyDescent="0.45">
      <c r="A1221" t="s">
        <v>163</v>
      </c>
      <c r="B1221" t="s">
        <v>1620</v>
      </c>
      <c r="C1221" t="s">
        <v>2515</v>
      </c>
      <c r="D1221" t="s">
        <v>2582</v>
      </c>
      <c r="E1221">
        <v>5</v>
      </c>
      <c r="F1221">
        <v>12500</v>
      </c>
      <c r="G1221">
        <v>1000</v>
      </c>
      <c r="H1221">
        <v>0</v>
      </c>
      <c r="I1221" t="s">
        <v>2652</v>
      </c>
      <c r="J1221" s="4">
        <f t="shared" si="57"/>
        <v>63500</v>
      </c>
      <c r="K1221" s="4" t="str">
        <f t="shared" si="58"/>
        <v>2024-09</v>
      </c>
      <c r="L1221" s="4" t="str">
        <f t="shared" si="59"/>
        <v>수</v>
      </c>
      <c r="M1221" s="2" t="str">
        <f>VLOOKUP($C1221, 고객정보!$A$2:$E$151, 2, FALSE)</f>
        <v>부산</v>
      </c>
      <c r="N1221" t="str">
        <f>VLOOKUP(C1221,고객정보!$A$2:$D$151,4,FALSE)</f>
        <v>L5</v>
      </c>
      <c r="O1221" t="str">
        <f>VLOOKUP($C1221, 고객정보!$A$2:$E$151, 5, FALSE)</f>
        <v>40대</v>
      </c>
      <c r="P1221" t="str">
        <f>VLOOKUP(D1221,상품정보!$A$2:$E$61,2,FALSE)</f>
        <v>셔츠</v>
      </c>
      <c r="Q1221" t="str">
        <f>VLOOKUP(D1221,상품정보!$A$2:$D$151,3,FALSE)</f>
        <v>의류</v>
      </c>
      <c r="R1221" t="str">
        <f>VLOOKUP(D1221,상품정보!$A$2:$D$151,4,FALSE)</f>
        <v>브랜드D</v>
      </c>
    </row>
    <row r="1222" spans="1:18" x14ac:dyDescent="0.45">
      <c r="A1222" t="s">
        <v>327</v>
      </c>
      <c r="B1222" t="s">
        <v>1621</v>
      </c>
      <c r="C1222" t="s">
        <v>2489</v>
      </c>
      <c r="D1222" t="s">
        <v>2579</v>
      </c>
      <c r="E1222">
        <v>4</v>
      </c>
      <c r="F1222">
        <v>51000</v>
      </c>
      <c r="G1222">
        <v>1000</v>
      </c>
      <c r="H1222">
        <v>8500</v>
      </c>
      <c r="I1222" t="s">
        <v>2614</v>
      </c>
      <c r="J1222" s="4">
        <f t="shared" si="57"/>
        <v>196500</v>
      </c>
      <c r="K1222" s="4" t="str">
        <f t="shared" si="58"/>
        <v>2024-04</v>
      </c>
      <c r="L1222" s="4" t="str">
        <f t="shared" si="59"/>
        <v>화</v>
      </c>
      <c r="M1222" s="2" t="str">
        <f>VLOOKUP($C1222, 고객정보!$A$2:$E$151, 2, FALSE)</f>
        <v>서울</v>
      </c>
      <c r="N1222" t="str">
        <f>VLOOKUP(C1222,고객정보!$A$2:$D$151,4,FALSE)</f>
        <v>L3</v>
      </c>
      <c r="O1222" t="str">
        <f>VLOOKUP($C1222, 고객정보!$A$2:$E$151, 5, FALSE)</f>
        <v>10대</v>
      </c>
      <c r="P1222" t="str">
        <f>VLOOKUP(D1222,상품정보!$A$2:$E$61,2,FALSE)</f>
        <v>핸드폰케이스</v>
      </c>
      <c r="Q1222" t="str">
        <f>VLOOKUP(D1222,상품정보!$A$2:$D$151,3,FALSE)</f>
        <v>액세서리</v>
      </c>
      <c r="R1222" t="str">
        <f>VLOOKUP(D1222,상품정보!$A$2:$D$151,4,FALSE)</f>
        <v>브랜드F</v>
      </c>
    </row>
    <row r="1223" spans="1:18" x14ac:dyDescent="0.45">
      <c r="A1223" t="s">
        <v>361</v>
      </c>
      <c r="B1223" t="s">
        <v>1622</v>
      </c>
      <c r="C1223" t="s">
        <v>2418</v>
      </c>
      <c r="D1223" t="s">
        <v>2587</v>
      </c>
      <c r="E1223">
        <v>3</v>
      </c>
      <c r="F1223">
        <v>50200</v>
      </c>
      <c r="G1223">
        <v>0</v>
      </c>
      <c r="H1223">
        <v>0</v>
      </c>
      <c r="I1223" t="s">
        <v>2652</v>
      </c>
      <c r="J1223" s="4">
        <f t="shared" si="57"/>
        <v>150600</v>
      </c>
      <c r="K1223" s="4" t="str">
        <f t="shared" si="58"/>
        <v>2024-11</v>
      </c>
      <c r="L1223" s="4" t="str">
        <f t="shared" si="59"/>
        <v>토</v>
      </c>
      <c r="M1223" s="2" t="str">
        <f>VLOOKUP($C1223, 고객정보!$A$2:$E$151, 2, FALSE)</f>
        <v>부산</v>
      </c>
      <c r="N1223" t="str">
        <f>VLOOKUP(C1223,고객정보!$A$2:$D$151,4,FALSE)</f>
        <v>L5</v>
      </c>
      <c r="O1223" t="str">
        <f>VLOOKUP($C1223, 고객정보!$A$2:$E$151, 5, FALSE)</f>
        <v>30대</v>
      </c>
      <c r="P1223" t="str">
        <f>VLOOKUP(D1223,상품정보!$A$2:$E$61,2,FALSE)</f>
        <v>반지</v>
      </c>
      <c r="Q1223" t="str">
        <f>VLOOKUP(D1223,상품정보!$A$2:$D$151,3,FALSE)</f>
        <v>액세서리</v>
      </c>
      <c r="R1223" t="str">
        <f>VLOOKUP(D1223,상품정보!$A$2:$D$151,4,FALSE)</f>
        <v>브랜드B</v>
      </c>
    </row>
    <row r="1224" spans="1:18" x14ac:dyDescent="0.45">
      <c r="A1224" t="s">
        <v>163</v>
      </c>
      <c r="B1224" t="s">
        <v>1623</v>
      </c>
      <c r="C1224" t="s">
        <v>2503</v>
      </c>
      <c r="D1224" t="s">
        <v>2576</v>
      </c>
      <c r="E1224">
        <v>2</v>
      </c>
      <c r="F1224">
        <v>8800</v>
      </c>
      <c r="G1224">
        <v>2000</v>
      </c>
      <c r="H1224">
        <v>0</v>
      </c>
      <c r="I1224" t="s">
        <v>2652</v>
      </c>
      <c r="J1224" s="4">
        <f t="shared" si="57"/>
        <v>19600</v>
      </c>
      <c r="K1224" s="4" t="str">
        <f t="shared" si="58"/>
        <v>2024-09</v>
      </c>
      <c r="L1224" s="4" t="str">
        <f t="shared" si="59"/>
        <v>수</v>
      </c>
      <c r="M1224" s="2" t="str">
        <f>VLOOKUP($C1224, 고객정보!$A$2:$E$151, 2, FALSE)</f>
        <v>대전</v>
      </c>
      <c r="N1224" t="str">
        <f>VLOOKUP(C1224,고객정보!$A$2:$D$151,4,FALSE)</f>
        <v>L3</v>
      </c>
      <c r="O1224" t="str">
        <f>VLOOKUP($C1224, 고객정보!$A$2:$E$151, 5, FALSE)</f>
        <v>40대</v>
      </c>
      <c r="P1224" t="str">
        <f>VLOOKUP(D1224,상품정보!$A$2:$E$61,2,FALSE)</f>
        <v>핸드폰케이스</v>
      </c>
      <c r="Q1224" t="str">
        <f>VLOOKUP(D1224,상품정보!$A$2:$D$151,3,FALSE)</f>
        <v>액세서리</v>
      </c>
      <c r="R1224" t="str">
        <f>VLOOKUP(D1224,상품정보!$A$2:$D$151,4,FALSE)</f>
        <v>브랜드D</v>
      </c>
    </row>
    <row r="1225" spans="1:18" x14ac:dyDescent="0.45">
      <c r="A1225" t="s">
        <v>281</v>
      </c>
      <c r="B1225" t="s">
        <v>1624</v>
      </c>
      <c r="C1225" t="s">
        <v>2452</v>
      </c>
      <c r="D1225" t="s">
        <v>2580</v>
      </c>
      <c r="E1225">
        <v>4</v>
      </c>
      <c r="F1225">
        <v>77800</v>
      </c>
      <c r="G1225">
        <v>500</v>
      </c>
      <c r="H1225">
        <v>6500</v>
      </c>
      <c r="I1225" t="s">
        <v>2612</v>
      </c>
      <c r="J1225" s="4">
        <f t="shared" si="57"/>
        <v>305200</v>
      </c>
      <c r="K1225" s="4" t="str">
        <f t="shared" si="58"/>
        <v>2024-08</v>
      </c>
      <c r="L1225" s="4" t="str">
        <f t="shared" si="59"/>
        <v>화</v>
      </c>
      <c r="M1225" s="2" t="str">
        <f>VLOOKUP($C1225, 고객정보!$A$2:$E$151, 2, FALSE)</f>
        <v>서울</v>
      </c>
      <c r="N1225" t="str">
        <f>VLOOKUP(C1225,고객정보!$A$2:$D$151,4,FALSE)</f>
        <v>L3</v>
      </c>
      <c r="O1225" t="str">
        <f>VLOOKUP($C1225, 고객정보!$A$2:$E$151, 5, FALSE)</f>
        <v>30대</v>
      </c>
      <c r="P1225" t="str">
        <f>VLOOKUP(D1225,상품정보!$A$2:$E$61,2,FALSE)</f>
        <v>청바지</v>
      </c>
      <c r="Q1225" t="str">
        <f>VLOOKUP(D1225,상품정보!$A$2:$D$151,3,FALSE)</f>
        <v>의류</v>
      </c>
      <c r="R1225" t="str">
        <f>VLOOKUP(D1225,상품정보!$A$2:$D$151,4,FALSE)</f>
        <v>브랜드A</v>
      </c>
    </row>
    <row r="1226" spans="1:18" x14ac:dyDescent="0.45">
      <c r="A1226" t="s">
        <v>127</v>
      </c>
      <c r="B1226" t="s">
        <v>1625</v>
      </c>
      <c r="C1226" t="s">
        <v>2473</v>
      </c>
      <c r="D1226" t="s">
        <v>2571</v>
      </c>
      <c r="E1226">
        <v>3</v>
      </c>
      <c r="F1226">
        <v>55600</v>
      </c>
      <c r="G1226">
        <v>1500</v>
      </c>
      <c r="H1226">
        <v>0</v>
      </c>
      <c r="I1226" t="s">
        <v>2652</v>
      </c>
      <c r="J1226" s="4">
        <f t="shared" si="57"/>
        <v>168300</v>
      </c>
      <c r="K1226" s="4" t="str">
        <f t="shared" si="58"/>
        <v>2024-12</v>
      </c>
      <c r="L1226" s="4" t="str">
        <f t="shared" si="59"/>
        <v>일</v>
      </c>
      <c r="M1226" s="2" t="str">
        <f>VLOOKUP($C1226, 고객정보!$A$2:$E$151, 2, FALSE)</f>
        <v>수원</v>
      </c>
      <c r="N1226" t="str">
        <f>VLOOKUP(C1226,고객정보!$A$2:$D$151,4,FALSE)</f>
        <v>L3</v>
      </c>
      <c r="O1226" t="str">
        <f>VLOOKUP($C1226, 고객정보!$A$2:$E$151, 5, FALSE)</f>
        <v>50대 이상</v>
      </c>
      <c r="P1226" t="str">
        <f>VLOOKUP(D1226,상품정보!$A$2:$E$61,2,FALSE)</f>
        <v>자켓</v>
      </c>
      <c r="Q1226" t="str">
        <f>VLOOKUP(D1226,상품정보!$A$2:$D$151,3,FALSE)</f>
        <v>의류</v>
      </c>
      <c r="R1226" t="str">
        <f>VLOOKUP(D1226,상품정보!$A$2:$D$151,4,FALSE)</f>
        <v>브랜드B</v>
      </c>
    </row>
    <row r="1227" spans="1:18" x14ac:dyDescent="0.45">
      <c r="A1227" t="s">
        <v>135</v>
      </c>
      <c r="B1227" t="s">
        <v>1626</v>
      </c>
      <c r="C1227" t="s">
        <v>2426</v>
      </c>
      <c r="D1227" t="s">
        <v>2594</v>
      </c>
      <c r="E1227">
        <v>5</v>
      </c>
      <c r="F1227">
        <v>73000</v>
      </c>
      <c r="G1227">
        <v>0</v>
      </c>
      <c r="H1227">
        <v>0</v>
      </c>
      <c r="I1227" t="s">
        <v>2652</v>
      </c>
      <c r="J1227" s="4">
        <f t="shared" si="57"/>
        <v>365000</v>
      </c>
      <c r="K1227" s="4" t="str">
        <f t="shared" si="58"/>
        <v>2025-01</v>
      </c>
      <c r="L1227" s="4" t="str">
        <f t="shared" si="59"/>
        <v>월</v>
      </c>
      <c r="M1227" s="2" t="str">
        <f>VLOOKUP($C1227, 고객정보!$A$2:$E$151, 2, FALSE)</f>
        <v>대전</v>
      </c>
      <c r="N1227" t="str">
        <f>VLOOKUP(C1227,고객정보!$A$2:$D$151,4,FALSE)</f>
        <v>L5</v>
      </c>
      <c r="O1227" t="str">
        <f>VLOOKUP($C1227, 고객정보!$A$2:$E$151, 5, FALSE)</f>
        <v>30대</v>
      </c>
      <c r="P1227" t="str">
        <f>VLOOKUP(D1227,상품정보!$A$2:$E$61,2,FALSE)</f>
        <v>자켓</v>
      </c>
      <c r="Q1227" t="str">
        <f>VLOOKUP(D1227,상품정보!$A$2:$D$151,3,FALSE)</f>
        <v>의류</v>
      </c>
      <c r="R1227" t="str">
        <f>VLOOKUP(D1227,상품정보!$A$2:$D$151,4,FALSE)</f>
        <v>브랜드A</v>
      </c>
    </row>
    <row r="1228" spans="1:18" x14ac:dyDescent="0.45">
      <c r="A1228" t="s">
        <v>107</v>
      </c>
      <c r="B1228" t="s">
        <v>1627</v>
      </c>
      <c r="C1228" t="s">
        <v>2494</v>
      </c>
      <c r="D1228" t="s">
        <v>2586</v>
      </c>
      <c r="E1228">
        <v>5</v>
      </c>
      <c r="F1228">
        <v>73000</v>
      </c>
      <c r="G1228">
        <v>1500</v>
      </c>
      <c r="H1228">
        <v>0</v>
      </c>
      <c r="I1228" t="s">
        <v>2652</v>
      </c>
      <c r="J1228" s="4">
        <f t="shared" si="57"/>
        <v>366500</v>
      </c>
      <c r="K1228" s="4" t="str">
        <f t="shared" si="58"/>
        <v>2024-04</v>
      </c>
      <c r="L1228" s="4" t="str">
        <f t="shared" si="59"/>
        <v>수</v>
      </c>
      <c r="M1228" s="2" t="str">
        <f>VLOOKUP($C1228, 고객정보!$A$2:$E$151, 2, FALSE)</f>
        <v>대구</v>
      </c>
      <c r="N1228" t="str">
        <f>VLOOKUP(C1228,고객정보!$A$2:$D$151,4,FALSE)</f>
        <v>L4</v>
      </c>
      <c r="O1228" t="str">
        <f>VLOOKUP($C1228, 고객정보!$A$2:$E$151, 5, FALSE)</f>
        <v>40대</v>
      </c>
      <c r="P1228" t="str">
        <f>VLOOKUP(D1228,상품정보!$A$2:$E$61,2,FALSE)</f>
        <v>귀걸이</v>
      </c>
      <c r="Q1228" t="str">
        <f>VLOOKUP(D1228,상품정보!$A$2:$D$151,3,FALSE)</f>
        <v>액세서리</v>
      </c>
      <c r="R1228" t="str">
        <f>VLOOKUP(D1228,상품정보!$A$2:$D$151,4,FALSE)</f>
        <v>브랜드B</v>
      </c>
    </row>
    <row r="1229" spans="1:18" x14ac:dyDescent="0.45">
      <c r="A1229" t="s">
        <v>198</v>
      </c>
      <c r="B1229" t="s">
        <v>1628</v>
      </c>
      <c r="C1229" t="s">
        <v>2450</v>
      </c>
      <c r="D1229" t="s">
        <v>2578</v>
      </c>
      <c r="E1229">
        <v>5</v>
      </c>
      <c r="F1229">
        <v>78000</v>
      </c>
      <c r="G1229">
        <v>500</v>
      </c>
      <c r="H1229">
        <v>0</v>
      </c>
      <c r="I1229" t="s">
        <v>2652</v>
      </c>
      <c r="J1229" s="4">
        <f t="shared" si="57"/>
        <v>390500</v>
      </c>
      <c r="K1229" s="4" t="str">
        <f t="shared" si="58"/>
        <v>2024-12</v>
      </c>
      <c r="L1229" s="4" t="str">
        <f t="shared" si="59"/>
        <v>수</v>
      </c>
      <c r="M1229" s="2" t="str">
        <f>VLOOKUP($C1229, 고객정보!$A$2:$E$151, 2, FALSE)</f>
        <v>인천</v>
      </c>
      <c r="N1229" t="str">
        <f>VLOOKUP(C1229,고객정보!$A$2:$D$151,4,FALSE)</f>
        <v>L5</v>
      </c>
      <c r="O1229" t="str">
        <f>VLOOKUP($C1229, 고객정보!$A$2:$E$151, 5, FALSE)</f>
        <v>40대</v>
      </c>
      <c r="P1229" t="str">
        <f>VLOOKUP(D1229,상품정보!$A$2:$E$61,2,FALSE)</f>
        <v>귀걸이</v>
      </c>
      <c r="Q1229" t="str">
        <f>VLOOKUP(D1229,상품정보!$A$2:$D$151,3,FALSE)</f>
        <v>액세서리</v>
      </c>
      <c r="R1229" t="str">
        <f>VLOOKUP(D1229,상품정보!$A$2:$D$151,4,FALSE)</f>
        <v>브랜드B</v>
      </c>
    </row>
    <row r="1230" spans="1:18" x14ac:dyDescent="0.45">
      <c r="A1230" t="s">
        <v>375</v>
      </c>
      <c r="B1230" t="s">
        <v>1629</v>
      </c>
      <c r="C1230" t="s">
        <v>2454</v>
      </c>
      <c r="D1230" t="s">
        <v>2609</v>
      </c>
      <c r="E1230">
        <v>2</v>
      </c>
      <c r="F1230">
        <v>58600</v>
      </c>
      <c r="G1230">
        <v>0</v>
      </c>
      <c r="H1230">
        <v>2300</v>
      </c>
      <c r="I1230" t="s">
        <v>2613</v>
      </c>
      <c r="J1230" s="4">
        <f t="shared" si="57"/>
        <v>114900</v>
      </c>
      <c r="K1230" s="4" t="str">
        <f t="shared" si="58"/>
        <v>2024-09</v>
      </c>
      <c r="L1230" s="4" t="str">
        <f t="shared" si="59"/>
        <v>화</v>
      </c>
      <c r="M1230" s="2" t="str">
        <f>VLOOKUP($C1230, 고객정보!$A$2:$E$151, 2, FALSE)</f>
        <v>부산</v>
      </c>
      <c r="N1230" t="str">
        <f>VLOOKUP(C1230,고객정보!$A$2:$D$151,4,FALSE)</f>
        <v>L3</v>
      </c>
      <c r="O1230" t="str">
        <f>VLOOKUP($C1230, 고객정보!$A$2:$E$151, 5, FALSE)</f>
        <v>40대</v>
      </c>
      <c r="P1230" t="str">
        <f>VLOOKUP(D1230,상품정보!$A$2:$E$61,2,FALSE)</f>
        <v>목걸이</v>
      </c>
      <c r="Q1230" t="str">
        <f>VLOOKUP(D1230,상품정보!$A$2:$D$151,3,FALSE)</f>
        <v>액세서리</v>
      </c>
      <c r="R1230" t="str">
        <f>VLOOKUP(D1230,상품정보!$A$2:$D$151,4,FALSE)</f>
        <v>브랜드F</v>
      </c>
    </row>
    <row r="1231" spans="1:18" x14ac:dyDescent="0.45">
      <c r="A1231" t="s">
        <v>213</v>
      </c>
      <c r="B1231" t="s">
        <v>1630</v>
      </c>
      <c r="C1231" t="s">
        <v>2412</v>
      </c>
      <c r="D1231" t="s">
        <v>2567</v>
      </c>
      <c r="E1231">
        <v>4</v>
      </c>
      <c r="F1231">
        <v>58600</v>
      </c>
      <c r="G1231">
        <v>500</v>
      </c>
      <c r="H1231">
        <v>0</v>
      </c>
      <c r="I1231" t="s">
        <v>2652</v>
      </c>
      <c r="J1231" s="4">
        <f t="shared" si="57"/>
        <v>234900</v>
      </c>
      <c r="K1231" s="4" t="str">
        <f t="shared" si="58"/>
        <v>2024-03</v>
      </c>
      <c r="L1231" s="4" t="str">
        <f t="shared" si="59"/>
        <v>일</v>
      </c>
      <c r="M1231" s="2" t="str">
        <f>VLOOKUP($C1231, 고객정보!$A$2:$E$151, 2, FALSE)</f>
        <v>대전</v>
      </c>
      <c r="N1231" t="str">
        <f>VLOOKUP(C1231,고객정보!$A$2:$D$151,4,FALSE)</f>
        <v>L4</v>
      </c>
      <c r="O1231" t="str">
        <f>VLOOKUP($C1231, 고객정보!$A$2:$E$151, 5, FALSE)</f>
        <v>30대</v>
      </c>
      <c r="P1231" t="str">
        <f>VLOOKUP(D1231,상품정보!$A$2:$E$61,2,FALSE)</f>
        <v>귀걸이</v>
      </c>
      <c r="Q1231" t="str">
        <f>VLOOKUP(D1231,상품정보!$A$2:$D$151,3,FALSE)</f>
        <v>액세서리</v>
      </c>
      <c r="R1231" t="str">
        <f>VLOOKUP(D1231,상품정보!$A$2:$D$151,4,FALSE)</f>
        <v>브랜드B</v>
      </c>
    </row>
    <row r="1232" spans="1:18" x14ac:dyDescent="0.45">
      <c r="A1232" t="s">
        <v>386</v>
      </c>
      <c r="B1232" t="s">
        <v>1631</v>
      </c>
      <c r="C1232" t="s">
        <v>2463</v>
      </c>
      <c r="D1232" t="s">
        <v>2590</v>
      </c>
      <c r="E1232">
        <v>5</v>
      </c>
      <c r="F1232">
        <v>68900</v>
      </c>
      <c r="G1232">
        <v>1000</v>
      </c>
      <c r="H1232">
        <v>16100</v>
      </c>
      <c r="I1232" t="s">
        <v>2613</v>
      </c>
      <c r="J1232" s="4">
        <f t="shared" si="57"/>
        <v>329400</v>
      </c>
      <c r="K1232" s="4" t="str">
        <f t="shared" si="58"/>
        <v>2024-01</v>
      </c>
      <c r="L1232" s="4" t="str">
        <f t="shared" si="59"/>
        <v>일</v>
      </c>
      <c r="M1232" s="2" t="str">
        <f>VLOOKUP($C1232, 고객정보!$A$2:$E$151, 2, FALSE)</f>
        <v>대구</v>
      </c>
      <c r="N1232" t="str">
        <f>VLOOKUP(C1232,고객정보!$A$2:$D$151,4,FALSE)</f>
        <v>L4</v>
      </c>
      <c r="O1232" t="str">
        <f>VLOOKUP($C1232, 고객정보!$A$2:$E$151, 5, FALSE)</f>
        <v>20대</v>
      </c>
      <c r="P1232" t="str">
        <f>VLOOKUP(D1232,상품정보!$A$2:$E$61,2,FALSE)</f>
        <v>반팔 티셔츠</v>
      </c>
      <c r="Q1232" t="str">
        <f>VLOOKUP(D1232,상품정보!$A$2:$D$151,3,FALSE)</f>
        <v>의류</v>
      </c>
      <c r="R1232" t="str">
        <f>VLOOKUP(D1232,상품정보!$A$2:$D$151,4,FALSE)</f>
        <v>브랜드A</v>
      </c>
    </row>
    <row r="1233" spans="1:18" x14ac:dyDescent="0.45">
      <c r="A1233" t="s">
        <v>248</v>
      </c>
      <c r="B1233" t="s">
        <v>1632</v>
      </c>
      <c r="C1233" t="s">
        <v>2435</v>
      </c>
      <c r="D1233" t="s">
        <v>2593</v>
      </c>
      <c r="E1233">
        <v>2</v>
      </c>
      <c r="F1233">
        <v>74600</v>
      </c>
      <c r="G1233">
        <v>1000</v>
      </c>
      <c r="H1233">
        <v>0</v>
      </c>
      <c r="I1233" t="s">
        <v>2652</v>
      </c>
      <c r="J1233" s="4">
        <f t="shared" si="57"/>
        <v>150200</v>
      </c>
      <c r="K1233" s="4" t="str">
        <f t="shared" si="58"/>
        <v>2024-09</v>
      </c>
      <c r="L1233" s="4" t="str">
        <f t="shared" si="59"/>
        <v>일</v>
      </c>
      <c r="M1233" s="2" t="str">
        <f>VLOOKUP($C1233, 고객정보!$A$2:$E$151, 2, FALSE)</f>
        <v>인천</v>
      </c>
      <c r="N1233" t="str">
        <f>VLOOKUP(C1233,고객정보!$A$2:$D$151,4,FALSE)</f>
        <v>L5</v>
      </c>
      <c r="O1233" t="str">
        <f>VLOOKUP($C1233, 고객정보!$A$2:$E$151, 5, FALSE)</f>
        <v>30대</v>
      </c>
      <c r="P1233" t="str">
        <f>VLOOKUP(D1233,상품정보!$A$2:$E$61,2,FALSE)</f>
        <v>반팔 티셔츠</v>
      </c>
      <c r="Q1233" t="str">
        <f>VLOOKUP(D1233,상품정보!$A$2:$D$151,3,FALSE)</f>
        <v>의류</v>
      </c>
      <c r="R1233" t="str">
        <f>VLOOKUP(D1233,상품정보!$A$2:$D$151,4,FALSE)</f>
        <v>브랜드B</v>
      </c>
    </row>
    <row r="1234" spans="1:18" x14ac:dyDescent="0.45">
      <c r="A1234" t="s">
        <v>75</v>
      </c>
      <c r="B1234" t="s">
        <v>1633</v>
      </c>
      <c r="C1234" t="s">
        <v>2550</v>
      </c>
      <c r="D1234" t="s">
        <v>2610</v>
      </c>
      <c r="E1234">
        <v>4</v>
      </c>
      <c r="F1234">
        <v>18800</v>
      </c>
      <c r="G1234">
        <v>0</v>
      </c>
      <c r="H1234">
        <v>0</v>
      </c>
      <c r="I1234" t="s">
        <v>2652</v>
      </c>
      <c r="J1234" s="4">
        <f t="shared" si="57"/>
        <v>75200</v>
      </c>
      <c r="K1234" s="4" t="str">
        <f t="shared" si="58"/>
        <v>2024-03</v>
      </c>
      <c r="L1234" s="4" t="str">
        <f t="shared" si="59"/>
        <v>월</v>
      </c>
      <c r="M1234" s="2" t="str">
        <f>VLOOKUP($C1234, 고객정보!$A$2:$E$151, 2, FALSE)</f>
        <v>광주</v>
      </c>
      <c r="N1234" t="str">
        <f>VLOOKUP(C1234,고객정보!$A$2:$D$151,4,FALSE)</f>
        <v>L1</v>
      </c>
      <c r="O1234" t="str">
        <f>VLOOKUP($C1234, 고객정보!$A$2:$E$151, 5, FALSE)</f>
        <v>40대</v>
      </c>
      <c r="P1234" t="str">
        <f>VLOOKUP(D1234,상품정보!$A$2:$E$61,2,FALSE)</f>
        <v>자켓</v>
      </c>
      <c r="Q1234" t="str">
        <f>VLOOKUP(D1234,상품정보!$A$2:$D$151,3,FALSE)</f>
        <v>의류</v>
      </c>
      <c r="R1234" t="str">
        <f>VLOOKUP(D1234,상품정보!$A$2:$D$151,4,FALSE)</f>
        <v>브랜드E</v>
      </c>
    </row>
    <row r="1235" spans="1:18" x14ac:dyDescent="0.45">
      <c r="A1235" t="s">
        <v>246</v>
      </c>
      <c r="B1235" t="s">
        <v>1634</v>
      </c>
      <c r="C1235" t="s">
        <v>2532</v>
      </c>
      <c r="D1235" t="s">
        <v>2557</v>
      </c>
      <c r="E1235">
        <v>4</v>
      </c>
      <c r="F1235">
        <v>77700</v>
      </c>
      <c r="G1235">
        <v>0</v>
      </c>
      <c r="H1235">
        <v>0</v>
      </c>
      <c r="I1235" t="s">
        <v>2652</v>
      </c>
      <c r="J1235" s="4">
        <f t="shared" si="57"/>
        <v>310800</v>
      </c>
      <c r="K1235" s="4" t="str">
        <f t="shared" si="58"/>
        <v>2024-06</v>
      </c>
      <c r="L1235" s="4" t="str">
        <f t="shared" si="59"/>
        <v>목</v>
      </c>
      <c r="M1235" s="2" t="str">
        <f>VLOOKUP($C1235, 고객정보!$A$2:$E$151, 2, FALSE)</f>
        <v>서울</v>
      </c>
      <c r="N1235" t="str">
        <f>VLOOKUP(C1235,고객정보!$A$2:$D$151,4,FALSE)</f>
        <v>L2</v>
      </c>
      <c r="O1235" t="str">
        <f>VLOOKUP($C1235, 고객정보!$A$2:$E$151, 5, FALSE)</f>
        <v>50대 이상</v>
      </c>
      <c r="P1235" t="str">
        <f>VLOOKUP(D1235,상품정보!$A$2:$E$61,2,FALSE)</f>
        <v>귀걸이</v>
      </c>
      <c r="Q1235" t="str">
        <f>VLOOKUP(D1235,상품정보!$A$2:$D$151,3,FALSE)</f>
        <v>액세서리</v>
      </c>
      <c r="R1235" t="str">
        <f>VLOOKUP(D1235,상품정보!$A$2:$D$151,4,FALSE)</f>
        <v>브랜드B</v>
      </c>
    </row>
    <row r="1236" spans="1:18" x14ac:dyDescent="0.45">
      <c r="A1236" t="s">
        <v>257</v>
      </c>
      <c r="B1236" t="s">
        <v>1635</v>
      </c>
      <c r="C1236" t="s">
        <v>2509</v>
      </c>
      <c r="D1236" t="s">
        <v>2558</v>
      </c>
      <c r="E1236">
        <v>3</v>
      </c>
      <c r="F1236">
        <v>63700</v>
      </c>
      <c r="G1236">
        <v>500</v>
      </c>
      <c r="H1236">
        <v>0</v>
      </c>
      <c r="I1236" t="s">
        <v>2652</v>
      </c>
      <c r="J1236" s="4">
        <f t="shared" si="57"/>
        <v>191600</v>
      </c>
      <c r="K1236" s="4" t="str">
        <f t="shared" si="58"/>
        <v>2024-01</v>
      </c>
      <c r="L1236" s="4" t="str">
        <f t="shared" si="59"/>
        <v>금</v>
      </c>
      <c r="M1236" s="2" t="str">
        <f>VLOOKUP($C1236, 고객정보!$A$2:$E$151, 2, FALSE)</f>
        <v>서울</v>
      </c>
      <c r="N1236" t="str">
        <f>VLOOKUP(C1236,고객정보!$A$2:$D$151,4,FALSE)</f>
        <v>L4</v>
      </c>
      <c r="O1236" t="str">
        <f>VLOOKUP($C1236, 고객정보!$A$2:$E$151, 5, FALSE)</f>
        <v>40대</v>
      </c>
      <c r="P1236" t="str">
        <f>VLOOKUP(D1236,상품정보!$A$2:$E$61,2,FALSE)</f>
        <v>셔츠</v>
      </c>
      <c r="Q1236" t="str">
        <f>VLOOKUP(D1236,상품정보!$A$2:$D$151,3,FALSE)</f>
        <v>의류</v>
      </c>
      <c r="R1236" t="str">
        <f>VLOOKUP(D1236,상품정보!$A$2:$D$151,4,FALSE)</f>
        <v>브랜드A</v>
      </c>
    </row>
    <row r="1237" spans="1:18" x14ac:dyDescent="0.45">
      <c r="A1237" t="s">
        <v>244</v>
      </c>
      <c r="B1237" t="s">
        <v>1636</v>
      </c>
      <c r="C1237" t="s">
        <v>2439</v>
      </c>
      <c r="D1237" t="s">
        <v>2607</v>
      </c>
      <c r="E1237">
        <v>5</v>
      </c>
      <c r="F1237">
        <v>16000</v>
      </c>
      <c r="G1237">
        <v>0</v>
      </c>
      <c r="H1237">
        <v>0</v>
      </c>
      <c r="I1237" t="s">
        <v>2652</v>
      </c>
      <c r="J1237" s="4">
        <f t="shared" si="57"/>
        <v>80000</v>
      </c>
      <c r="K1237" s="4" t="str">
        <f t="shared" si="58"/>
        <v>2024-11</v>
      </c>
      <c r="L1237" s="4" t="str">
        <f t="shared" si="59"/>
        <v>월</v>
      </c>
      <c r="M1237" s="2" t="str">
        <f>VLOOKUP($C1237, 고객정보!$A$2:$E$151, 2, FALSE)</f>
        <v>대구</v>
      </c>
      <c r="N1237" t="str">
        <f>VLOOKUP(C1237,고객정보!$A$2:$D$151,4,FALSE)</f>
        <v>L3</v>
      </c>
      <c r="O1237" t="str">
        <f>VLOOKUP($C1237, 고객정보!$A$2:$E$151, 5, FALSE)</f>
        <v>30대</v>
      </c>
      <c r="P1237" t="str">
        <f>VLOOKUP(D1237,상품정보!$A$2:$E$61,2,FALSE)</f>
        <v>목걸이</v>
      </c>
      <c r="Q1237" t="str">
        <f>VLOOKUP(D1237,상품정보!$A$2:$D$151,3,FALSE)</f>
        <v>액세서리</v>
      </c>
      <c r="R1237" t="str">
        <f>VLOOKUP(D1237,상품정보!$A$2:$D$151,4,FALSE)</f>
        <v>브랜드E</v>
      </c>
    </row>
    <row r="1238" spans="1:18" x14ac:dyDescent="0.45">
      <c r="A1238" t="s">
        <v>52</v>
      </c>
      <c r="B1238" t="s">
        <v>1637</v>
      </c>
      <c r="C1238" t="s">
        <v>2538</v>
      </c>
      <c r="D1238" t="s">
        <v>2575</v>
      </c>
      <c r="E1238">
        <v>2</v>
      </c>
      <c r="F1238">
        <v>7200</v>
      </c>
      <c r="G1238">
        <v>500</v>
      </c>
      <c r="H1238">
        <v>2600</v>
      </c>
      <c r="I1238" t="s">
        <v>2613</v>
      </c>
      <c r="J1238" s="4">
        <f t="shared" si="57"/>
        <v>12300</v>
      </c>
      <c r="K1238" s="4" t="str">
        <f t="shared" si="58"/>
        <v>2024-02</v>
      </c>
      <c r="L1238" s="4" t="str">
        <f t="shared" si="59"/>
        <v>토</v>
      </c>
      <c r="M1238" s="2" t="str">
        <f>VLOOKUP($C1238, 고객정보!$A$2:$E$151, 2, FALSE)</f>
        <v>대구</v>
      </c>
      <c r="N1238" t="str">
        <f>VLOOKUP(C1238,고객정보!$A$2:$D$151,4,FALSE)</f>
        <v>L4</v>
      </c>
      <c r="O1238" t="str">
        <f>VLOOKUP($C1238, 고객정보!$A$2:$E$151, 5, FALSE)</f>
        <v>40대</v>
      </c>
      <c r="P1238" t="str">
        <f>VLOOKUP(D1238,상품정보!$A$2:$E$61,2,FALSE)</f>
        <v>반지</v>
      </c>
      <c r="Q1238" t="str">
        <f>VLOOKUP(D1238,상품정보!$A$2:$D$151,3,FALSE)</f>
        <v>액세서리</v>
      </c>
      <c r="R1238" t="str">
        <f>VLOOKUP(D1238,상품정보!$A$2:$D$151,4,FALSE)</f>
        <v>브랜드E</v>
      </c>
    </row>
    <row r="1239" spans="1:18" x14ac:dyDescent="0.45">
      <c r="A1239" t="s">
        <v>284</v>
      </c>
      <c r="B1239" t="s">
        <v>1638</v>
      </c>
      <c r="C1239" t="s">
        <v>2413</v>
      </c>
      <c r="D1239" t="s">
        <v>2556</v>
      </c>
      <c r="E1239">
        <v>5</v>
      </c>
      <c r="F1239">
        <v>70100</v>
      </c>
      <c r="G1239">
        <v>0</v>
      </c>
      <c r="H1239">
        <v>0</v>
      </c>
      <c r="I1239" t="s">
        <v>2652</v>
      </c>
      <c r="J1239" s="4">
        <f t="shared" si="57"/>
        <v>350500</v>
      </c>
      <c r="K1239" s="4" t="str">
        <f t="shared" si="58"/>
        <v>2024-08</v>
      </c>
      <c r="L1239" s="4" t="str">
        <f t="shared" si="59"/>
        <v>토</v>
      </c>
      <c r="M1239" s="2" t="str">
        <f>VLOOKUP($C1239, 고객정보!$A$2:$E$151, 2, FALSE)</f>
        <v>서울</v>
      </c>
      <c r="N1239" t="str">
        <f>VLOOKUP(C1239,고객정보!$A$2:$D$151,4,FALSE)</f>
        <v>L5</v>
      </c>
      <c r="O1239" t="str">
        <f>VLOOKUP($C1239, 고객정보!$A$2:$E$151, 5, FALSE)</f>
        <v>30대</v>
      </c>
      <c r="P1239" t="str">
        <f>VLOOKUP(D1239,상품정보!$A$2:$E$61,2,FALSE)</f>
        <v>핸드폰케이스</v>
      </c>
      <c r="Q1239" t="str">
        <f>VLOOKUP(D1239,상품정보!$A$2:$D$151,3,FALSE)</f>
        <v>액세서리</v>
      </c>
      <c r="R1239" t="str">
        <f>VLOOKUP(D1239,상품정보!$A$2:$D$151,4,FALSE)</f>
        <v>브랜드F</v>
      </c>
    </row>
    <row r="1240" spans="1:18" x14ac:dyDescent="0.45">
      <c r="A1240" t="s">
        <v>322</v>
      </c>
      <c r="B1240" t="s">
        <v>1639</v>
      </c>
      <c r="C1240" t="s">
        <v>2544</v>
      </c>
      <c r="D1240" t="s">
        <v>2610</v>
      </c>
      <c r="E1240">
        <v>4</v>
      </c>
      <c r="F1240">
        <v>18800</v>
      </c>
      <c r="G1240">
        <v>1000</v>
      </c>
      <c r="H1240">
        <v>5400</v>
      </c>
      <c r="I1240" t="s">
        <v>2611</v>
      </c>
      <c r="J1240" s="4">
        <f t="shared" si="57"/>
        <v>70800</v>
      </c>
      <c r="K1240" s="4" t="str">
        <f t="shared" si="58"/>
        <v>2024-08</v>
      </c>
      <c r="L1240" s="4" t="str">
        <f t="shared" si="59"/>
        <v>금</v>
      </c>
      <c r="M1240" s="2" t="str">
        <f>VLOOKUP($C1240, 고객정보!$A$2:$E$151, 2, FALSE)</f>
        <v>서울</v>
      </c>
      <c r="N1240" t="str">
        <f>VLOOKUP(C1240,고객정보!$A$2:$D$151,4,FALSE)</f>
        <v>L5</v>
      </c>
      <c r="O1240" t="str">
        <f>VLOOKUP($C1240, 고객정보!$A$2:$E$151, 5, FALSE)</f>
        <v>40대</v>
      </c>
      <c r="P1240" t="str">
        <f>VLOOKUP(D1240,상품정보!$A$2:$E$61,2,FALSE)</f>
        <v>자켓</v>
      </c>
      <c r="Q1240" t="str">
        <f>VLOOKUP(D1240,상품정보!$A$2:$D$151,3,FALSE)</f>
        <v>의류</v>
      </c>
      <c r="R1240" t="str">
        <f>VLOOKUP(D1240,상품정보!$A$2:$D$151,4,FALSE)</f>
        <v>브랜드E</v>
      </c>
    </row>
    <row r="1241" spans="1:18" x14ac:dyDescent="0.45">
      <c r="A1241" t="s">
        <v>216</v>
      </c>
      <c r="B1241" t="s">
        <v>1640</v>
      </c>
      <c r="C1241" t="s">
        <v>2426</v>
      </c>
      <c r="D1241" t="s">
        <v>2580</v>
      </c>
      <c r="E1241">
        <v>4</v>
      </c>
      <c r="F1241">
        <v>77800</v>
      </c>
      <c r="G1241">
        <v>0</v>
      </c>
      <c r="H1241">
        <v>0</v>
      </c>
      <c r="I1241" t="s">
        <v>2652</v>
      </c>
      <c r="J1241" s="4">
        <f t="shared" si="57"/>
        <v>311200</v>
      </c>
      <c r="K1241" s="4" t="str">
        <f t="shared" si="58"/>
        <v>2025-01</v>
      </c>
      <c r="L1241" s="4" t="str">
        <f t="shared" si="59"/>
        <v>목</v>
      </c>
      <c r="M1241" s="2" t="str">
        <f>VLOOKUP($C1241, 고객정보!$A$2:$E$151, 2, FALSE)</f>
        <v>대전</v>
      </c>
      <c r="N1241" t="str">
        <f>VLOOKUP(C1241,고객정보!$A$2:$D$151,4,FALSE)</f>
        <v>L5</v>
      </c>
      <c r="O1241" t="str">
        <f>VLOOKUP($C1241, 고객정보!$A$2:$E$151, 5, FALSE)</f>
        <v>30대</v>
      </c>
      <c r="P1241" t="str">
        <f>VLOOKUP(D1241,상품정보!$A$2:$E$61,2,FALSE)</f>
        <v>청바지</v>
      </c>
      <c r="Q1241" t="str">
        <f>VLOOKUP(D1241,상품정보!$A$2:$D$151,3,FALSE)</f>
        <v>의류</v>
      </c>
      <c r="R1241" t="str">
        <f>VLOOKUP(D1241,상품정보!$A$2:$D$151,4,FALSE)</f>
        <v>브랜드A</v>
      </c>
    </row>
    <row r="1242" spans="1:18" x14ac:dyDescent="0.45">
      <c r="A1242" t="s">
        <v>249</v>
      </c>
      <c r="B1242" t="s">
        <v>1641</v>
      </c>
      <c r="C1242" t="s">
        <v>2539</v>
      </c>
      <c r="D1242" t="s">
        <v>2591</v>
      </c>
      <c r="E1242">
        <v>4</v>
      </c>
      <c r="F1242">
        <v>69200</v>
      </c>
      <c r="G1242">
        <v>1500</v>
      </c>
      <c r="H1242">
        <v>25600</v>
      </c>
      <c r="I1242" t="s">
        <v>2614</v>
      </c>
      <c r="J1242" s="4">
        <f t="shared" si="57"/>
        <v>252700</v>
      </c>
      <c r="K1242" s="4" t="str">
        <f t="shared" si="58"/>
        <v>2024-07</v>
      </c>
      <c r="L1242" s="4" t="str">
        <f t="shared" si="59"/>
        <v>화</v>
      </c>
      <c r="M1242" s="2" t="str">
        <f>VLOOKUP($C1242, 고객정보!$A$2:$E$151, 2, FALSE)</f>
        <v>서울</v>
      </c>
      <c r="N1242" t="str">
        <f>VLOOKUP(C1242,고객정보!$A$2:$D$151,4,FALSE)</f>
        <v>L1</v>
      </c>
      <c r="O1242" t="str">
        <f>VLOOKUP($C1242, 고객정보!$A$2:$E$151, 5, FALSE)</f>
        <v>50대 이상</v>
      </c>
      <c r="P1242" t="str">
        <f>VLOOKUP(D1242,상품정보!$A$2:$E$61,2,FALSE)</f>
        <v>셔츠</v>
      </c>
      <c r="Q1242" t="str">
        <f>VLOOKUP(D1242,상품정보!$A$2:$D$151,3,FALSE)</f>
        <v>의류</v>
      </c>
      <c r="R1242" t="str">
        <f>VLOOKUP(D1242,상품정보!$A$2:$D$151,4,FALSE)</f>
        <v>브랜드F</v>
      </c>
    </row>
    <row r="1243" spans="1:18" x14ac:dyDescent="0.45">
      <c r="A1243" t="s">
        <v>357</v>
      </c>
      <c r="B1243" t="s">
        <v>1642</v>
      </c>
      <c r="C1243" t="s">
        <v>2483</v>
      </c>
      <c r="D1243" t="s">
        <v>2562</v>
      </c>
      <c r="E1243">
        <v>5</v>
      </c>
      <c r="F1243">
        <v>15600</v>
      </c>
      <c r="G1243">
        <v>0</v>
      </c>
      <c r="H1243">
        <v>7100</v>
      </c>
      <c r="I1243" t="s">
        <v>2614</v>
      </c>
      <c r="J1243" s="4">
        <f t="shared" si="57"/>
        <v>70900</v>
      </c>
      <c r="K1243" s="4" t="str">
        <f t="shared" si="58"/>
        <v>2024-01</v>
      </c>
      <c r="L1243" s="4" t="str">
        <f t="shared" si="59"/>
        <v>월</v>
      </c>
      <c r="M1243" s="2" t="str">
        <f>VLOOKUP($C1243, 고객정보!$A$2:$E$151, 2, FALSE)</f>
        <v>인천</v>
      </c>
      <c r="N1243" t="str">
        <f>VLOOKUP(C1243,고객정보!$A$2:$D$151,4,FALSE)</f>
        <v>L1</v>
      </c>
      <c r="O1243" t="str">
        <f>VLOOKUP($C1243, 고객정보!$A$2:$E$151, 5, FALSE)</f>
        <v>30대</v>
      </c>
      <c r="P1243" t="str">
        <f>VLOOKUP(D1243,상품정보!$A$2:$E$61,2,FALSE)</f>
        <v>반팔 티셔츠</v>
      </c>
      <c r="Q1243" t="str">
        <f>VLOOKUP(D1243,상품정보!$A$2:$D$151,3,FALSE)</f>
        <v>의류</v>
      </c>
      <c r="R1243" t="str">
        <f>VLOOKUP(D1243,상품정보!$A$2:$D$151,4,FALSE)</f>
        <v>브랜드E</v>
      </c>
    </row>
    <row r="1244" spans="1:18" x14ac:dyDescent="0.45">
      <c r="A1244" t="s">
        <v>188</v>
      </c>
      <c r="B1244" t="s">
        <v>1643</v>
      </c>
      <c r="C1244" t="s">
        <v>2411</v>
      </c>
      <c r="D1244" t="s">
        <v>2577</v>
      </c>
      <c r="E1244">
        <v>5</v>
      </c>
      <c r="F1244">
        <v>10200</v>
      </c>
      <c r="G1244">
        <v>500</v>
      </c>
      <c r="H1244">
        <v>8600</v>
      </c>
      <c r="I1244" t="s">
        <v>2612</v>
      </c>
      <c r="J1244" s="4">
        <f t="shared" si="57"/>
        <v>42900</v>
      </c>
      <c r="K1244" s="4" t="str">
        <f t="shared" si="58"/>
        <v>2024-11</v>
      </c>
      <c r="L1244" s="4" t="str">
        <f t="shared" si="59"/>
        <v>화</v>
      </c>
      <c r="M1244" s="2" t="str">
        <f>VLOOKUP($C1244, 고객정보!$A$2:$E$151, 2, FALSE)</f>
        <v>부산</v>
      </c>
      <c r="N1244" t="str">
        <f>VLOOKUP(C1244,고객정보!$A$2:$D$151,4,FALSE)</f>
        <v>L5</v>
      </c>
      <c r="O1244" t="str">
        <f>VLOOKUP($C1244, 고객정보!$A$2:$E$151, 5, FALSE)</f>
        <v>30대</v>
      </c>
      <c r="P1244" t="str">
        <f>VLOOKUP(D1244,상품정보!$A$2:$E$61,2,FALSE)</f>
        <v>셔츠</v>
      </c>
      <c r="Q1244" t="str">
        <f>VLOOKUP(D1244,상품정보!$A$2:$D$151,3,FALSE)</f>
        <v>의류</v>
      </c>
      <c r="R1244" t="str">
        <f>VLOOKUP(D1244,상품정보!$A$2:$D$151,4,FALSE)</f>
        <v>브랜드C</v>
      </c>
    </row>
    <row r="1245" spans="1:18" x14ac:dyDescent="0.45">
      <c r="A1245" t="s">
        <v>95</v>
      </c>
      <c r="B1245" t="s">
        <v>1644</v>
      </c>
      <c r="C1245" t="s">
        <v>2471</v>
      </c>
      <c r="D1245" t="s">
        <v>2584</v>
      </c>
      <c r="E1245">
        <v>5</v>
      </c>
      <c r="F1245">
        <v>59700</v>
      </c>
      <c r="G1245">
        <v>0</v>
      </c>
      <c r="H1245">
        <v>3700</v>
      </c>
      <c r="I1245" t="s">
        <v>2611</v>
      </c>
      <c r="J1245" s="4">
        <f t="shared" si="57"/>
        <v>294800</v>
      </c>
      <c r="K1245" s="4" t="str">
        <f t="shared" si="58"/>
        <v>2024-10</v>
      </c>
      <c r="L1245" s="4" t="str">
        <f t="shared" si="59"/>
        <v>월</v>
      </c>
      <c r="M1245" s="2" t="str">
        <f>VLOOKUP($C1245, 고객정보!$A$2:$E$151, 2, FALSE)</f>
        <v>서울</v>
      </c>
      <c r="N1245" t="str">
        <f>VLOOKUP(C1245,고객정보!$A$2:$D$151,4,FALSE)</f>
        <v>L5</v>
      </c>
      <c r="O1245" t="str">
        <f>VLOOKUP($C1245, 고객정보!$A$2:$E$151, 5, FALSE)</f>
        <v>40대</v>
      </c>
      <c r="P1245" t="str">
        <f>VLOOKUP(D1245,상품정보!$A$2:$E$61,2,FALSE)</f>
        <v>목걸이</v>
      </c>
      <c r="Q1245" t="str">
        <f>VLOOKUP(D1245,상품정보!$A$2:$D$151,3,FALSE)</f>
        <v>액세서리</v>
      </c>
      <c r="R1245" t="str">
        <f>VLOOKUP(D1245,상품정보!$A$2:$D$151,4,FALSE)</f>
        <v>브랜드B</v>
      </c>
    </row>
    <row r="1246" spans="1:18" x14ac:dyDescent="0.45">
      <c r="A1246" t="s">
        <v>168</v>
      </c>
      <c r="B1246" t="s">
        <v>1645</v>
      </c>
      <c r="C1246" t="s">
        <v>2548</v>
      </c>
      <c r="D1246" t="s">
        <v>2593</v>
      </c>
      <c r="E1246">
        <v>4</v>
      </c>
      <c r="F1246">
        <v>74600</v>
      </c>
      <c r="G1246">
        <v>0</v>
      </c>
      <c r="H1246">
        <v>26100</v>
      </c>
      <c r="I1246" t="s">
        <v>2612</v>
      </c>
      <c r="J1246" s="4">
        <f t="shared" si="57"/>
        <v>272300</v>
      </c>
      <c r="K1246" s="4" t="str">
        <f t="shared" si="58"/>
        <v>2024-06</v>
      </c>
      <c r="L1246" s="4" t="str">
        <f t="shared" si="59"/>
        <v>일</v>
      </c>
      <c r="M1246" s="2" t="str">
        <f>VLOOKUP($C1246, 고객정보!$A$2:$E$151, 2, FALSE)</f>
        <v>수원</v>
      </c>
      <c r="N1246" t="str">
        <f>VLOOKUP(C1246,고객정보!$A$2:$D$151,4,FALSE)</f>
        <v>L2</v>
      </c>
      <c r="O1246" t="str">
        <f>VLOOKUP($C1246, 고객정보!$A$2:$E$151, 5, FALSE)</f>
        <v>50대 이상</v>
      </c>
      <c r="P1246" t="str">
        <f>VLOOKUP(D1246,상품정보!$A$2:$E$61,2,FALSE)</f>
        <v>반팔 티셔츠</v>
      </c>
      <c r="Q1246" t="str">
        <f>VLOOKUP(D1246,상품정보!$A$2:$D$151,3,FALSE)</f>
        <v>의류</v>
      </c>
      <c r="R1246" t="str">
        <f>VLOOKUP(D1246,상품정보!$A$2:$D$151,4,FALSE)</f>
        <v>브랜드B</v>
      </c>
    </row>
    <row r="1247" spans="1:18" x14ac:dyDescent="0.45">
      <c r="A1247" t="s">
        <v>107</v>
      </c>
      <c r="B1247" t="s">
        <v>1646</v>
      </c>
      <c r="C1247" t="s">
        <v>2419</v>
      </c>
      <c r="D1247" t="s">
        <v>2602</v>
      </c>
      <c r="E1247">
        <v>1</v>
      </c>
      <c r="F1247">
        <v>59900</v>
      </c>
      <c r="G1247">
        <v>0</v>
      </c>
      <c r="H1247">
        <v>0</v>
      </c>
      <c r="I1247" t="s">
        <v>2652</v>
      </c>
      <c r="J1247" s="4">
        <f t="shared" si="57"/>
        <v>59900</v>
      </c>
      <c r="K1247" s="4" t="str">
        <f t="shared" si="58"/>
        <v>2024-04</v>
      </c>
      <c r="L1247" s="4" t="str">
        <f t="shared" si="59"/>
        <v>수</v>
      </c>
      <c r="M1247" s="2" t="str">
        <f>VLOOKUP($C1247, 고객정보!$A$2:$E$151, 2, FALSE)</f>
        <v>대구</v>
      </c>
      <c r="N1247" t="str">
        <f>VLOOKUP(C1247,고객정보!$A$2:$D$151,4,FALSE)</f>
        <v>L2</v>
      </c>
      <c r="O1247" t="str">
        <f>VLOOKUP($C1247, 고객정보!$A$2:$E$151, 5, FALSE)</f>
        <v>20대</v>
      </c>
      <c r="P1247" t="str">
        <f>VLOOKUP(D1247,상품정보!$A$2:$E$61,2,FALSE)</f>
        <v>셔츠</v>
      </c>
      <c r="Q1247" t="str">
        <f>VLOOKUP(D1247,상품정보!$A$2:$D$151,3,FALSE)</f>
        <v>의류</v>
      </c>
      <c r="R1247" t="str">
        <f>VLOOKUP(D1247,상품정보!$A$2:$D$151,4,FALSE)</f>
        <v>브랜드A</v>
      </c>
    </row>
    <row r="1248" spans="1:18" x14ac:dyDescent="0.45">
      <c r="A1248" t="s">
        <v>135</v>
      </c>
      <c r="B1248" t="s">
        <v>1647</v>
      </c>
      <c r="C1248" t="s">
        <v>2462</v>
      </c>
      <c r="D1248" t="s">
        <v>2558</v>
      </c>
      <c r="E1248">
        <v>5</v>
      </c>
      <c r="F1248">
        <v>63700</v>
      </c>
      <c r="G1248">
        <v>0</v>
      </c>
      <c r="H1248">
        <v>0</v>
      </c>
      <c r="I1248" t="s">
        <v>2652</v>
      </c>
      <c r="J1248" s="4">
        <f t="shared" si="57"/>
        <v>318500</v>
      </c>
      <c r="K1248" s="4" t="str">
        <f t="shared" si="58"/>
        <v>2025-01</v>
      </c>
      <c r="L1248" s="4" t="str">
        <f t="shared" si="59"/>
        <v>월</v>
      </c>
      <c r="M1248" s="2" t="str">
        <f>VLOOKUP($C1248, 고객정보!$A$2:$E$151, 2, FALSE)</f>
        <v>광주</v>
      </c>
      <c r="N1248" t="str">
        <f>VLOOKUP(C1248,고객정보!$A$2:$D$151,4,FALSE)</f>
        <v>L5</v>
      </c>
      <c r="O1248" t="str">
        <f>VLOOKUP($C1248, 고객정보!$A$2:$E$151, 5, FALSE)</f>
        <v>50대 이상</v>
      </c>
      <c r="P1248" t="str">
        <f>VLOOKUP(D1248,상품정보!$A$2:$E$61,2,FALSE)</f>
        <v>셔츠</v>
      </c>
      <c r="Q1248" t="str">
        <f>VLOOKUP(D1248,상품정보!$A$2:$D$151,3,FALSE)</f>
        <v>의류</v>
      </c>
      <c r="R1248" t="str">
        <f>VLOOKUP(D1248,상품정보!$A$2:$D$151,4,FALSE)</f>
        <v>브랜드A</v>
      </c>
    </row>
    <row r="1249" spans="1:18" x14ac:dyDescent="0.45">
      <c r="A1249" t="s">
        <v>349</v>
      </c>
      <c r="B1249" t="s">
        <v>1648</v>
      </c>
      <c r="C1249" t="s">
        <v>2446</v>
      </c>
      <c r="D1249" t="s">
        <v>2588</v>
      </c>
      <c r="E1249">
        <v>3</v>
      </c>
      <c r="F1249">
        <v>7700</v>
      </c>
      <c r="G1249">
        <v>0</v>
      </c>
      <c r="H1249">
        <v>0</v>
      </c>
      <c r="I1249" t="s">
        <v>2652</v>
      </c>
      <c r="J1249" s="4">
        <f t="shared" si="57"/>
        <v>23100</v>
      </c>
      <c r="K1249" s="4" t="str">
        <f t="shared" si="58"/>
        <v>2025-01</v>
      </c>
      <c r="L1249" s="4" t="str">
        <f t="shared" si="59"/>
        <v>수</v>
      </c>
      <c r="M1249" s="2" t="str">
        <f>VLOOKUP($C1249, 고객정보!$A$2:$E$151, 2, FALSE)</f>
        <v>대전</v>
      </c>
      <c r="N1249" t="str">
        <f>VLOOKUP(C1249,고객정보!$A$2:$D$151,4,FALSE)</f>
        <v>L2</v>
      </c>
      <c r="O1249" t="str">
        <f>VLOOKUP($C1249, 고객정보!$A$2:$E$151, 5, FALSE)</f>
        <v>50대 이상</v>
      </c>
      <c r="P1249" t="str">
        <f>VLOOKUP(D1249,상품정보!$A$2:$E$61,2,FALSE)</f>
        <v>귀걸이</v>
      </c>
      <c r="Q1249" t="str">
        <f>VLOOKUP(D1249,상품정보!$A$2:$D$151,3,FALSE)</f>
        <v>액세서리</v>
      </c>
      <c r="R1249" t="str">
        <f>VLOOKUP(D1249,상품정보!$A$2:$D$151,4,FALSE)</f>
        <v>브랜드D</v>
      </c>
    </row>
    <row r="1250" spans="1:18" x14ac:dyDescent="0.45">
      <c r="A1250" t="s">
        <v>171</v>
      </c>
      <c r="B1250" t="s">
        <v>1649</v>
      </c>
      <c r="C1250" t="s">
        <v>2516</v>
      </c>
      <c r="D1250" t="s">
        <v>2580</v>
      </c>
      <c r="E1250">
        <v>1</v>
      </c>
      <c r="F1250">
        <v>77800</v>
      </c>
      <c r="G1250">
        <v>0</v>
      </c>
      <c r="H1250">
        <v>2100</v>
      </c>
      <c r="I1250" t="s">
        <v>2614</v>
      </c>
      <c r="J1250" s="4">
        <f t="shared" si="57"/>
        <v>75700</v>
      </c>
      <c r="K1250" s="4" t="str">
        <f t="shared" si="58"/>
        <v>2025-01</v>
      </c>
      <c r="L1250" s="4" t="str">
        <f t="shared" si="59"/>
        <v>목</v>
      </c>
      <c r="M1250" s="2" t="str">
        <f>VLOOKUP($C1250, 고객정보!$A$2:$E$151, 2, FALSE)</f>
        <v>대전</v>
      </c>
      <c r="N1250" t="str">
        <f>VLOOKUP(C1250,고객정보!$A$2:$D$151,4,FALSE)</f>
        <v>L3</v>
      </c>
      <c r="O1250" t="str">
        <f>VLOOKUP($C1250, 고객정보!$A$2:$E$151, 5, FALSE)</f>
        <v>10대</v>
      </c>
      <c r="P1250" t="str">
        <f>VLOOKUP(D1250,상품정보!$A$2:$E$61,2,FALSE)</f>
        <v>청바지</v>
      </c>
      <c r="Q1250" t="str">
        <f>VLOOKUP(D1250,상품정보!$A$2:$D$151,3,FALSE)</f>
        <v>의류</v>
      </c>
      <c r="R1250" t="str">
        <f>VLOOKUP(D1250,상품정보!$A$2:$D$151,4,FALSE)</f>
        <v>브랜드A</v>
      </c>
    </row>
    <row r="1251" spans="1:18" x14ac:dyDescent="0.45">
      <c r="A1251" t="s">
        <v>26</v>
      </c>
      <c r="B1251" t="s">
        <v>1650</v>
      </c>
      <c r="C1251" t="s">
        <v>2407</v>
      </c>
      <c r="D1251" t="s">
        <v>2594</v>
      </c>
      <c r="E1251">
        <v>3</v>
      </c>
      <c r="F1251">
        <v>73000</v>
      </c>
      <c r="G1251">
        <v>0</v>
      </c>
      <c r="H1251">
        <v>0</v>
      </c>
      <c r="I1251" t="s">
        <v>2652</v>
      </c>
      <c r="J1251" s="4">
        <f t="shared" si="57"/>
        <v>219000</v>
      </c>
      <c r="K1251" s="4" t="str">
        <f t="shared" si="58"/>
        <v>2024-06</v>
      </c>
      <c r="L1251" s="4" t="str">
        <f t="shared" si="59"/>
        <v>일</v>
      </c>
      <c r="M1251" s="2" t="str">
        <f>VLOOKUP($C1251, 고객정보!$A$2:$E$151, 2, FALSE)</f>
        <v>서울</v>
      </c>
      <c r="N1251" t="str">
        <f>VLOOKUP(C1251,고객정보!$A$2:$D$151,4,FALSE)</f>
        <v>L5</v>
      </c>
      <c r="O1251" t="str">
        <f>VLOOKUP($C1251, 고객정보!$A$2:$E$151, 5, FALSE)</f>
        <v>30대</v>
      </c>
      <c r="P1251" t="str">
        <f>VLOOKUP(D1251,상품정보!$A$2:$E$61,2,FALSE)</f>
        <v>자켓</v>
      </c>
      <c r="Q1251" t="str">
        <f>VLOOKUP(D1251,상품정보!$A$2:$D$151,3,FALSE)</f>
        <v>의류</v>
      </c>
      <c r="R1251" t="str">
        <f>VLOOKUP(D1251,상품정보!$A$2:$D$151,4,FALSE)</f>
        <v>브랜드A</v>
      </c>
    </row>
    <row r="1252" spans="1:18" x14ac:dyDescent="0.45">
      <c r="A1252" t="s">
        <v>251</v>
      </c>
      <c r="B1252" t="s">
        <v>1651</v>
      </c>
      <c r="C1252" t="s">
        <v>2417</v>
      </c>
      <c r="D1252" t="s">
        <v>2562</v>
      </c>
      <c r="E1252">
        <v>5</v>
      </c>
      <c r="F1252">
        <v>15600</v>
      </c>
      <c r="G1252">
        <v>0</v>
      </c>
      <c r="H1252">
        <v>2400</v>
      </c>
      <c r="I1252" t="s">
        <v>2614</v>
      </c>
      <c r="J1252" s="4">
        <f t="shared" si="57"/>
        <v>75600</v>
      </c>
      <c r="K1252" s="4" t="str">
        <f t="shared" si="58"/>
        <v>2024-07</v>
      </c>
      <c r="L1252" s="4" t="str">
        <f t="shared" si="59"/>
        <v>수</v>
      </c>
      <c r="M1252" s="2" t="str">
        <f>VLOOKUP($C1252, 고객정보!$A$2:$E$151, 2, FALSE)</f>
        <v>인천</v>
      </c>
      <c r="N1252" t="str">
        <f>VLOOKUP(C1252,고객정보!$A$2:$D$151,4,FALSE)</f>
        <v>L1</v>
      </c>
      <c r="O1252" t="str">
        <f>VLOOKUP($C1252, 고객정보!$A$2:$E$151, 5, FALSE)</f>
        <v>30대</v>
      </c>
      <c r="P1252" t="str">
        <f>VLOOKUP(D1252,상품정보!$A$2:$E$61,2,FALSE)</f>
        <v>반팔 티셔츠</v>
      </c>
      <c r="Q1252" t="str">
        <f>VLOOKUP(D1252,상품정보!$A$2:$D$151,3,FALSE)</f>
        <v>의류</v>
      </c>
      <c r="R1252" t="str">
        <f>VLOOKUP(D1252,상품정보!$A$2:$D$151,4,FALSE)</f>
        <v>브랜드E</v>
      </c>
    </row>
    <row r="1253" spans="1:18" x14ac:dyDescent="0.45">
      <c r="A1253" t="s">
        <v>368</v>
      </c>
      <c r="B1253" t="s">
        <v>1652</v>
      </c>
      <c r="C1253" t="s">
        <v>2438</v>
      </c>
      <c r="D1253" t="s">
        <v>2564</v>
      </c>
      <c r="E1253">
        <v>2</v>
      </c>
      <c r="F1253">
        <v>66600</v>
      </c>
      <c r="G1253">
        <v>0</v>
      </c>
      <c r="H1253">
        <v>0</v>
      </c>
      <c r="I1253" t="s">
        <v>2652</v>
      </c>
      <c r="J1253" s="4">
        <f t="shared" si="57"/>
        <v>133200</v>
      </c>
      <c r="K1253" s="4" t="str">
        <f t="shared" si="58"/>
        <v>2024-09</v>
      </c>
      <c r="L1253" s="4" t="str">
        <f t="shared" si="59"/>
        <v>월</v>
      </c>
      <c r="M1253" s="2" t="str">
        <f>VLOOKUP($C1253, 고객정보!$A$2:$E$151, 2, FALSE)</f>
        <v>대구</v>
      </c>
      <c r="N1253" t="str">
        <f>VLOOKUP(C1253,고객정보!$A$2:$D$151,4,FALSE)</f>
        <v>L4</v>
      </c>
      <c r="O1253" t="str">
        <f>VLOOKUP($C1253, 고객정보!$A$2:$E$151, 5, FALSE)</f>
        <v>30대</v>
      </c>
      <c r="P1253" t="str">
        <f>VLOOKUP(D1253,상품정보!$A$2:$E$61,2,FALSE)</f>
        <v>청바지</v>
      </c>
      <c r="Q1253" t="str">
        <f>VLOOKUP(D1253,상품정보!$A$2:$D$151,3,FALSE)</f>
        <v>의류</v>
      </c>
      <c r="R1253" t="str">
        <f>VLOOKUP(D1253,상품정보!$A$2:$D$151,4,FALSE)</f>
        <v>브랜드B</v>
      </c>
    </row>
    <row r="1254" spans="1:18" x14ac:dyDescent="0.45">
      <c r="A1254" t="s">
        <v>307</v>
      </c>
      <c r="B1254" t="s">
        <v>1653</v>
      </c>
      <c r="C1254" t="s">
        <v>2430</v>
      </c>
      <c r="D1254" t="s">
        <v>2602</v>
      </c>
      <c r="E1254">
        <v>4</v>
      </c>
      <c r="F1254">
        <v>59900</v>
      </c>
      <c r="G1254">
        <v>500</v>
      </c>
      <c r="H1254">
        <v>0</v>
      </c>
      <c r="I1254" t="s">
        <v>2652</v>
      </c>
      <c r="J1254" s="4">
        <f t="shared" si="57"/>
        <v>240100</v>
      </c>
      <c r="K1254" s="4" t="str">
        <f t="shared" si="58"/>
        <v>2024-02</v>
      </c>
      <c r="L1254" s="4" t="str">
        <f t="shared" si="59"/>
        <v>토</v>
      </c>
      <c r="M1254" s="2" t="str">
        <f>VLOOKUP($C1254, 고객정보!$A$2:$E$151, 2, FALSE)</f>
        <v>광주</v>
      </c>
      <c r="N1254" t="str">
        <f>VLOOKUP(C1254,고객정보!$A$2:$D$151,4,FALSE)</f>
        <v>L4</v>
      </c>
      <c r="O1254" t="str">
        <f>VLOOKUP($C1254, 고객정보!$A$2:$E$151, 5, FALSE)</f>
        <v>30대</v>
      </c>
      <c r="P1254" t="str">
        <f>VLOOKUP(D1254,상품정보!$A$2:$E$61,2,FALSE)</f>
        <v>셔츠</v>
      </c>
      <c r="Q1254" t="str">
        <f>VLOOKUP(D1254,상품정보!$A$2:$D$151,3,FALSE)</f>
        <v>의류</v>
      </c>
      <c r="R1254" t="str">
        <f>VLOOKUP(D1254,상품정보!$A$2:$D$151,4,FALSE)</f>
        <v>브랜드A</v>
      </c>
    </row>
    <row r="1255" spans="1:18" x14ac:dyDescent="0.45">
      <c r="A1255" t="s">
        <v>214</v>
      </c>
      <c r="B1255" t="s">
        <v>1654</v>
      </c>
      <c r="C1255" t="s">
        <v>2505</v>
      </c>
      <c r="D1255" t="s">
        <v>2598</v>
      </c>
      <c r="E1255">
        <v>2</v>
      </c>
      <c r="F1255">
        <v>77300</v>
      </c>
      <c r="G1255">
        <v>500</v>
      </c>
      <c r="H1255">
        <v>0</v>
      </c>
      <c r="I1255" t="s">
        <v>2652</v>
      </c>
      <c r="J1255" s="4">
        <f t="shared" si="57"/>
        <v>155100</v>
      </c>
      <c r="K1255" s="4" t="str">
        <f t="shared" si="58"/>
        <v>2024-04</v>
      </c>
      <c r="L1255" s="4" t="str">
        <f t="shared" si="59"/>
        <v>토</v>
      </c>
      <c r="M1255" s="2" t="str">
        <f>VLOOKUP($C1255, 고객정보!$A$2:$E$151, 2, FALSE)</f>
        <v>대구</v>
      </c>
      <c r="N1255" t="str">
        <f>VLOOKUP(C1255,고객정보!$A$2:$D$151,4,FALSE)</f>
        <v>L4</v>
      </c>
      <c r="O1255" t="str">
        <f>VLOOKUP($C1255, 고객정보!$A$2:$E$151, 5, FALSE)</f>
        <v>40대</v>
      </c>
      <c r="P1255" t="str">
        <f>VLOOKUP(D1255,상품정보!$A$2:$E$61,2,FALSE)</f>
        <v>청바지</v>
      </c>
      <c r="Q1255" t="str">
        <f>VLOOKUP(D1255,상품정보!$A$2:$D$151,3,FALSE)</f>
        <v>의류</v>
      </c>
      <c r="R1255" t="str">
        <f>VLOOKUP(D1255,상품정보!$A$2:$D$151,4,FALSE)</f>
        <v>브랜드F</v>
      </c>
    </row>
    <row r="1256" spans="1:18" x14ac:dyDescent="0.45">
      <c r="A1256" t="s">
        <v>256</v>
      </c>
      <c r="B1256" t="s">
        <v>1655</v>
      </c>
      <c r="C1256" t="s">
        <v>2449</v>
      </c>
      <c r="D1256" t="s">
        <v>2568</v>
      </c>
      <c r="E1256">
        <v>4</v>
      </c>
      <c r="F1256">
        <v>16800</v>
      </c>
      <c r="G1256">
        <v>500</v>
      </c>
      <c r="H1256">
        <v>0</v>
      </c>
      <c r="I1256" t="s">
        <v>2652</v>
      </c>
      <c r="J1256" s="4">
        <f t="shared" si="57"/>
        <v>67700</v>
      </c>
      <c r="K1256" s="4" t="str">
        <f t="shared" si="58"/>
        <v>2024-04</v>
      </c>
      <c r="L1256" s="4" t="str">
        <f t="shared" si="59"/>
        <v>토</v>
      </c>
      <c r="M1256" s="2" t="str">
        <f>VLOOKUP($C1256, 고객정보!$A$2:$E$151, 2, FALSE)</f>
        <v>대구</v>
      </c>
      <c r="N1256" t="str">
        <f>VLOOKUP(C1256,고객정보!$A$2:$D$151,4,FALSE)</f>
        <v>L5</v>
      </c>
      <c r="O1256" t="str">
        <f>VLOOKUP($C1256, 고객정보!$A$2:$E$151, 5, FALSE)</f>
        <v>40대</v>
      </c>
      <c r="P1256" t="str">
        <f>VLOOKUP(D1256,상품정보!$A$2:$E$61,2,FALSE)</f>
        <v>청바지</v>
      </c>
      <c r="Q1256" t="str">
        <f>VLOOKUP(D1256,상품정보!$A$2:$D$151,3,FALSE)</f>
        <v>의류</v>
      </c>
      <c r="R1256" t="str">
        <f>VLOOKUP(D1256,상품정보!$A$2:$D$151,4,FALSE)</f>
        <v>브랜드C</v>
      </c>
    </row>
    <row r="1257" spans="1:18" x14ac:dyDescent="0.45">
      <c r="A1257" t="s">
        <v>349</v>
      </c>
      <c r="B1257" t="s">
        <v>1656</v>
      </c>
      <c r="C1257" t="s">
        <v>2413</v>
      </c>
      <c r="D1257" t="s">
        <v>2602</v>
      </c>
      <c r="E1257">
        <v>2</v>
      </c>
      <c r="F1257">
        <v>59900</v>
      </c>
      <c r="G1257">
        <v>0</v>
      </c>
      <c r="H1257">
        <v>0</v>
      </c>
      <c r="I1257" t="s">
        <v>2652</v>
      </c>
      <c r="J1257" s="4">
        <f t="shared" si="57"/>
        <v>119800</v>
      </c>
      <c r="K1257" s="4" t="str">
        <f t="shared" si="58"/>
        <v>2025-01</v>
      </c>
      <c r="L1257" s="4" t="str">
        <f t="shared" si="59"/>
        <v>수</v>
      </c>
      <c r="M1257" s="2" t="str">
        <f>VLOOKUP($C1257, 고객정보!$A$2:$E$151, 2, FALSE)</f>
        <v>서울</v>
      </c>
      <c r="N1257" t="str">
        <f>VLOOKUP(C1257,고객정보!$A$2:$D$151,4,FALSE)</f>
        <v>L5</v>
      </c>
      <c r="O1257" t="str">
        <f>VLOOKUP($C1257, 고객정보!$A$2:$E$151, 5, FALSE)</f>
        <v>30대</v>
      </c>
      <c r="P1257" t="str">
        <f>VLOOKUP(D1257,상품정보!$A$2:$E$61,2,FALSE)</f>
        <v>셔츠</v>
      </c>
      <c r="Q1257" t="str">
        <f>VLOOKUP(D1257,상품정보!$A$2:$D$151,3,FALSE)</f>
        <v>의류</v>
      </c>
      <c r="R1257" t="str">
        <f>VLOOKUP(D1257,상품정보!$A$2:$D$151,4,FALSE)</f>
        <v>브랜드A</v>
      </c>
    </row>
    <row r="1258" spans="1:18" x14ac:dyDescent="0.45">
      <c r="A1258" t="s">
        <v>181</v>
      </c>
      <c r="B1258" t="s">
        <v>1657</v>
      </c>
      <c r="C1258" t="s">
        <v>2450</v>
      </c>
      <c r="D1258" t="s">
        <v>2591</v>
      </c>
      <c r="E1258">
        <v>4</v>
      </c>
      <c r="F1258">
        <v>69200</v>
      </c>
      <c r="G1258">
        <v>0</v>
      </c>
      <c r="H1258">
        <v>0</v>
      </c>
      <c r="I1258" t="s">
        <v>2652</v>
      </c>
      <c r="J1258" s="4">
        <f t="shared" si="57"/>
        <v>276800</v>
      </c>
      <c r="K1258" s="4" t="str">
        <f t="shared" si="58"/>
        <v>2024-01</v>
      </c>
      <c r="L1258" s="4" t="str">
        <f t="shared" si="59"/>
        <v>수</v>
      </c>
      <c r="M1258" s="2" t="str">
        <f>VLOOKUP($C1258, 고객정보!$A$2:$E$151, 2, FALSE)</f>
        <v>인천</v>
      </c>
      <c r="N1258" t="str">
        <f>VLOOKUP(C1258,고객정보!$A$2:$D$151,4,FALSE)</f>
        <v>L5</v>
      </c>
      <c r="O1258" t="str">
        <f>VLOOKUP($C1258, 고객정보!$A$2:$E$151, 5, FALSE)</f>
        <v>40대</v>
      </c>
      <c r="P1258" t="str">
        <f>VLOOKUP(D1258,상품정보!$A$2:$E$61,2,FALSE)</f>
        <v>셔츠</v>
      </c>
      <c r="Q1258" t="str">
        <f>VLOOKUP(D1258,상품정보!$A$2:$D$151,3,FALSE)</f>
        <v>의류</v>
      </c>
      <c r="R1258" t="str">
        <f>VLOOKUP(D1258,상품정보!$A$2:$D$151,4,FALSE)</f>
        <v>브랜드F</v>
      </c>
    </row>
    <row r="1259" spans="1:18" x14ac:dyDescent="0.45">
      <c r="A1259" t="s">
        <v>86</v>
      </c>
      <c r="B1259" t="s">
        <v>1658</v>
      </c>
      <c r="C1259" t="s">
        <v>2487</v>
      </c>
      <c r="D1259" t="s">
        <v>2587</v>
      </c>
      <c r="E1259">
        <v>4</v>
      </c>
      <c r="F1259">
        <v>50200</v>
      </c>
      <c r="G1259">
        <v>2000</v>
      </c>
      <c r="H1259">
        <v>0</v>
      </c>
      <c r="I1259" t="s">
        <v>2652</v>
      </c>
      <c r="J1259" s="4">
        <f t="shared" si="57"/>
        <v>202800</v>
      </c>
      <c r="K1259" s="4" t="str">
        <f t="shared" si="58"/>
        <v>2024-08</v>
      </c>
      <c r="L1259" s="4" t="str">
        <f t="shared" si="59"/>
        <v>목</v>
      </c>
      <c r="M1259" s="2" t="str">
        <f>VLOOKUP($C1259, 고객정보!$A$2:$E$151, 2, FALSE)</f>
        <v>서울</v>
      </c>
      <c r="N1259" t="str">
        <f>VLOOKUP(C1259,고객정보!$A$2:$D$151,4,FALSE)</f>
        <v>L1</v>
      </c>
      <c r="O1259" t="str">
        <f>VLOOKUP($C1259, 고객정보!$A$2:$E$151, 5, FALSE)</f>
        <v>10대</v>
      </c>
      <c r="P1259" t="str">
        <f>VLOOKUP(D1259,상품정보!$A$2:$E$61,2,FALSE)</f>
        <v>반지</v>
      </c>
      <c r="Q1259" t="str">
        <f>VLOOKUP(D1259,상품정보!$A$2:$D$151,3,FALSE)</f>
        <v>액세서리</v>
      </c>
      <c r="R1259" t="str">
        <f>VLOOKUP(D1259,상품정보!$A$2:$D$151,4,FALSE)</f>
        <v>브랜드B</v>
      </c>
    </row>
    <row r="1260" spans="1:18" x14ac:dyDescent="0.45">
      <c r="A1260" t="s">
        <v>344</v>
      </c>
      <c r="B1260" t="s">
        <v>1659</v>
      </c>
      <c r="C1260" t="s">
        <v>2439</v>
      </c>
      <c r="D1260" t="s">
        <v>2552</v>
      </c>
      <c r="E1260">
        <v>4</v>
      </c>
      <c r="F1260">
        <v>13300</v>
      </c>
      <c r="G1260">
        <v>0</v>
      </c>
      <c r="H1260">
        <v>0</v>
      </c>
      <c r="I1260" t="s">
        <v>2652</v>
      </c>
      <c r="J1260" s="4">
        <f t="shared" si="57"/>
        <v>53200</v>
      </c>
      <c r="K1260" s="4" t="str">
        <f t="shared" si="58"/>
        <v>2024-01</v>
      </c>
      <c r="L1260" s="4" t="str">
        <f t="shared" si="59"/>
        <v>수</v>
      </c>
      <c r="M1260" s="2" t="str">
        <f>VLOOKUP($C1260, 고객정보!$A$2:$E$151, 2, FALSE)</f>
        <v>대구</v>
      </c>
      <c r="N1260" t="str">
        <f>VLOOKUP(C1260,고객정보!$A$2:$D$151,4,FALSE)</f>
        <v>L3</v>
      </c>
      <c r="O1260" t="str">
        <f>VLOOKUP($C1260, 고객정보!$A$2:$E$151, 5, FALSE)</f>
        <v>30대</v>
      </c>
      <c r="P1260" t="str">
        <f>VLOOKUP(D1260,상품정보!$A$2:$E$61,2,FALSE)</f>
        <v>셔츠</v>
      </c>
      <c r="Q1260" t="str">
        <f>VLOOKUP(D1260,상품정보!$A$2:$D$151,3,FALSE)</f>
        <v>의류</v>
      </c>
      <c r="R1260" t="str">
        <f>VLOOKUP(D1260,상품정보!$A$2:$D$151,4,FALSE)</f>
        <v>브랜드E</v>
      </c>
    </row>
    <row r="1261" spans="1:18" x14ac:dyDescent="0.45">
      <c r="A1261" t="s">
        <v>41</v>
      </c>
      <c r="B1261" t="s">
        <v>1660</v>
      </c>
      <c r="C1261" t="s">
        <v>2441</v>
      </c>
      <c r="D1261" t="s">
        <v>2574</v>
      </c>
      <c r="E1261">
        <v>1</v>
      </c>
      <c r="F1261">
        <v>8600</v>
      </c>
      <c r="G1261">
        <v>0</v>
      </c>
      <c r="H1261">
        <v>0</v>
      </c>
      <c r="I1261" t="s">
        <v>2652</v>
      </c>
      <c r="J1261" s="4">
        <f t="shared" si="57"/>
        <v>8600</v>
      </c>
      <c r="K1261" s="4" t="str">
        <f t="shared" si="58"/>
        <v>2024-10</v>
      </c>
      <c r="L1261" s="4" t="str">
        <f t="shared" si="59"/>
        <v>목</v>
      </c>
      <c r="M1261" s="2" t="str">
        <f>VLOOKUP($C1261, 고객정보!$A$2:$E$151, 2, FALSE)</f>
        <v>부산</v>
      </c>
      <c r="N1261" t="str">
        <f>VLOOKUP(C1261,고객정보!$A$2:$D$151,4,FALSE)</f>
        <v>L2</v>
      </c>
      <c r="O1261" t="str">
        <f>VLOOKUP($C1261, 고객정보!$A$2:$E$151, 5, FALSE)</f>
        <v>20대</v>
      </c>
      <c r="P1261" t="str">
        <f>VLOOKUP(D1261,상품정보!$A$2:$E$61,2,FALSE)</f>
        <v>셔츠</v>
      </c>
      <c r="Q1261" t="str">
        <f>VLOOKUP(D1261,상품정보!$A$2:$D$151,3,FALSE)</f>
        <v>의류</v>
      </c>
      <c r="R1261" t="str">
        <f>VLOOKUP(D1261,상품정보!$A$2:$D$151,4,FALSE)</f>
        <v>브랜드D</v>
      </c>
    </row>
    <row r="1262" spans="1:18" x14ac:dyDescent="0.45">
      <c r="A1262" t="s">
        <v>163</v>
      </c>
      <c r="B1262" t="s">
        <v>1661</v>
      </c>
      <c r="C1262" t="s">
        <v>2491</v>
      </c>
      <c r="D1262" t="s">
        <v>2569</v>
      </c>
      <c r="E1262">
        <v>5</v>
      </c>
      <c r="F1262">
        <v>11400</v>
      </c>
      <c r="G1262">
        <v>1500</v>
      </c>
      <c r="H1262">
        <v>0</v>
      </c>
      <c r="I1262" t="s">
        <v>2652</v>
      </c>
      <c r="J1262" s="4">
        <f t="shared" si="57"/>
        <v>58500</v>
      </c>
      <c r="K1262" s="4" t="str">
        <f t="shared" si="58"/>
        <v>2024-09</v>
      </c>
      <c r="L1262" s="4" t="str">
        <f t="shared" si="59"/>
        <v>수</v>
      </c>
      <c r="M1262" s="2" t="str">
        <f>VLOOKUP($C1262, 고객정보!$A$2:$E$151, 2, FALSE)</f>
        <v>서울</v>
      </c>
      <c r="N1262" t="str">
        <f>VLOOKUP(C1262,고객정보!$A$2:$D$151,4,FALSE)</f>
        <v>L5</v>
      </c>
      <c r="O1262" t="str">
        <f>VLOOKUP($C1262, 고객정보!$A$2:$E$151, 5, FALSE)</f>
        <v>30대</v>
      </c>
      <c r="P1262" t="str">
        <f>VLOOKUP(D1262,상품정보!$A$2:$E$61,2,FALSE)</f>
        <v>귀걸이</v>
      </c>
      <c r="Q1262" t="str">
        <f>VLOOKUP(D1262,상품정보!$A$2:$D$151,3,FALSE)</f>
        <v>액세서리</v>
      </c>
      <c r="R1262" t="str">
        <f>VLOOKUP(D1262,상품정보!$A$2:$D$151,4,FALSE)</f>
        <v>브랜드E</v>
      </c>
    </row>
    <row r="1263" spans="1:18" x14ac:dyDescent="0.45">
      <c r="A1263" t="s">
        <v>174</v>
      </c>
      <c r="B1263" t="s">
        <v>1662</v>
      </c>
      <c r="C1263" t="s">
        <v>2484</v>
      </c>
      <c r="D1263" t="s">
        <v>2587</v>
      </c>
      <c r="E1263">
        <v>2</v>
      </c>
      <c r="F1263">
        <v>50200</v>
      </c>
      <c r="G1263">
        <v>0</v>
      </c>
      <c r="H1263">
        <v>1700</v>
      </c>
      <c r="I1263" t="s">
        <v>2613</v>
      </c>
      <c r="J1263" s="4">
        <f t="shared" si="57"/>
        <v>98700</v>
      </c>
      <c r="K1263" s="4" t="str">
        <f t="shared" si="58"/>
        <v>2024-12</v>
      </c>
      <c r="L1263" s="4" t="str">
        <f t="shared" si="59"/>
        <v>금</v>
      </c>
      <c r="M1263" s="2" t="str">
        <f>VLOOKUP($C1263, 고객정보!$A$2:$E$151, 2, FALSE)</f>
        <v>부산</v>
      </c>
      <c r="N1263" t="str">
        <f>VLOOKUP(C1263,고객정보!$A$2:$D$151,4,FALSE)</f>
        <v>L5</v>
      </c>
      <c r="O1263" t="str">
        <f>VLOOKUP($C1263, 고객정보!$A$2:$E$151, 5, FALSE)</f>
        <v>20대</v>
      </c>
      <c r="P1263" t="str">
        <f>VLOOKUP(D1263,상품정보!$A$2:$E$61,2,FALSE)</f>
        <v>반지</v>
      </c>
      <c r="Q1263" t="str">
        <f>VLOOKUP(D1263,상품정보!$A$2:$D$151,3,FALSE)</f>
        <v>액세서리</v>
      </c>
      <c r="R1263" t="str">
        <f>VLOOKUP(D1263,상품정보!$A$2:$D$151,4,FALSE)</f>
        <v>브랜드B</v>
      </c>
    </row>
    <row r="1264" spans="1:18" x14ac:dyDescent="0.45">
      <c r="A1264" t="s">
        <v>363</v>
      </c>
      <c r="B1264" t="s">
        <v>1663</v>
      </c>
      <c r="C1264" t="s">
        <v>2465</v>
      </c>
      <c r="D1264" t="s">
        <v>2604</v>
      </c>
      <c r="E1264">
        <v>2</v>
      </c>
      <c r="F1264">
        <v>9700</v>
      </c>
      <c r="G1264">
        <v>0</v>
      </c>
      <c r="H1264">
        <v>0</v>
      </c>
      <c r="I1264" t="s">
        <v>2652</v>
      </c>
      <c r="J1264" s="4">
        <f t="shared" si="57"/>
        <v>19400</v>
      </c>
      <c r="K1264" s="4" t="str">
        <f t="shared" si="58"/>
        <v>2024-02</v>
      </c>
      <c r="L1264" s="4" t="str">
        <f t="shared" si="59"/>
        <v>금</v>
      </c>
      <c r="M1264" s="2" t="str">
        <f>VLOOKUP($C1264, 고객정보!$A$2:$E$151, 2, FALSE)</f>
        <v>서울</v>
      </c>
      <c r="N1264" t="str">
        <f>VLOOKUP(C1264,고객정보!$A$2:$D$151,4,FALSE)</f>
        <v>L1</v>
      </c>
      <c r="O1264" t="str">
        <f>VLOOKUP($C1264, 고객정보!$A$2:$E$151, 5, FALSE)</f>
        <v>20대</v>
      </c>
      <c r="P1264" t="str">
        <f>VLOOKUP(D1264,상품정보!$A$2:$E$61,2,FALSE)</f>
        <v>반팔 티셔츠</v>
      </c>
      <c r="Q1264" t="str">
        <f>VLOOKUP(D1264,상품정보!$A$2:$D$151,3,FALSE)</f>
        <v>의류</v>
      </c>
      <c r="R1264" t="str">
        <f>VLOOKUP(D1264,상품정보!$A$2:$D$151,4,FALSE)</f>
        <v>브랜드E</v>
      </c>
    </row>
    <row r="1265" spans="1:18" x14ac:dyDescent="0.45">
      <c r="A1265" t="s">
        <v>117</v>
      </c>
      <c r="B1265" t="s">
        <v>1664</v>
      </c>
      <c r="C1265" t="s">
        <v>2549</v>
      </c>
      <c r="D1265" t="s">
        <v>2567</v>
      </c>
      <c r="E1265">
        <v>5</v>
      </c>
      <c r="F1265">
        <v>58600</v>
      </c>
      <c r="G1265">
        <v>0</v>
      </c>
      <c r="H1265">
        <v>0</v>
      </c>
      <c r="I1265" t="s">
        <v>2652</v>
      </c>
      <c r="J1265" s="4">
        <f t="shared" si="57"/>
        <v>293000</v>
      </c>
      <c r="K1265" s="4" t="str">
        <f t="shared" si="58"/>
        <v>2024-11</v>
      </c>
      <c r="L1265" s="4" t="str">
        <f t="shared" si="59"/>
        <v>수</v>
      </c>
      <c r="M1265" s="2" t="str">
        <f>VLOOKUP($C1265, 고객정보!$A$2:$E$151, 2, FALSE)</f>
        <v>서울</v>
      </c>
      <c r="N1265" t="str">
        <f>VLOOKUP(C1265,고객정보!$A$2:$D$151,4,FALSE)</f>
        <v>L2</v>
      </c>
      <c r="O1265" t="str">
        <f>VLOOKUP($C1265, 고객정보!$A$2:$E$151, 5, FALSE)</f>
        <v>40대</v>
      </c>
      <c r="P1265" t="str">
        <f>VLOOKUP(D1265,상품정보!$A$2:$E$61,2,FALSE)</f>
        <v>귀걸이</v>
      </c>
      <c r="Q1265" t="str">
        <f>VLOOKUP(D1265,상품정보!$A$2:$D$151,3,FALSE)</f>
        <v>액세서리</v>
      </c>
      <c r="R1265" t="str">
        <f>VLOOKUP(D1265,상품정보!$A$2:$D$151,4,FALSE)</f>
        <v>브랜드B</v>
      </c>
    </row>
    <row r="1266" spans="1:18" x14ac:dyDescent="0.45">
      <c r="A1266" t="s">
        <v>13</v>
      </c>
      <c r="B1266" t="s">
        <v>1665</v>
      </c>
      <c r="C1266" t="s">
        <v>2442</v>
      </c>
      <c r="D1266" t="s">
        <v>2554</v>
      </c>
      <c r="E1266">
        <v>4</v>
      </c>
      <c r="F1266">
        <v>12100</v>
      </c>
      <c r="G1266">
        <v>1000</v>
      </c>
      <c r="H1266">
        <v>0</v>
      </c>
      <c r="I1266" t="s">
        <v>2652</v>
      </c>
      <c r="J1266" s="4">
        <f t="shared" si="57"/>
        <v>49400</v>
      </c>
      <c r="K1266" s="4" t="str">
        <f t="shared" si="58"/>
        <v>2024-08</v>
      </c>
      <c r="L1266" s="4" t="str">
        <f t="shared" si="59"/>
        <v>금</v>
      </c>
      <c r="M1266" s="2" t="str">
        <f>VLOOKUP($C1266, 고객정보!$A$2:$E$151, 2, FALSE)</f>
        <v>부산</v>
      </c>
      <c r="N1266" t="str">
        <f>VLOOKUP(C1266,고객정보!$A$2:$D$151,4,FALSE)</f>
        <v>L1</v>
      </c>
      <c r="O1266" t="str">
        <f>VLOOKUP($C1266, 고객정보!$A$2:$E$151, 5, FALSE)</f>
        <v>40대</v>
      </c>
      <c r="P1266" t="str">
        <f>VLOOKUP(D1266,상품정보!$A$2:$E$61,2,FALSE)</f>
        <v>귀걸이</v>
      </c>
      <c r="Q1266" t="str">
        <f>VLOOKUP(D1266,상품정보!$A$2:$D$151,3,FALSE)</f>
        <v>액세서리</v>
      </c>
      <c r="R1266" t="str">
        <f>VLOOKUP(D1266,상품정보!$A$2:$D$151,4,FALSE)</f>
        <v>브랜드D</v>
      </c>
    </row>
    <row r="1267" spans="1:18" x14ac:dyDescent="0.45">
      <c r="A1267" t="s">
        <v>316</v>
      </c>
      <c r="B1267" t="s">
        <v>1666</v>
      </c>
      <c r="C1267" t="s">
        <v>2427</v>
      </c>
      <c r="D1267" t="s">
        <v>2565</v>
      </c>
      <c r="E1267">
        <v>4</v>
      </c>
      <c r="F1267">
        <v>50000</v>
      </c>
      <c r="G1267">
        <v>0</v>
      </c>
      <c r="H1267">
        <v>0</v>
      </c>
      <c r="I1267" t="s">
        <v>2652</v>
      </c>
      <c r="J1267" s="4">
        <f t="shared" si="57"/>
        <v>200000</v>
      </c>
      <c r="K1267" s="4" t="str">
        <f t="shared" si="58"/>
        <v>2024-06</v>
      </c>
      <c r="L1267" s="4" t="str">
        <f t="shared" si="59"/>
        <v>월</v>
      </c>
      <c r="M1267" s="2" t="str">
        <f>VLOOKUP($C1267, 고객정보!$A$2:$E$151, 2, FALSE)</f>
        <v>부산</v>
      </c>
      <c r="N1267" t="str">
        <f>VLOOKUP(C1267,고객정보!$A$2:$D$151,4,FALSE)</f>
        <v>L4</v>
      </c>
      <c r="O1267" t="str">
        <f>VLOOKUP($C1267, 고객정보!$A$2:$E$151, 5, FALSE)</f>
        <v>20대</v>
      </c>
      <c r="P1267" t="str">
        <f>VLOOKUP(D1267,상품정보!$A$2:$E$61,2,FALSE)</f>
        <v>핸드폰케이스</v>
      </c>
      <c r="Q1267" t="str">
        <f>VLOOKUP(D1267,상품정보!$A$2:$D$151,3,FALSE)</f>
        <v>액세서리</v>
      </c>
      <c r="R1267" t="str">
        <f>VLOOKUP(D1267,상품정보!$A$2:$D$151,4,FALSE)</f>
        <v>브랜드B</v>
      </c>
    </row>
    <row r="1268" spans="1:18" x14ac:dyDescent="0.45">
      <c r="A1268" t="s">
        <v>278</v>
      </c>
      <c r="B1268" t="s">
        <v>1667</v>
      </c>
      <c r="C1268" t="s">
        <v>2511</v>
      </c>
      <c r="D1268" t="s">
        <v>2556</v>
      </c>
      <c r="E1268">
        <v>2</v>
      </c>
      <c r="F1268">
        <v>70100</v>
      </c>
      <c r="G1268">
        <v>0</v>
      </c>
      <c r="H1268">
        <v>0</v>
      </c>
      <c r="I1268" t="s">
        <v>2652</v>
      </c>
      <c r="J1268" s="4">
        <f t="shared" si="57"/>
        <v>140200</v>
      </c>
      <c r="K1268" s="4" t="str">
        <f t="shared" si="58"/>
        <v>2024-03</v>
      </c>
      <c r="L1268" s="4" t="str">
        <f t="shared" si="59"/>
        <v>월</v>
      </c>
      <c r="M1268" s="2" t="str">
        <f>VLOOKUP($C1268, 고객정보!$A$2:$E$151, 2, FALSE)</f>
        <v>인천</v>
      </c>
      <c r="N1268" t="str">
        <f>VLOOKUP(C1268,고객정보!$A$2:$D$151,4,FALSE)</f>
        <v>L1</v>
      </c>
      <c r="O1268" t="str">
        <f>VLOOKUP($C1268, 고객정보!$A$2:$E$151, 5, FALSE)</f>
        <v>50대 이상</v>
      </c>
      <c r="P1268" t="str">
        <f>VLOOKUP(D1268,상품정보!$A$2:$E$61,2,FALSE)</f>
        <v>핸드폰케이스</v>
      </c>
      <c r="Q1268" t="str">
        <f>VLOOKUP(D1268,상품정보!$A$2:$D$151,3,FALSE)</f>
        <v>액세서리</v>
      </c>
      <c r="R1268" t="str">
        <f>VLOOKUP(D1268,상품정보!$A$2:$D$151,4,FALSE)</f>
        <v>브랜드F</v>
      </c>
    </row>
    <row r="1269" spans="1:18" x14ac:dyDescent="0.45">
      <c r="A1269" t="s">
        <v>331</v>
      </c>
      <c r="B1269" t="s">
        <v>1668</v>
      </c>
      <c r="C1269" t="s">
        <v>2524</v>
      </c>
      <c r="D1269" t="s">
        <v>2560</v>
      </c>
      <c r="E1269">
        <v>5</v>
      </c>
      <c r="F1269">
        <v>60600</v>
      </c>
      <c r="G1269">
        <v>0</v>
      </c>
      <c r="H1269">
        <v>0</v>
      </c>
      <c r="I1269" t="s">
        <v>2652</v>
      </c>
      <c r="J1269" s="4">
        <f t="shared" si="57"/>
        <v>303000</v>
      </c>
      <c r="K1269" s="4" t="str">
        <f t="shared" si="58"/>
        <v>2024-06</v>
      </c>
      <c r="L1269" s="4" t="str">
        <f t="shared" si="59"/>
        <v>일</v>
      </c>
      <c r="M1269" s="2" t="str">
        <f>VLOOKUP($C1269, 고객정보!$A$2:$E$151, 2, FALSE)</f>
        <v>서울</v>
      </c>
      <c r="N1269" t="str">
        <f>VLOOKUP(C1269,고객정보!$A$2:$D$151,4,FALSE)</f>
        <v>L5</v>
      </c>
      <c r="O1269" t="str">
        <f>VLOOKUP($C1269, 고객정보!$A$2:$E$151, 5, FALSE)</f>
        <v>10대</v>
      </c>
      <c r="P1269" t="str">
        <f>VLOOKUP(D1269,상품정보!$A$2:$E$61,2,FALSE)</f>
        <v>반팔 티셔츠</v>
      </c>
      <c r="Q1269" t="str">
        <f>VLOOKUP(D1269,상품정보!$A$2:$D$151,3,FALSE)</f>
        <v>의류</v>
      </c>
      <c r="R1269" t="str">
        <f>VLOOKUP(D1269,상품정보!$A$2:$D$151,4,FALSE)</f>
        <v>브랜드F</v>
      </c>
    </row>
    <row r="1270" spans="1:18" x14ac:dyDescent="0.45">
      <c r="A1270" t="s">
        <v>283</v>
      </c>
      <c r="B1270" t="s">
        <v>1669</v>
      </c>
      <c r="C1270" t="s">
        <v>2495</v>
      </c>
      <c r="D1270" t="s">
        <v>2576</v>
      </c>
      <c r="E1270">
        <v>3</v>
      </c>
      <c r="F1270">
        <v>8800</v>
      </c>
      <c r="G1270">
        <v>1000</v>
      </c>
      <c r="H1270">
        <v>0</v>
      </c>
      <c r="I1270" t="s">
        <v>2652</v>
      </c>
      <c r="J1270" s="4">
        <f t="shared" si="57"/>
        <v>27400</v>
      </c>
      <c r="K1270" s="4" t="str">
        <f t="shared" si="58"/>
        <v>2024-12</v>
      </c>
      <c r="L1270" s="4" t="str">
        <f t="shared" si="59"/>
        <v>월</v>
      </c>
      <c r="M1270" s="2" t="str">
        <f>VLOOKUP($C1270, 고객정보!$A$2:$E$151, 2, FALSE)</f>
        <v>N/A</v>
      </c>
      <c r="N1270" t="str">
        <f>VLOOKUP(C1270,고객정보!$A$2:$D$151,4,FALSE)</f>
        <v>L1</v>
      </c>
      <c r="O1270" t="str">
        <f>VLOOKUP($C1270, 고객정보!$A$2:$E$151, 5, FALSE)</f>
        <v>50대 이상</v>
      </c>
      <c r="P1270" t="str">
        <f>VLOOKUP(D1270,상품정보!$A$2:$E$61,2,FALSE)</f>
        <v>핸드폰케이스</v>
      </c>
      <c r="Q1270" t="str">
        <f>VLOOKUP(D1270,상품정보!$A$2:$D$151,3,FALSE)</f>
        <v>액세서리</v>
      </c>
      <c r="R1270" t="str">
        <f>VLOOKUP(D1270,상품정보!$A$2:$D$151,4,FALSE)</f>
        <v>브랜드D</v>
      </c>
    </row>
    <row r="1271" spans="1:18" x14ac:dyDescent="0.45">
      <c r="A1271" t="s">
        <v>348</v>
      </c>
      <c r="B1271" t="s">
        <v>1670</v>
      </c>
      <c r="C1271" t="s">
        <v>2472</v>
      </c>
      <c r="D1271" t="s">
        <v>2601</v>
      </c>
      <c r="E1271">
        <v>2</v>
      </c>
      <c r="F1271">
        <v>17000</v>
      </c>
      <c r="G1271">
        <v>0</v>
      </c>
      <c r="H1271">
        <v>0</v>
      </c>
      <c r="I1271" t="s">
        <v>2652</v>
      </c>
      <c r="J1271" s="4">
        <f t="shared" si="57"/>
        <v>34000</v>
      </c>
      <c r="K1271" s="4" t="str">
        <f t="shared" si="58"/>
        <v>2024-04</v>
      </c>
      <c r="L1271" s="4" t="str">
        <f t="shared" si="59"/>
        <v>금</v>
      </c>
      <c r="M1271" s="2" t="str">
        <f>VLOOKUP($C1271, 고객정보!$A$2:$E$151, 2, FALSE)</f>
        <v>서울</v>
      </c>
      <c r="N1271" t="str">
        <f>VLOOKUP(C1271,고객정보!$A$2:$D$151,4,FALSE)</f>
        <v>L1</v>
      </c>
      <c r="O1271" t="str">
        <f>VLOOKUP($C1271, 고객정보!$A$2:$E$151, 5, FALSE)</f>
        <v>20대</v>
      </c>
      <c r="P1271" t="str">
        <f>VLOOKUP(D1271,상품정보!$A$2:$E$61,2,FALSE)</f>
        <v>자켓</v>
      </c>
      <c r="Q1271" t="str">
        <f>VLOOKUP(D1271,상품정보!$A$2:$D$151,3,FALSE)</f>
        <v>의류</v>
      </c>
      <c r="R1271" t="str">
        <f>VLOOKUP(D1271,상품정보!$A$2:$D$151,4,FALSE)</f>
        <v>브랜드E</v>
      </c>
    </row>
    <row r="1272" spans="1:18" x14ac:dyDescent="0.45">
      <c r="A1272" t="s">
        <v>382</v>
      </c>
      <c r="B1272" t="s">
        <v>1671</v>
      </c>
      <c r="C1272" t="s">
        <v>2420</v>
      </c>
      <c r="D1272" t="s">
        <v>2598</v>
      </c>
      <c r="E1272">
        <v>3</v>
      </c>
      <c r="F1272">
        <v>77300</v>
      </c>
      <c r="G1272">
        <v>0</v>
      </c>
      <c r="H1272">
        <v>0</v>
      </c>
      <c r="I1272" t="s">
        <v>2652</v>
      </c>
      <c r="J1272" s="4">
        <f t="shared" si="57"/>
        <v>231900</v>
      </c>
      <c r="K1272" s="4" t="str">
        <f t="shared" si="58"/>
        <v>2024-12</v>
      </c>
      <c r="L1272" s="4" t="str">
        <f t="shared" si="59"/>
        <v>화</v>
      </c>
      <c r="M1272" s="2" t="str">
        <f>VLOOKUP($C1272, 고객정보!$A$2:$E$151, 2, FALSE)</f>
        <v>대전</v>
      </c>
      <c r="N1272" t="str">
        <f>VLOOKUP(C1272,고객정보!$A$2:$D$151,4,FALSE)</f>
        <v>L3</v>
      </c>
      <c r="O1272" t="str">
        <f>VLOOKUP($C1272, 고객정보!$A$2:$E$151, 5, FALSE)</f>
        <v>30대</v>
      </c>
      <c r="P1272" t="str">
        <f>VLOOKUP(D1272,상품정보!$A$2:$E$61,2,FALSE)</f>
        <v>청바지</v>
      </c>
      <c r="Q1272" t="str">
        <f>VLOOKUP(D1272,상품정보!$A$2:$D$151,3,FALSE)</f>
        <v>의류</v>
      </c>
      <c r="R1272" t="str">
        <f>VLOOKUP(D1272,상품정보!$A$2:$D$151,4,FALSE)</f>
        <v>브랜드F</v>
      </c>
    </row>
    <row r="1273" spans="1:18" x14ac:dyDescent="0.45">
      <c r="A1273" t="s">
        <v>351</v>
      </c>
      <c r="B1273" t="s">
        <v>1672</v>
      </c>
      <c r="C1273" t="s">
        <v>2412</v>
      </c>
      <c r="D1273" t="s">
        <v>2582</v>
      </c>
      <c r="E1273">
        <v>2</v>
      </c>
      <c r="F1273">
        <v>12500</v>
      </c>
      <c r="G1273">
        <v>0</v>
      </c>
      <c r="H1273">
        <v>14400</v>
      </c>
      <c r="I1273" t="s">
        <v>2611</v>
      </c>
      <c r="J1273" s="4">
        <f t="shared" si="57"/>
        <v>10600</v>
      </c>
      <c r="K1273" s="4" t="str">
        <f t="shared" si="58"/>
        <v>2024-12</v>
      </c>
      <c r="L1273" s="4" t="str">
        <f t="shared" si="59"/>
        <v>일</v>
      </c>
      <c r="M1273" s="2" t="str">
        <f>VLOOKUP($C1273, 고객정보!$A$2:$E$151, 2, FALSE)</f>
        <v>대전</v>
      </c>
      <c r="N1273" t="str">
        <f>VLOOKUP(C1273,고객정보!$A$2:$D$151,4,FALSE)</f>
        <v>L4</v>
      </c>
      <c r="O1273" t="str">
        <f>VLOOKUP($C1273, 고객정보!$A$2:$E$151, 5, FALSE)</f>
        <v>30대</v>
      </c>
      <c r="P1273" t="str">
        <f>VLOOKUP(D1273,상품정보!$A$2:$E$61,2,FALSE)</f>
        <v>셔츠</v>
      </c>
      <c r="Q1273" t="str">
        <f>VLOOKUP(D1273,상품정보!$A$2:$D$151,3,FALSE)</f>
        <v>의류</v>
      </c>
      <c r="R1273" t="str">
        <f>VLOOKUP(D1273,상품정보!$A$2:$D$151,4,FALSE)</f>
        <v>브랜드D</v>
      </c>
    </row>
    <row r="1274" spans="1:18" x14ac:dyDescent="0.45">
      <c r="A1274" t="s">
        <v>224</v>
      </c>
      <c r="B1274" t="s">
        <v>1673</v>
      </c>
      <c r="C1274" t="s">
        <v>2478</v>
      </c>
      <c r="D1274" t="s">
        <v>2554</v>
      </c>
      <c r="E1274">
        <v>5</v>
      </c>
      <c r="F1274">
        <v>12100</v>
      </c>
      <c r="G1274">
        <v>0</v>
      </c>
      <c r="H1274">
        <v>6000</v>
      </c>
      <c r="I1274" t="s">
        <v>2614</v>
      </c>
      <c r="J1274" s="4">
        <f t="shared" si="57"/>
        <v>54500</v>
      </c>
      <c r="K1274" s="4" t="str">
        <f t="shared" si="58"/>
        <v>2024-12</v>
      </c>
      <c r="L1274" s="4" t="str">
        <f t="shared" si="59"/>
        <v>토</v>
      </c>
      <c r="M1274" s="2" t="str">
        <f>VLOOKUP($C1274, 고객정보!$A$2:$E$151, 2, FALSE)</f>
        <v>인천</v>
      </c>
      <c r="N1274" t="str">
        <f>VLOOKUP(C1274,고객정보!$A$2:$D$151,4,FALSE)</f>
        <v>L1</v>
      </c>
      <c r="O1274" t="str">
        <f>VLOOKUP($C1274, 고객정보!$A$2:$E$151, 5, FALSE)</f>
        <v>40대</v>
      </c>
      <c r="P1274" t="str">
        <f>VLOOKUP(D1274,상품정보!$A$2:$E$61,2,FALSE)</f>
        <v>귀걸이</v>
      </c>
      <c r="Q1274" t="str">
        <f>VLOOKUP(D1274,상품정보!$A$2:$D$151,3,FALSE)</f>
        <v>액세서리</v>
      </c>
      <c r="R1274" t="str">
        <f>VLOOKUP(D1274,상품정보!$A$2:$D$151,4,FALSE)</f>
        <v>브랜드D</v>
      </c>
    </row>
    <row r="1275" spans="1:18" x14ac:dyDescent="0.45">
      <c r="A1275" t="s">
        <v>223</v>
      </c>
      <c r="B1275" t="s">
        <v>1674</v>
      </c>
      <c r="C1275" t="s">
        <v>2442</v>
      </c>
      <c r="D1275" t="s">
        <v>2588</v>
      </c>
      <c r="E1275">
        <v>1</v>
      </c>
      <c r="F1275">
        <v>7700</v>
      </c>
      <c r="G1275">
        <v>0</v>
      </c>
      <c r="H1275">
        <v>0</v>
      </c>
      <c r="I1275" t="s">
        <v>2652</v>
      </c>
      <c r="J1275" s="4">
        <f t="shared" si="57"/>
        <v>7700</v>
      </c>
      <c r="K1275" s="4" t="str">
        <f t="shared" si="58"/>
        <v>2025-01</v>
      </c>
      <c r="L1275" s="4" t="str">
        <f t="shared" si="59"/>
        <v>금</v>
      </c>
      <c r="M1275" s="2" t="str">
        <f>VLOOKUP($C1275, 고객정보!$A$2:$E$151, 2, FALSE)</f>
        <v>부산</v>
      </c>
      <c r="N1275" t="str">
        <f>VLOOKUP(C1275,고객정보!$A$2:$D$151,4,FALSE)</f>
        <v>L1</v>
      </c>
      <c r="O1275" t="str">
        <f>VLOOKUP($C1275, 고객정보!$A$2:$E$151, 5, FALSE)</f>
        <v>40대</v>
      </c>
      <c r="P1275" t="str">
        <f>VLOOKUP(D1275,상품정보!$A$2:$E$61,2,FALSE)</f>
        <v>귀걸이</v>
      </c>
      <c r="Q1275" t="str">
        <f>VLOOKUP(D1275,상품정보!$A$2:$D$151,3,FALSE)</f>
        <v>액세서리</v>
      </c>
      <c r="R1275" t="str">
        <f>VLOOKUP(D1275,상품정보!$A$2:$D$151,4,FALSE)</f>
        <v>브랜드D</v>
      </c>
    </row>
    <row r="1276" spans="1:18" x14ac:dyDescent="0.45">
      <c r="A1276" t="s">
        <v>276</v>
      </c>
      <c r="B1276" t="s">
        <v>1675</v>
      </c>
      <c r="C1276" t="s">
        <v>2498</v>
      </c>
      <c r="D1276" t="s">
        <v>2562</v>
      </c>
      <c r="E1276">
        <v>4</v>
      </c>
      <c r="F1276">
        <v>15600</v>
      </c>
      <c r="G1276">
        <v>0</v>
      </c>
      <c r="H1276">
        <v>0</v>
      </c>
      <c r="I1276" t="s">
        <v>2652</v>
      </c>
      <c r="J1276" s="4">
        <f t="shared" si="57"/>
        <v>62400</v>
      </c>
      <c r="K1276" s="4" t="str">
        <f t="shared" si="58"/>
        <v>2024-10</v>
      </c>
      <c r="L1276" s="4" t="str">
        <f t="shared" si="59"/>
        <v>금</v>
      </c>
      <c r="M1276" s="2" t="str">
        <f>VLOOKUP($C1276, 고객정보!$A$2:$E$151, 2, FALSE)</f>
        <v>서울</v>
      </c>
      <c r="N1276" t="str">
        <f>VLOOKUP(C1276,고객정보!$A$2:$D$151,4,FALSE)</f>
        <v>L3</v>
      </c>
      <c r="O1276" t="str">
        <f>VLOOKUP($C1276, 고객정보!$A$2:$E$151, 5, FALSE)</f>
        <v>30대</v>
      </c>
      <c r="P1276" t="str">
        <f>VLOOKUP(D1276,상품정보!$A$2:$E$61,2,FALSE)</f>
        <v>반팔 티셔츠</v>
      </c>
      <c r="Q1276" t="str">
        <f>VLOOKUP(D1276,상품정보!$A$2:$D$151,3,FALSE)</f>
        <v>의류</v>
      </c>
      <c r="R1276" t="str">
        <f>VLOOKUP(D1276,상품정보!$A$2:$D$151,4,FALSE)</f>
        <v>브랜드E</v>
      </c>
    </row>
    <row r="1277" spans="1:18" x14ac:dyDescent="0.45">
      <c r="A1277" t="s">
        <v>81</v>
      </c>
      <c r="B1277" t="s">
        <v>1676</v>
      </c>
      <c r="C1277" t="s">
        <v>2453</v>
      </c>
      <c r="D1277" t="s">
        <v>2567</v>
      </c>
      <c r="E1277">
        <v>4</v>
      </c>
      <c r="F1277">
        <v>58600</v>
      </c>
      <c r="G1277">
        <v>0</v>
      </c>
      <c r="H1277">
        <v>0</v>
      </c>
      <c r="I1277" t="s">
        <v>2652</v>
      </c>
      <c r="J1277" s="4">
        <f t="shared" si="57"/>
        <v>234400</v>
      </c>
      <c r="K1277" s="4" t="str">
        <f t="shared" si="58"/>
        <v>2024-12</v>
      </c>
      <c r="L1277" s="4" t="str">
        <f t="shared" si="59"/>
        <v>수</v>
      </c>
      <c r="M1277" s="2" t="str">
        <f>VLOOKUP($C1277, 고객정보!$A$2:$E$151, 2, FALSE)</f>
        <v>대구</v>
      </c>
      <c r="N1277" t="str">
        <f>VLOOKUP(C1277,고객정보!$A$2:$D$151,4,FALSE)</f>
        <v>L5</v>
      </c>
      <c r="O1277" t="str">
        <f>VLOOKUP($C1277, 고객정보!$A$2:$E$151, 5, FALSE)</f>
        <v>50대 이상</v>
      </c>
      <c r="P1277" t="str">
        <f>VLOOKUP(D1277,상품정보!$A$2:$E$61,2,FALSE)</f>
        <v>귀걸이</v>
      </c>
      <c r="Q1277" t="str">
        <f>VLOOKUP(D1277,상품정보!$A$2:$D$151,3,FALSE)</f>
        <v>액세서리</v>
      </c>
      <c r="R1277" t="str">
        <f>VLOOKUP(D1277,상품정보!$A$2:$D$151,4,FALSE)</f>
        <v>브랜드B</v>
      </c>
    </row>
    <row r="1278" spans="1:18" x14ac:dyDescent="0.45">
      <c r="A1278" t="s">
        <v>387</v>
      </c>
      <c r="B1278" t="s">
        <v>1677</v>
      </c>
      <c r="C1278" t="s">
        <v>2445</v>
      </c>
      <c r="D1278" t="s">
        <v>2595</v>
      </c>
      <c r="E1278">
        <v>4</v>
      </c>
      <c r="F1278">
        <v>12700</v>
      </c>
      <c r="G1278">
        <v>1000</v>
      </c>
      <c r="H1278">
        <v>0</v>
      </c>
      <c r="I1278" t="s">
        <v>2652</v>
      </c>
      <c r="J1278" s="4">
        <f t="shared" si="57"/>
        <v>51800</v>
      </c>
      <c r="K1278" s="4" t="str">
        <f t="shared" si="58"/>
        <v>2024-01</v>
      </c>
      <c r="L1278" s="4" t="str">
        <f t="shared" si="59"/>
        <v>일</v>
      </c>
      <c r="M1278" s="2" t="str">
        <f>VLOOKUP($C1278, 고객정보!$A$2:$E$151, 2, FALSE)</f>
        <v>대구</v>
      </c>
      <c r="N1278" t="str">
        <f>VLOOKUP(C1278,고객정보!$A$2:$D$151,4,FALSE)</f>
        <v>L3</v>
      </c>
      <c r="O1278" t="str">
        <f>VLOOKUP($C1278, 고객정보!$A$2:$E$151, 5, FALSE)</f>
        <v>10대</v>
      </c>
      <c r="P1278" t="str">
        <f>VLOOKUP(D1278,상품정보!$A$2:$E$61,2,FALSE)</f>
        <v>반지</v>
      </c>
      <c r="Q1278" t="str">
        <f>VLOOKUP(D1278,상품정보!$A$2:$D$151,3,FALSE)</f>
        <v>액세서리</v>
      </c>
      <c r="R1278" t="str">
        <f>VLOOKUP(D1278,상품정보!$A$2:$D$151,4,FALSE)</f>
        <v>브랜드C</v>
      </c>
    </row>
    <row r="1279" spans="1:18" x14ac:dyDescent="0.45">
      <c r="A1279" t="s">
        <v>247</v>
      </c>
      <c r="B1279" t="s">
        <v>1678</v>
      </c>
      <c r="C1279" t="s">
        <v>2468</v>
      </c>
      <c r="D1279" t="s">
        <v>2591</v>
      </c>
      <c r="E1279">
        <v>1</v>
      </c>
      <c r="F1279">
        <v>69200</v>
      </c>
      <c r="G1279">
        <v>0</v>
      </c>
      <c r="H1279">
        <v>1100</v>
      </c>
      <c r="I1279" t="s">
        <v>2613</v>
      </c>
      <c r="J1279" s="4">
        <f t="shared" si="57"/>
        <v>68100</v>
      </c>
      <c r="K1279" s="4" t="str">
        <f t="shared" si="58"/>
        <v>2024-07</v>
      </c>
      <c r="L1279" s="4" t="str">
        <f t="shared" si="59"/>
        <v>일</v>
      </c>
      <c r="M1279" s="2" t="str">
        <f>VLOOKUP($C1279, 고객정보!$A$2:$E$151, 2, FALSE)</f>
        <v>부산</v>
      </c>
      <c r="N1279" t="str">
        <f>VLOOKUP(C1279,고객정보!$A$2:$D$151,4,FALSE)</f>
        <v>L5</v>
      </c>
      <c r="O1279" t="str">
        <f>VLOOKUP($C1279, 고객정보!$A$2:$E$151, 5, FALSE)</f>
        <v>20대</v>
      </c>
      <c r="P1279" t="str">
        <f>VLOOKUP(D1279,상품정보!$A$2:$E$61,2,FALSE)</f>
        <v>셔츠</v>
      </c>
      <c r="Q1279" t="str">
        <f>VLOOKUP(D1279,상품정보!$A$2:$D$151,3,FALSE)</f>
        <v>의류</v>
      </c>
      <c r="R1279" t="str">
        <f>VLOOKUP(D1279,상품정보!$A$2:$D$151,4,FALSE)</f>
        <v>브랜드F</v>
      </c>
    </row>
    <row r="1280" spans="1:18" x14ac:dyDescent="0.45">
      <c r="A1280" t="s">
        <v>348</v>
      </c>
      <c r="B1280" t="s">
        <v>1679</v>
      </c>
      <c r="C1280" t="s">
        <v>2535</v>
      </c>
      <c r="D1280" t="s">
        <v>2596</v>
      </c>
      <c r="E1280">
        <v>1</v>
      </c>
      <c r="F1280">
        <v>59700</v>
      </c>
      <c r="G1280">
        <v>0</v>
      </c>
      <c r="H1280">
        <v>0</v>
      </c>
      <c r="I1280" t="s">
        <v>2652</v>
      </c>
      <c r="J1280" s="4">
        <f t="shared" si="57"/>
        <v>59700</v>
      </c>
      <c r="K1280" s="4" t="str">
        <f t="shared" si="58"/>
        <v>2024-04</v>
      </c>
      <c r="L1280" s="4" t="str">
        <f t="shared" si="59"/>
        <v>금</v>
      </c>
      <c r="M1280" s="2" t="str">
        <f>VLOOKUP($C1280, 고객정보!$A$2:$E$151, 2, FALSE)</f>
        <v>서울</v>
      </c>
      <c r="N1280" t="str">
        <f>VLOOKUP(C1280,고객정보!$A$2:$D$151,4,FALSE)</f>
        <v>L2</v>
      </c>
      <c r="O1280" t="str">
        <f>VLOOKUP($C1280, 고객정보!$A$2:$E$151, 5, FALSE)</f>
        <v>10대</v>
      </c>
      <c r="P1280" t="str">
        <f>VLOOKUP(D1280,상품정보!$A$2:$E$61,2,FALSE)</f>
        <v>청바지</v>
      </c>
      <c r="Q1280" t="str">
        <f>VLOOKUP(D1280,상품정보!$A$2:$D$151,3,FALSE)</f>
        <v>의류</v>
      </c>
      <c r="R1280" t="str">
        <f>VLOOKUP(D1280,상품정보!$A$2:$D$151,4,FALSE)</f>
        <v>브랜드A</v>
      </c>
    </row>
    <row r="1281" spans="1:18" x14ac:dyDescent="0.45">
      <c r="A1281" t="s">
        <v>294</v>
      </c>
      <c r="B1281" t="s">
        <v>1680</v>
      </c>
      <c r="C1281" t="s">
        <v>2425</v>
      </c>
      <c r="D1281" t="s">
        <v>2557</v>
      </c>
      <c r="E1281">
        <v>2</v>
      </c>
      <c r="F1281">
        <v>77700</v>
      </c>
      <c r="G1281">
        <v>1000</v>
      </c>
      <c r="H1281">
        <v>0</v>
      </c>
      <c r="I1281" t="s">
        <v>2652</v>
      </c>
      <c r="J1281" s="4">
        <f t="shared" si="57"/>
        <v>156400</v>
      </c>
      <c r="K1281" s="4" t="str">
        <f t="shared" si="58"/>
        <v>2024-05</v>
      </c>
      <c r="L1281" s="4" t="str">
        <f t="shared" si="59"/>
        <v>일</v>
      </c>
      <c r="M1281" s="2" t="str">
        <f>VLOOKUP($C1281, 고객정보!$A$2:$E$151, 2, FALSE)</f>
        <v>서울</v>
      </c>
      <c r="N1281" t="str">
        <f>VLOOKUP(C1281,고객정보!$A$2:$D$151,4,FALSE)</f>
        <v>L4</v>
      </c>
      <c r="O1281" t="str">
        <f>VLOOKUP($C1281, 고객정보!$A$2:$E$151, 5, FALSE)</f>
        <v>30대</v>
      </c>
      <c r="P1281" t="str">
        <f>VLOOKUP(D1281,상품정보!$A$2:$E$61,2,FALSE)</f>
        <v>귀걸이</v>
      </c>
      <c r="Q1281" t="str">
        <f>VLOOKUP(D1281,상품정보!$A$2:$D$151,3,FALSE)</f>
        <v>액세서리</v>
      </c>
      <c r="R1281" t="str">
        <f>VLOOKUP(D1281,상품정보!$A$2:$D$151,4,FALSE)</f>
        <v>브랜드B</v>
      </c>
    </row>
    <row r="1282" spans="1:18" x14ac:dyDescent="0.45">
      <c r="A1282" t="s">
        <v>96</v>
      </c>
      <c r="B1282" t="s">
        <v>1681</v>
      </c>
      <c r="C1282" t="s">
        <v>2531</v>
      </c>
      <c r="D1282" t="s">
        <v>2573</v>
      </c>
      <c r="E1282">
        <v>1</v>
      </c>
      <c r="F1282">
        <v>6400</v>
      </c>
      <c r="G1282">
        <v>2000</v>
      </c>
      <c r="H1282">
        <v>0</v>
      </c>
      <c r="I1282" t="s">
        <v>2652</v>
      </c>
      <c r="J1282" s="4">
        <f t="shared" si="57"/>
        <v>8400</v>
      </c>
      <c r="K1282" s="4" t="str">
        <f t="shared" si="58"/>
        <v>2024-12</v>
      </c>
      <c r="L1282" s="4" t="str">
        <f t="shared" si="59"/>
        <v>목</v>
      </c>
      <c r="M1282" s="2" t="str">
        <f>VLOOKUP($C1282, 고객정보!$A$2:$E$151, 2, FALSE)</f>
        <v>서울</v>
      </c>
      <c r="N1282" t="str">
        <f>VLOOKUP(C1282,고객정보!$A$2:$D$151,4,FALSE)</f>
        <v>L4</v>
      </c>
      <c r="O1282" t="str">
        <f>VLOOKUP($C1282, 고객정보!$A$2:$E$151, 5, FALSE)</f>
        <v>40대</v>
      </c>
      <c r="P1282" t="str">
        <f>VLOOKUP(D1282,상품정보!$A$2:$E$61,2,FALSE)</f>
        <v>귀걸이</v>
      </c>
      <c r="Q1282" t="str">
        <f>VLOOKUP(D1282,상품정보!$A$2:$D$151,3,FALSE)</f>
        <v>액세서리</v>
      </c>
      <c r="R1282" t="str">
        <f>VLOOKUP(D1282,상품정보!$A$2:$D$151,4,FALSE)</f>
        <v>브랜드E</v>
      </c>
    </row>
    <row r="1283" spans="1:18" x14ac:dyDescent="0.45">
      <c r="A1283" t="s">
        <v>315</v>
      </c>
      <c r="B1283" t="s">
        <v>1682</v>
      </c>
      <c r="C1283" t="s">
        <v>2511</v>
      </c>
      <c r="D1283" t="s">
        <v>2572</v>
      </c>
      <c r="E1283">
        <v>5</v>
      </c>
      <c r="F1283">
        <v>61700</v>
      </c>
      <c r="G1283">
        <v>0</v>
      </c>
      <c r="H1283">
        <v>500</v>
      </c>
      <c r="I1283" t="s">
        <v>2611</v>
      </c>
      <c r="J1283" s="4">
        <f t="shared" ref="J1283:J1346" si="60">E1283*F1283+G1283-H1283</f>
        <v>308000</v>
      </c>
      <c r="K1283" s="4" t="str">
        <f t="shared" ref="K1283:K1346" si="61">LEFT(A1283,7)</f>
        <v>2024-01</v>
      </c>
      <c r="L1283" s="4" t="str">
        <f t="shared" ref="L1283:L1346" si="62">TEXT(WEEKDAY(A1283),"aaa")</f>
        <v>수</v>
      </c>
      <c r="M1283" s="2" t="str">
        <f>VLOOKUP($C1283, 고객정보!$A$2:$E$151, 2, FALSE)</f>
        <v>인천</v>
      </c>
      <c r="N1283" t="str">
        <f>VLOOKUP(C1283,고객정보!$A$2:$D$151,4,FALSE)</f>
        <v>L1</v>
      </c>
      <c r="O1283" t="str">
        <f>VLOOKUP($C1283, 고객정보!$A$2:$E$151, 5, FALSE)</f>
        <v>50대 이상</v>
      </c>
      <c r="P1283" t="str">
        <f>VLOOKUP(D1283,상품정보!$A$2:$E$61,2,FALSE)</f>
        <v>반팔 티셔츠</v>
      </c>
      <c r="Q1283" t="str">
        <f>VLOOKUP(D1283,상품정보!$A$2:$D$151,3,FALSE)</f>
        <v>의류</v>
      </c>
      <c r="R1283" t="str">
        <f>VLOOKUP(D1283,상품정보!$A$2:$D$151,4,FALSE)</f>
        <v>브랜드F</v>
      </c>
    </row>
    <row r="1284" spans="1:18" x14ac:dyDescent="0.45">
      <c r="A1284" t="s">
        <v>17</v>
      </c>
      <c r="B1284" t="s">
        <v>1683</v>
      </c>
      <c r="C1284" t="s">
        <v>2529</v>
      </c>
      <c r="D1284" t="s">
        <v>2602</v>
      </c>
      <c r="E1284">
        <v>4</v>
      </c>
      <c r="F1284">
        <v>59900</v>
      </c>
      <c r="G1284">
        <v>0</v>
      </c>
      <c r="H1284">
        <v>0</v>
      </c>
      <c r="I1284" t="s">
        <v>2652</v>
      </c>
      <c r="J1284" s="4">
        <f t="shared" si="60"/>
        <v>239600</v>
      </c>
      <c r="K1284" s="4" t="str">
        <f t="shared" si="61"/>
        <v>2024-02</v>
      </c>
      <c r="L1284" s="4" t="str">
        <f t="shared" si="62"/>
        <v>목</v>
      </c>
      <c r="M1284" s="2" t="str">
        <f>VLOOKUP($C1284, 고객정보!$A$2:$E$151, 2, FALSE)</f>
        <v>인천</v>
      </c>
      <c r="N1284" t="str">
        <f>VLOOKUP(C1284,고객정보!$A$2:$D$151,4,FALSE)</f>
        <v>L2</v>
      </c>
      <c r="O1284" t="str">
        <f>VLOOKUP($C1284, 고객정보!$A$2:$E$151, 5, FALSE)</f>
        <v>30대</v>
      </c>
      <c r="P1284" t="str">
        <f>VLOOKUP(D1284,상품정보!$A$2:$E$61,2,FALSE)</f>
        <v>셔츠</v>
      </c>
      <c r="Q1284" t="str">
        <f>VLOOKUP(D1284,상품정보!$A$2:$D$151,3,FALSE)</f>
        <v>의류</v>
      </c>
      <c r="R1284" t="str">
        <f>VLOOKUP(D1284,상품정보!$A$2:$D$151,4,FALSE)</f>
        <v>브랜드A</v>
      </c>
    </row>
    <row r="1285" spans="1:18" x14ac:dyDescent="0.45">
      <c r="A1285" t="s">
        <v>89</v>
      </c>
      <c r="B1285" t="s">
        <v>1684</v>
      </c>
      <c r="C1285" t="s">
        <v>2406</v>
      </c>
      <c r="D1285" t="s">
        <v>2576</v>
      </c>
      <c r="E1285">
        <v>2</v>
      </c>
      <c r="F1285">
        <v>8800</v>
      </c>
      <c r="G1285">
        <v>1000</v>
      </c>
      <c r="H1285">
        <v>0</v>
      </c>
      <c r="I1285" t="s">
        <v>2652</v>
      </c>
      <c r="J1285" s="4">
        <f t="shared" si="60"/>
        <v>18600</v>
      </c>
      <c r="K1285" s="4" t="str">
        <f t="shared" si="61"/>
        <v>2025-01</v>
      </c>
      <c r="L1285" s="4" t="str">
        <f t="shared" si="62"/>
        <v>수</v>
      </c>
      <c r="M1285" s="2" t="str">
        <f>VLOOKUP($C1285, 고객정보!$A$2:$E$151, 2, FALSE)</f>
        <v>부산</v>
      </c>
      <c r="N1285" t="str">
        <f>VLOOKUP(C1285,고객정보!$A$2:$D$151,4,FALSE)</f>
        <v>L5</v>
      </c>
      <c r="O1285" t="str">
        <f>VLOOKUP($C1285, 고객정보!$A$2:$E$151, 5, FALSE)</f>
        <v>30대</v>
      </c>
      <c r="P1285" t="str">
        <f>VLOOKUP(D1285,상품정보!$A$2:$E$61,2,FALSE)</f>
        <v>핸드폰케이스</v>
      </c>
      <c r="Q1285" t="str">
        <f>VLOOKUP(D1285,상품정보!$A$2:$D$151,3,FALSE)</f>
        <v>액세서리</v>
      </c>
      <c r="R1285" t="str">
        <f>VLOOKUP(D1285,상품정보!$A$2:$D$151,4,FALSE)</f>
        <v>브랜드D</v>
      </c>
    </row>
    <row r="1286" spans="1:18" x14ac:dyDescent="0.45">
      <c r="A1286" t="s">
        <v>325</v>
      </c>
      <c r="B1286" t="s">
        <v>1685</v>
      </c>
      <c r="C1286" t="s">
        <v>2406</v>
      </c>
      <c r="D1286" t="s">
        <v>2559</v>
      </c>
      <c r="E1286">
        <v>2</v>
      </c>
      <c r="F1286">
        <v>5400</v>
      </c>
      <c r="G1286">
        <v>500</v>
      </c>
      <c r="H1286">
        <v>0</v>
      </c>
      <c r="I1286" t="s">
        <v>2652</v>
      </c>
      <c r="J1286" s="4">
        <f t="shared" si="60"/>
        <v>11300</v>
      </c>
      <c r="K1286" s="4" t="str">
        <f t="shared" si="61"/>
        <v>2024-09</v>
      </c>
      <c r="L1286" s="4" t="str">
        <f t="shared" si="62"/>
        <v>수</v>
      </c>
      <c r="M1286" s="2" t="str">
        <f>VLOOKUP($C1286, 고객정보!$A$2:$E$151, 2, FALSE)</f>
        <v>부산</v>
      </c>
      <c r="N1286" t="str">
        <f>VLOOKUP(C1286,고객정보!$A$2:$D$151,4,FALSE)</f>
        <v>L5</v>
      </c>
      <c r="O1286" t="str">
        <f>VLOOKUP($C1286, 고객정보!$A$2:$E$151, 5, FALSE)</f>
        <v>30대</v>
      </c>
      <c r="P1286" t="str">
        <f>VLOOKUP(D1286,상품정보!$A$2:$E$61,2,FALSE)</f>
        <v>반지</v>
      </c>
      <c r="Q1286" t="str">
        <f>VLOOKUP(D1286,상품정보!$A$2:$D$151,3,FALSE)</f>
        <v>액세서리</v>
      </c>
      <c r="R1286" t="str">
        <f>VLOOKUP(D1286,상품정보!$A$2:$D$151,4,FALSE)</f>
        <v>브랜드D</v>
      </c>
    </row>
    <row r="1287" spans="1:18" x14ac:dyDescent="0.45">
      <c r="A1287" t="s">
        <v>247</v>
      </c>
      <c r="B1287" t="s">
        <v>1686</v>
      </c>
      <c r="C1287" t="s">
        <v>2547</v>
      </c>
      <c r="D1287" t="s">
        <v>2606</v>
      </c>
      <c r="E1287">
        <v>1</v>
      </c>
      <c r="F1287">
        <v>15000</v>
      </c>
      <c r="G1287">
        <v>500</v>
      </c>
      <c r="H1287">
        <v>0</v>
      </c>
      <c r="I1287" t="s">
        <v>2652</v>
      </c>
      <c r="J1287" s="4">
        <f t="shared" si="60"/>
        <v>15500</v>
      </c>
      <c r="K1287" s="4" t="str">
        <f t="shared" si="61"/>
        <v>2024-07</v>
      </c>
      <c r="L1287" s="4" t="str">
        <f t="shared" si="62"/>
        <v>일</v>
      </c>
      <c r="M1287" s="2" t="str">
        <f>VLOOKUP($C1287, 고객정보!$A$2:$E$151, 2, FALSE)</f>
        <v>광주</v>
      </c>
      <c r="N1287" t="str">
        <f>VLOOKUP(C1287,고객정보!$A$2:$D$151,4,FALSE)</f>
        <v>L2</v>
      </c>
      <c r="O1287" t="str">
        <f>VLOOKUP($C1287, 고객정보!$A$2:$E$151, 5, FALSE)</f>
        <v>20대</v>
      </c>
      <c r="P1287" t="str">
        <f>VLOOKUP(D1287,상품정보!$A$2:$E$61,2,FALSE)</f>
        <v>귀걸이</v>
      </c>
      <c r="Q1287" t="str">
        <f>VLOOKUP(D1287,상품정보!$A$2:$D$151,3,FALSE)</f>
        <v>액세서리</v>
      </c>
      <c r="R1287" t="str">
        <f>VLOOKUP(D1287,상품정보!$A$2:$D$151,4,FALSE)</f>
        <v>브랜드E</v>
      </c>
    </row>
    <row r="1288" spans="1:18" x14ac:dyDescent="0.45">
      <c r="A1288" t="s">
        <v>335</v>
      </c>
      <c r="B1288" t="s">
        <v>1687</v>
      </c>
      <c r="C1288" t="s">
        <v>2549</v>
      </c>
      <c r="D1288" t="s">
        <v>2592</v>
      </c>
      <c r="E1288">
        <v>3</v>
      </c>
      <c r="F1288">
        <v>72700</v>
      </c>
      <c r="G1288">
        <v>0</v>
      </c>
      <c r="H1288">
        <v>0</v>
      </c>
      <c r="I1288" t="s">
        <v>2652</v>
      </c>
      <c r="J1288" s="4">
        <f t="shared" si="60"/>
        <v>218100</v>
      </c>
      <c r="K1288" s="4" t="str">
        <f t="shared" si="61"/>
        <v>2024-10</v>
      </c>
      <c r="L1288" s="4" t="str">
        <f t="shared" si="62"/>
        <v>수</v>
      </c>
      <c r="M1288" s="2" t="str">
        <f>VLOOKUP($C1288, 고객정보!$A$2:$E$151, 2, FALSE)</f>
        <v>서울</v>
      </c>
      <c r="N1288" t="str">
        <f>VLOOKUP(C1288,고객정보!$A$2:$D$151,4,FALSE)</f>
        <v>L2</v>
      </c>
      <c r="O1288" t="str">
        <f>VLOOKUP($C1288, 고객정보!$A$2:$E$151, 5, FALSE)</f>
        <v>40대</v>
      </c>
      <c r="P1288" t="str">
        <f>VLOOKUP(D1288,상품정보!$A$2:$E$61,2,FALSE)</f>
        <v>귀걸이</v>
      </c>
      <c r="Q1288" t="str">
        <f>VLOOKUP(D1288,상품정보!$A$2:$D$151,3,FALSE)</f>
        <v>액세서리</v>
      </c>
      <c r="R1288" t="str">
        <f>VLOOKUP(D1288,상품정보!$A$2:$D$151,4,FALSE)</f>
        <v>브랜드A</v>
      </c>
    </row>
    <row r="1289" spans="1:18" x14ac:dyDescent="0.45">
      <c r="A1289" t="s">
        <v>293</v>
      </c>
      <c r="B1289" t="s">
        <v>1688</v>
      </c>
      <c r="C1289" t="s">
        <v>2455</v>
      </c>
      <c r="D1289" t="s">
        <v>2594</v>
      </c>
      <c r="E1289">
        <v>3</v>
      </c>
      <c r="F1289">
        <v>73000</v>
      </c>
      <c r="G1289">
        <v>500</v>
      </c>
      <c r="H1289">
        <v>0</v>
      </c>
      <c r="I1289" t="s">
        <v>2652</v>
      </c>
      <c r="J1289" s="4">
        <f t="shared" si="60"/>
        <v>219500</v>
      </c>
      <c r="K1289" s="4" t="str">
        <f t="shared" si="61"/>
        <v>2024-04</v>
      </c>
      <c r="L1289" s="4" t="str">
        <f t="shared" si="62"/>
        <v>토</v>
      </c>
      <c r="M1289" s="2" t="str">
        <f>VLOOKUP($C1289, 고객정보!$A$2:$E$151, 2, FALSE)</f>
        <v>서울</v>
      </c>
      <c r="N1289" t="str">
        <f>VLOOKUP(C1289,고객정보!$A$2:$D$151,4,FALSE)</f>
        <v>L5</v>
      </c>
      <c r="O1289" t="str">
        <f>VLOOKUP($C1289, 고객정보!$A$2:$E$151, 5, FALSE)</f>
        <v>20대</v>
      </c>
      <c r="P1289" t="str">
        <f>VLOOKUP(D1289,상품정보!$A$2:$E$61,2,FALSE)</f>
        <v>자켓</v>
      </c>
      <c r="Q1289" t="str">
        <f>VLOOKUP(D1289,상품정보!$A$2:$D$151,3,FALSE)</f>
        <v>의류</v>
      </c>
      <c r="R1289" t="str">
        <f>VLOOKUP(D1289,상품정보!$A$2:$D$151,4,FALSE)</f>
        <v>브랜드A</v>
      </c>
    </row>
    <row r="1290" spans="1:18" x14ac:dyDescent="0.45">
      <c r="A1290" t="s">
        <v>388</v>
      </c>
      <c r="B1290" t="s">
        <v>1689</v>
      </c>
      <c r="C1290" t="s">
        <v>2459</v>
      </c>
      <c r="D1290" t="s">
        <v>2569</v>
      </c>
      <c r="E1290">
        <v>2</v>
      </c>
      <c r="F1290">
        <v>11400</v>
      </c>
      <c r="G1290">
        <v>1000</v>
      </c>
      <c r="H1290">
        <v>0</v>
      </c>
      <c r="I1290" t="s">
        <v>2652</v>
      </c>
      <c r="J1290" s="4">
        <f t="shared" si="60"/>
        <v>23800</v>
      </c>
      <c r="K1290" s="4" t="str">
        <f t="shared" si="61"/>
        <v>2024-11</v>
      </c>
      <c r="L1290" s="4" t="str">
        <f t="shared" si="62"/>
        <v>수</v>
      </c>
      <c r="M1290" s="2" t="str">
        <f>VLOOKUP($C1290, 고객정보!$A$2:$E$151, 2, FALSE)</f>
        <v>광주</v>
      </c>
      <c r="N1290" t="str">
        <f>VLOOKUP(C1290,고객정보!$A$2:$D$151,4,FALSE)</f>
        <v>L4</v>
      </c>
      <c r="O1290" t="str">
        <f>VLOOKUP($C1290, 고객정보!$A$2:$E$151, 5, FALSE)</f>
        <v>50대 이상</v>
      </c>
      <c r="P1290" t="str">
        <f>VLOOKUP(D1290,상품정보!$A$2:$E$61,2,FALSE)</f>
        <v>귀걸이</v>
      </c>
      <c r="Q1290" t="str">
        <f>VLOOKUP(D1290,상품정보!$A$2:$D$151,3,FALSE)</f>
        <v>액세서리</v>
      </c>
      <c r="R1290" t="str">
        <f>VLOOKUP(D1290,상품정보!$A$2:$D$151,4,FALSE)</f>
        <v>브랜드E</v>
      </c>
    </row>
    <row r="1291" spans="1:18" x14ac:dyDescent="0.45">
      <c r="A1291" t="s">
        <v>389</v>
      </c>
      <c r="B1291" t="s">
        <v>1690</v>
      </c>
      <c r="C1291" t="s">
        <v>2506</v>
      </c>
      <c r="D1291" t="s">
        <v>2557</v>
      </c>
      <c r="E1291">
        <v>5</v>
      </c>
      <c r="F1291">
        <v>77700</v>
      </c>
      <c r="G1291">
        <v>1500</v>
      </c>
      <c r="H1291">
        <v>0</v>
      </c>
      <c r="I1291" t="s">
        <v>2652</v>
      </c>
      <c r="J1291" s="4">
        <f t="shared" si="60"/>
        <v>390000</v>
      </c>
      <c r="K1291" s="4" t="str">
        <f t="shared" si="61"/>
        <v>2024-10</v>
      </c>
      <c r="L1291" s="4" t="str">
        <f t="shared" si="62"/>
        <v>일</v>
      </c>
      <c r="M1291" s="2" t="str">
        <f>VLOOKUP($C1291, 고객정보!$A$2:$E$151, 2, FALSE)</f>
        <v>광주</v>
      </c>
      <c r="N1291" t="str">
        <f>VLOOKUP(C1291,고객정보!$A$2:$D$151,4,FALSE)</f>
        <v>L2</v>
      </c>
      <c r="O1291" t="str">
        <f>VLOOKUP($C1291, 고객정보!$A$2:$E$151, 5, FALSE)</f>
        <v>50대 이상</v>
      </c>
      <c r="P1291" t="str">
        <f>VLOOKUP(D1291,상품정보!$A$2:$E$61,2,FALSE)</f>
        <v>귀걸이</v>
      </c>
      <c r="Q1291" t="str">
        <f>VLOOKUP(D1291,상품정보!$A$2:$D$151,3,FALSE)</f>
        <v>액세서리</v>
      </c>
      <c r="R1291" t="str">
        <f>VLOOKUP(D1291,상품정보!$A$2:$D$151,4,FALSE)</f>
        <v>브랜드B</v>
      </c>
    </row>
    <row r="1292" spans="1:18" x14ac:dyDescent="0.45">
      <c r="A1292" t="s">
        <v>225</v>
      </c>
      <c r="B1292" t="s">
        <v>1691</v>
      </c>
      <c r="C1292" t="s">
        <v>2486</v>
      </c>
      <c r="D1292" t="s">
        <v>2587</v>
      </c>
      <c r="E1292">
        <v>2</v>
      </c>
      <c r="F1292">
        <v>50200</v>
      </c>
      <c r="G1292">
        <v>1500</v>
      </c>
      <c r="H1292">
        <v>0</v>
      </c>
      <c r="I1292" t="s">
        <v>2652</v>
      </c>
      <c r="J1292" s="4">
        <f t="shared" si="60"/>
        <v>101900</v>
      </c>
      <c r="K1292" s="4" t="str">
        <f t="shared" si="61"/>
        <v>2024-05</v>
      </c>
      <c r="L1292" s="4" t="str">
        <f t="shared" si="62"/>
        <v>목</v>
      </c>
      <c r="M1292" s="2" t="str">
        <f>VLOOKUP($C1292, 고객정보!$A$2:$E$151, 2, FALSE)</f>
        <v>수원</v>
      </c>
      <c r="N1292" t="str">
        <f>VLOOKUP(C1292,고객정보!$A$2:$D$151,4,FALSE)</f>
        <v>L1</v>
      </c>
      <c r="O1292" t="str">
        <f>VLOOKUP($C1292, 고객정보!$A$2:$E$151, 5, FALSE)</f>
        <v>40대</v>
      </c>
      <c r="P1292" t="str">
        <f>VLOOKUP(D1292,상품정보!$A$2:$E$61,2,FALSE)</f>
        <v>반지</v>
      </c>
      <c r="Q1292" t="str">
        <f>VLOOKUP(D1292,상품정보!$A$2:$D$151,3,FALSE)</f>
        <v>액세서리</v>
      </c>
      <c r="R1292" t="str">
        <f>VLOOKUP(D1292,상품정보!$A$2:$D$151,4,FALSE)</f>
        <v>브랜드B</v>
      </c>
    </row>
    <row r="1293" spans="1:18" x14ac:dyDescent="0.45">
      <c r="A1293" t="s">
        <v>80</v>
      </c>
      <c r="B1293" t="s">
        <v>1692</v>
      </c>
      <c r="C1293" t="s">
        <v>2457</v>
      </c>
      <c r="D1293" t="s">
        <v>2604</v>
      </c>
      <c r="E1293">
        <v>1</v>
      </c>
      <c r="F1293">
        <v>9700</v>
      </c>
      <c r="G1293">
        <v>1500</v>
      </c>
      <c r="H1293">
        <v>0</v>
      </c>
      <c r="I1293" t="s">
        <v>2652</v>
      </c>
      <c r="J1293" s="4">
        <f t="shared" si="60"/>
        <v>11200</v>
      </c>
      <c r="K1293" s="4" t="str">
        <f t="shared" si="61"/>
        <v>2024-04</v>
      </c>
      <c r="L1293" s="4" t="str">
        <f t="shared" si="62"/>
        <v>금</v>
      </c>
      <c r="M1293" s="2" t="str">
        <f>VLOOKUP($C1293, 고객정보!$A$2:$E$151, 2, FALSE)</f>
        <v>인천</v>
      </c>
      <c r="N1293" t="str">
        <f>VLOOKUP(C1293,고객정보!$A$2:$D$151,4,FALSE)</f>
        <v>L4</v>
      </c>
      <c r="O1293" t="str">
        <f>VLOOKUP($C1293, 고객정보!$A$2:$E$151, 5, FALSE)</f>
        <v>50대 이상</v>
      </c>
      <c r="P1293" t="str">
        <f>VLOOKUP(D1293,상품정보!$A$2:$E$61,2,FALSE)</f>
        <v>반팔 티셔츠</v>
      </c>
      <c r="Q1293" t="str">
        <f>VLOOKUP(D1293,상품정보!$A$2:$D$151,3,FALSE)</f>
        <v>의류</v>
      </c>
      <c r="R1293" t="str">
        <f>VLOOKUP(D1293,상품정보!$A$2:$D$151,4,FALSE)</f>
        <v>브랜드E</v>
      </c>
    </row>
    <row r="1294" spans="1:18" x14ac:dyDescent="0.45">
      <c r="A1294" t="s">
        <v>178</v>
      </c>
      <c r="B1294" t="s">
        <v>1693</v>
      </c>
      <c r="C1294" t="s">
        <v>2536</v>
      </c>
      <c r="D1294" t="s">
        <v>2574</v>
      </c>
      <c r="E1294">
        <v>5</v>
      </c>
      <c r="F1294">
        <v>8600</v>
      </c>
      <c r="G1294">
        <v>0</v>
      </c>
      <c r="H1294">
        <v>0</v>
      </c>
      <c r="I1294" t="s">
        <v>2652</v>
      </c>
      <c r="J1294" s="4">
        <f t="shared" si="60"/>
        <v>43000</v>
      </c>
      <c r="K1294" s="4" t="str">
        <f t="shared" si="61"/>
        <v>2024-03</v>
      </c>
      <c r="L1294" s="4" t="str">
        <f t="shared" si="62"/>
        <v>토</v>
      </c>
      <c r="M1294" s="2" t="str">
        <f>VLOOKUP($C1294, 고객정보!$A$2:$E$151, 2, FALSE)</f>
        <v>서울</v>
      </c>
      <c r="N1294" t="str">
        <f>VLOOKUP(C1294,고객정보!$A$2:$D$151,4,FALSE)</f>
        <v>L5</v>
      </c>
      <c r="O1294" t="str">
        <f>VLOOKUP($C1294, 고객정보!$A$2:$E$151, 5, FALSE)</f>
        <v>20대</v>
      </c>
      <c r="P1294" t="str">
        <f>VLOOKUP(D1294,상품정보!$A$2:$E$61,2,FALSE)</f>
        <v>셔츠</v>
      </c>
      <c r="Q1294" t="str">
        <f>VLOOKUP(D1294,상품정보!$A$2:$D$151,3,FALSE)</f>
        <v>의류</v>
      </c>
      <c r="R1294" t="str">
        <f>VLOOKUP(D1294,상품정보!$A$2:$D$151,4,FALSE)</f>
        <v>브랜드D</v>
      </c>
    </row>
    <row r="1295" spans="1:18" x14ac:dyDescent="0.45">
      <c r="A1295" t="s">
        <v>14</v>
      </c>
      <c r="B1295" t="s">
        <v>1694</v>
      </c>
      <c r="C1295" t="s">
        <v>2538</v>
      </c>
      <c r="D1295" t="s">
        <v>2564</v>
      </c>
      <c r="E1295">
        <v>4</v>
      </c>
      <c r="F1295">
        <v>66600</v>
      </c>
      <c r="G1295">
        <v>0</v>
      </c>
      <c r="H1295">
        <v>0</v>
      </c>
      <c r="I1295" t="s">
        <v>2652</v>
      </c>
      <c r="J1295" s="4">
        <f t="shared" si="60"/>
        <v>266400</v>
      </c>
      <c r="K1295" s="4" t="str">
        <f t="shared" si="61"/>
        <v>2024-05</v>
      </c>
      <c r="L1295" s="4" t="str">
        <f t="shared" si="62"/>
        <v>수</v>
      </c>
      <c r="M1295" s="2" t="str">
        <f>VLOOKUP($C1295, 고객정보!$A$2:$E$151, 2, FALSE)</f>
        <v>대구</v>
      </c>
      <c r="N1295" t="str">
        <f>VLOOKUP(C1295,고객정보!$A$2:$D$151,4,FALSE)</f>
        <v>L4</v>
      </c>
      <c r="O1295" t="str">
        <f>VLOOKUP($C1295, 고객정보!$A$2:$E$151, 5, FALSE)</f>
        <v>40대</v>
      </c>
      <c r="P1295" t="str">
        <f>VLOOKUP(D1295,상품정보!$A$2:$E$61,2,FALSE)</f>
        <v>청바지</v>
      </c>
      <c r="Q1295" t="str">
        <f>VLOOKUP(D1295,상품정보!$A$2:$D$151,3,FALSE)</f>
        <v>의류</v>
      </c>
      <c r="R1295" t="str">
        <f>VLOOKUP(D1295,상품정보!$A$2:$D$151,4,FALSE)</f>
        <v>브랜드B</v>
      </c>
    </row>
    <row r="1296" spans="1:18" x14ac:dyDescent="0.45">
      <c r="A1296" t="s">
        <v>94</v>
      </c>
      <c r="B1296" t="s">
        <v>1695</v>
      </c>
      <c r="C1296" t="s">
        <v>2463</v>
      </c>
      <c r="D1296" t="s">
        <v>2605</v>
      </c>
      <c r="E1296">
        <v>2</v>
      </c>
      <c r="F1296">
        <v>6800</v>
      </c>
      <c r="G1296">
        <v>1500</v>
      </c>
      <c r="H1296">
        <v>700</v>
      </c>
      <c r="I1296" t="s">
        <v>2612</v>
      </c>
      <c r="J1296" s="4">
        <f t="shared" si="60"/>
        <v>14400</v>
      </c>
      <c r="K1296" s="4" t="str">
        <f t="shared" si="61"/>
        <v>2024-03</v>
      </c>
      <c r="L1296" s="4" t="str">
        <f t="shared" si="62"/>
        <v>토</v>
      </c>
      <c r="M1296" s="2" t="str">
        <f>VLOOKUP($C1296, 고객정보!$A$2:$E$151, 2, FALSE)</f>
        <v>대구</v>
      </c>
      <c r="N1296" t="str">
        <f>VLOOKUP(C1296,고객정보!$A$2:$D$151,4,FALSE)</f>
        <v>L4</v>
      </c>
      <c r="O1296" t="str">
        <f>VLOOKUP($C1296, 고객정보!$A$2:$E$151, 5, FALSE)</f>
        <v>20대</v>
      </c>
      <c r="P1296" t="str">
        <f>VLOOKUP(D1296,상품정보!$A$2:$E$61,2,FALSE)</f>
        <v>핸드폰케이스</v>
      </c>
      <c r="Q1296" t="str">
        <f>VLOOKUP(D1296,상품정보!$A$2:$D$151,3,FALSE)</f>
        <v>액세서리</v>
      </c>
      <c r="R1296" t="str">
        <f>VLOOKUP(D1296,상품정보!$A$2:$D$151,4,FALSE)</f>
        <v>브랜드D</v>
      </c>
    </row>
    <row r="1297" spans="1:18" x14ac:dyDescent="0.45">
      <c r="A1297" t="s">
        <v>344</v>
      </c>
      <c r="B1297" t="s">
        <v>1696</v>
      </c>
      <c r="C1297" t="s">
        <v>2429</v>
      </c>
      <c r="D1297" t="s">
        <v>2610</v>
      </c>
      <c r="E1297">
        <v>3</v>
      </c>
      <c r="F1297">
        <v>18800</v>
      </c>
      <c r="G1297">
        <v>0</v>
      </c>
      <c r="H1297">
        <v>0</v>
      </c>
      <c r="I1297" t="s">
        <v>2652</v>
      </c>
      <c r="J1297" s="4">
        <f t="shared" si="60"/>
        <v>56400</v>
      </c>
      <c r="K1297" s="4" t="str">
        <f t="shared" si="61"/>
        <v>2024-01</v>
      </c>
      <c r="L1297" s="4" t="str">
        <f t="shared" si="62"/>
        <v>수</v>
      </c>
      <c r="M1297" s="2" t="str">
        <f>VLOOKUP($C1297, 고객정보!$A$2:$E$151, 2, FALSE)</f>
        <v>서울</v>
      </c>
      <c r="N1297" t="str">
        <f>VLOOKUP(C1297,고객정보!$A$2:$D$151,4,FALSE)</f>
        <v>L1</v>
      </c>
      <c r="O1297" t="str">
        <f>VLOOKUP($C1297, 고객정보!$A$2:$E$151, 5, FALSE)</f>
        <v>10대</v>
      </c>
      <c r="P1297" t="str">
        <f>VLOOKUP(D1297,상품정보!$A$2:$E$61,2,FALSE)</f>
        <v>자켓</v>
      </c>
      <c r="Q1297" t="str">
        <f>VLOOKUP(D1297,상품정보!$A$2:$D$151,3,FALSE)</f>
        <v>의류</v>
      </c>
      <c r="R1297" t="str">
        <f>VLOOKUP(D1297,상품정보!$A$2:$D$151,4,FALSE)</f>
        <v>브랜드E</v>
      </c>
    </row>
    <row r="1298" spans="1:18" x14ac:dyDescent="0.45">
      <c r="A1298" t="s">
        <v>83</v>
      </c>
      <c r="B1298" t="s">
        <v>1697</v>
      </c>
      <c r="C1298" t="s">
        <v>2481</v>
      </c>
      <c r="D1298" t="s">
        <v>2581</v>
      </c>
      <c r="E1298">
        <v>2</v>
      </c>
      <c r="F1298">
        <v>72900</v>
      </c>
      <c r="G1298">
        <v>0</v>
      </c>
      <c r="H1298">
        <v>0</v>
      </c>
      <c r="I1298" t="s">
        <v>2652</v>
      </c>
      <c r="J1298" s="4">
        <f t="shared" si="60"/>
        <v>145800</v>
      </c>
      <c r="K1298" s="4" t="str">
        <f t="shared" si="61"/>
        <v>2024-01</v>
      </c>
      <c r="L1298" s="4" t="str">
        <f t="shared" si="62"/>
        <v>일</v>
      </c>
      <c r="M1298" s="2" t="str">
        <f>VLOOKUP($C1298, 고객정보!$A$2:$E$151, 2, FALSE)</f>
        <v>부산</v>
      </c>
      <c r="N1298" t="str">
        <f>VLOOKUP(C1298,고객정보!$A$2:$D$151,4,FALSE)</f>
        <v>L5</v>
      </c>
      <c r="O1298" t="str">
        <f>VLOOKUP($C1298, 고객정보!$A$2:$E$151, 5, FALSE)</f>
        <v>20대</v>
      </c>
      <c r="P1298" t="str">
        <f>VLOOKUP(D1298,상품정보!$A$2:$E$61,2,FALSE)</f>
        <v>귀걸이</v>
      </c>
      <c r="Q1298" t="str">
        <f>VLOOKUP(D1298,상품정보!$A$2:$D$151,3,FALSE)</f>
        <v>액세서리</v>
      </c>
      <c r="R1298" t="str">
        <f>VLOOKUP(D1298,상품정보!$A$2:$D$151,4,FALSE)</f>
        <v>브랜드F</v>
      </c>
    </row>
    <row r="1299" spans="1:18" x14ac:dyDescent="0.45">
      <c r="A1299" t="s">
        <v>40</v>
      </c>
      <c r="B1299" t="s">
        <v>1698</v>
      </c>
      <c r="C1299" t="s">
        <v>2477</v>
      </c>
      <c r="D1299" t="s">
        <v>2568</v>
      </c>
      <c r="E1299">
        <v>3</v>
      </c>
      <c r="F1299">
        <v>16800</v>
      </c>
      <c r="G1299">
        <v>0</v>
      </c>
      <c r="H1299">
        <v>0</v>
      </c>
      <c r="I1299" t="s">
        <v>2652</v>
      </c>
      <c r="J1299" s="4">
        <f t="shared" si="60"/>
        <v>50400</v>
      </c>
      <c r="K1299" s="4" t="str">
        <f t="shared" si="61"/>
        <v>2024-11</v>
      </c>
      <c r="L1299" s="4" t="str">
        <f t="shared" si="62"/>
        <v>금</v>
      </c>
      <c r="M1299" s="2" t="str">
        <f>VLOOKUP($C1299, 고객정보!$A$2:$E$151, 2, FALSE)</f>
        <v>부산</v>
      </c>
      <c r="N1299" t="str">
        <f>VLOOKUP(C1299,고객정보!$A$2:$D$151,4,FALSE)</f>
        <v>L4</v>
      </c>
      <c r="O1299" t="str">
        <f>VLOOKUP($C1299, 고객정보!$A$2:$E$151, 5, FALSE)</f>
        <v>20대</v>
      </c>
      <c r="P1299" t="str">
        <f>VLOOKUP(D1299,상품정보!$A$2:$E$61,2,FALSE)</f>
        <v>청바지</v>
      </c>
      <c r="Q1299" t="str">
        <f>VLOOKUP(D1299,상품정보!$A$2:$D$151,3,FALSE)</f>
        <v>의류</v>
      </c>
      <c r="R1299" t="str">
        <f>VLOOKUP(D1299,상품정보!$A$2:$D$151,4,FALSE)</f>
        <v>브랜드C</v>
      </c>
    </row>
    <row r="1300" spans="1:18" x14ac:dyDescent="0.45">
      <c r="A1300" t="s">
        <v>159</v>
      </c>
      <c r="B1300" t="s">
        <v>1699</v>
      </c>
      <c r="C1300" t="s">
        <v>2455</v>
      </c>
      <c r="D1300" t="s">
        <v>2587</v>
      </c>
      <c r="E1300">
        <v>5</v>
      </c>
      <c r="F1300">
        <v>50200</v>
      </c>
      <c r="G1300">
        <v>500</v>
      </c>
      <c r="H1300">
        <v>0</v>
      </c>
      <c r="I1300" t="s">
        <v>2652</v>
      </c>
      <c r="J1300" s="4">
        <f t="shared" si="60"/>
        <v>251500</v>
      </c>
      <c r="K1300" s="4" t="str">
        <f t="shared" si="61"/>
        <v>2024-12</v>
      </c>
      <c r="L1300" s="4" t="str">
        <f t="shared" si="62"/>
        <v>수</v>
      </c>
      <c r="M1300" s="2" t="str">
        <f>VLOOKUP($C1300, 고객정보!$A$2:$E$151, 2, FALSE)</f>
        <v>서울</v>
      </c>
      <c r="N1300" t="str">
        <f>VLOOKUP(C1300,고객정보!$A$2:$D$151,4,FALSE)</f>
        <v>L5</v>
      </c>
      <c r="O1300" t="str">
        <f>VLOOKUP($C1300, 고객정보!$A$2:$E$151, 5, FALSE)</f>
        <v>20대</v>
      </c>
      <c r="P1300" t="str">
        <f>VLOOKUP(D1300,상품정보!$A$2:$E$61,2,FALSE)</f>
        <v>반지</v>
      </c>
      <c r="Q1300" t="str">
        <f>VLOOKUP(D1300,상품정보!$A$2:$D$151,3,FALSE)</f>
        <v>액세서리</v>
      </c>
      <c r="R1300" t="str">
        <f>VLOOKUP(D1300,상품정보!$A$2:$D$151,4,FALSE)</f>
        <v>브랜드B</v>
      </c>
    </row>
    <row r="1301" spans="1:18" x14ac:dyDescent="0.45">
      <c r="A1301" t="s">
        <v>304</v>
      </c>
      <c r="B1301" t="s">
        <v>1700</v>
      </c>
      <c r="C1301" t="s">
        <v>2471</v>
      </c>
      <c r="D1301" t="s">
        <v>2583</v>
      </c>
      <c r="E1301">
        <v>5</v>
      </c>
      <c r="F1301">
        <v>6600</v>
      </c>
      <c r="G1301">
        <v>500</v>
      </c>
      <c r="H1301">
        <v>12300</v>
      </c>
      <c r="I1301" t="s">
        <v>2611</v>
      </c>
      <c r="J1301" s="4">
        <f t="shared" si="60"/>
        <v>21200</v>
      </c>
      <c r="K1301" s="4" t="str">
        <f t="shared" si="61"/>
        <v>2024-10</v>
      </c>
      <c r="L1301" s="4" t="str">
        <f t="shared" si="62"/>
        <v>화</v>
      </c>
      <c r="M1301" s="2" t="str">
        <f>VLOOKUP($C1301, 고객정보!$A$2:$E$151, 2, FALSE)</f>
        <v>서울</v>
      </c>
      <c r="N1301" t="str">
        <f>VLOOKUP(C1301,고객정보!$A$2:$D$151,4,FALSE)</f>
        <v>L5</v>
      </c>
      <c r="O1301" t="str">
        <f>VLOOKUP($C1301, 고객정보!$A$2:$E$151, 5, FALSE)</f>
        <v>40대</v>
      </c>
      <c r="P1301" t="str">
        <f>VLOOKUP(D1301,상품정보!$A$2:$E$61,2,FALSE)</f>
        <v>셔츠</v>
      </c>
      <c r="Q1301" t="str">
        <f>VLOOKUP(D1301,상품정보!$A$2:$D$151,3,FALSE)</f>
        <v>의류</v>
      </c>
      <c r="R1301" t="str">
        <f>VLOOKUP(D1301,상품정보!$A$2:$D$151,4,FALSE)</f>
        <v>브랜드E</v>
      </c>
    </row>
    <row r="1302" spans="1:18" x14ac:dyDescent="0.45">
      <c r="A1302" t="s">
        <v>367</v>
      </c>
      <c r="B1302" t="s">
        <v>1701</v>
      </c>
      <c r="C1302" t="s">
        <v>2529</v>
      </c>
      <c r="D1302" t="s">
        <v>2571</v>
      </c>
      <c r="E1302">
        <v>3</v>
      </c>
      <c r="F1302">
        <v>55600</v>
      </c>
      <c r="G1302">
        <v>0</v>
      </c>
      <c r="H1302">
        <v>0</v>
      </c>
      <c r="I1302" t="s">
        <v>2652</v>
      </c>
      <c r="J1302" s="4">
        <f t="shared" si="60"/>
        <v>166800</v>
      </c>
      <c r="K1302" s="4" t="str">
        <f t="shared" si="61"/>
        <v>2024-09</v>
      </c>
      <c r="L1302" s="4" t="str">
        <f t="shared" si="62"/>
        <v>목</v>
      </c>
      <c r="M1302" s="2" t="str">
        <f>VLOOKUP($C1302, 고객정보!$A$2:$E$151, 2, FALSE)</f>
        <v>인천</v>
      </c>
      <c r="N1302" t="str">
        <f>VLOOKUP(C1302,고객정보!$A$2:$D$151,4,FALSE)</f>
        <v>L2</v>
      </c>
      <c r="O1302" t="str">
        <f>VLOOKUP($C1302, 고객정보!$A$2:$E$151, 5, FALSE)</f>
        <v>30대</v>
      </c>
      <c r="P1302" t="str">
        <f>VLOOKUP(D1302,상품정보!$A$2:$E$61,2,FALSE)</f>
        <v>자켓</v>
      </c>
      <c r="Q1302" t="str">
        <f>VLOOKUP(D1302,상품정보!$A$2:$D$151,3,FALSE)</f>
        <v>의류</v>
      </c>
      <c r="R1302" t="str">
        <f>VLOOKUP(D1302,상품정보!$A$2:$D$151,4,FALSE)</f>
        <v>브랜드B</v>
      </c>
    </row>
    <row r="1303" spans="1:18" x14ac:dyDescent="0.45">
      <c r="A1303" t="s">
        <v>252</v>
      </c>
      <c r="B1303" t="s">
        <v>1702</v>
      </c>
      <c r="C1303" t="s">
        <v>2407</v>
      </c>
      <c r="D1303" t="s">
        <v>2604</v>
      </c>
      <c r="E1303">
        <v>5</v>
      </c>
      <c r="F1303">
        <v>9700</v>
      </c>
      <c r="G1303">
        <v>1000</v>
      </c>
      <c r="H1303">
        <v>9200</v>
      </c>
      <c r="I1303" t="s">
        <v>2611</v>
      </c>
      <c r="J1303" s="4">
        <f t="shared" si="60"/>
        <v>40300</v>
      </c>
      <c r="K1303" s="4" t="str">
        <f t="shared" si="61"/>
        <v>2024-02</v>
      </c>
      <c r="L1303" s="4" t="str">
        <f t="shared" si="62"/>
        <v>일</v>
      </c>
      <c r="M1303" s="2" t="str">
        <f>VLOOKUP($C1303, 고객정보!$A$2:$E$151, 2, FALSE)</f>
        <v>서울</v>
      </c>
      <c r="N1303" t="str">
        <f>VLOOKUP(C1303,고객정보!$A$2:$D$151,4,FALSE)</f>
        <v>L5</v>
      </c>
      <c r="O1303" t="str">
        <f>VLOOKUP($C1303, 고객정보!$A$2:$E$151, 5, FALSE)</f>
        <v>30대</v>
      </c>
      <c r="P1303" t="str">
        <f>VLOOKUP(D1303,상품정보!$A$2:$E$61,2,FALSE)</f>
        <v>반팔 티셔츠</v>
      </c>
      <c r="Q1303" t="str">
        <f>VLOOKUP(D1303,상품정보!$A$2:$D$151,3,FALSE)</f>
        <v>의류</v>
      </c>
      <c r="R1303" t="str">
        <f>VLOOKUP(D1303,상품정보!$A$2:$D$151,4,FALSE)</f>
        <v>브랜드E</v>
      </c>
    </row>
    <row r="1304" spans="1:18" x14ac:dyDescent="0.45">
      <c r="A1304" t="s">
        <v>196</v>
      </c>
      <c r="B1304" t="s">
        <v>1703</v>
      </c>
      <c r="C1304" t="s">
        <v>2439</v>
      </c>
      <c r="D1304" t="s">
        <v>2566</v>
      </c>
      <c r="E1304">
        <v>4</v>
      </c>
      <c r="F1304">
        <v>60600</v>
      </c>
      <c r="G1304">
        <v>500</v>
      </c>
      <c r="H1304">
        <v>0</v>
      </c>
      <c r="I1304" t="s">
        <v>2652</v>
      </c>
      <c r="J1304" s="4">
        <f t="shared" si="60"/>
        <v>242900</v>
      </c>
      <c r="K1304" s="4" t="str">
        <f t="shared" si="61"/>
        <v>2024-10</v>
      </c>
      <c r="L1304" s="4" t="str">
        <f t="shared" si="62"/>
        <v>토</v>
      </c>
      <c r="M1304" s="2" t="str">
        <f>VLOOKUP($C1304, 고객정보!$A$2:$E$151, 2, FALSE)</f>
        <v>대구</v>
      </c>
      <c r="N1304" t="str">
        <f>VLOOKUP(C1304,고객정보!$A$2:$D$151,4,FALSE)</f>
        <v>L3</v>
      </c>
      <c r="O1304" t="str">
        <f>VLOOKUP($C1304, 고객정보!$A$2:$E$151, 5, FALSE)</f>
        <v>30대</v>
      </c>
      <c r="P1304" t="str">
        <f>VLOOKUP(D1304,상품정보!$A$2:$E$61,2,FALSE)</f>
        <v>반팔 티셔츠</v>
      </c>
      <c r="Q1304" t="str">
        <f>VLOOKUP(D1304,상품정보!$A$2:$D$151,3,FALSE)</f>
        <v>의류</v>
      </c>
      <c r="R1304" t="str">
        <f>VLOOKUP(D1304,상품정보!$A$2:$D$151,4,FALSE)</f>
        <v>브랜드A</v>
      </c>
    </row>
    <row r="1305" spans="1:18" x14ac:dyDescent="0.45">
      <c r="A1305" t="s">
        <v>202</v>
      </c>
      <c r="B1305" t="s">
        <v>1704</v>
      </c>
      <c r="C1305" t="s">
        <v>2436</v>
      </c>
      <c r="D1305" t="s">
        <v>2575</v>
      </c>
      <c r="E1305">
        <v>1</v>
      </c>
      <c r="F1305">
        <v>7200</v>
      </c>
      <c r="G1305">
        <v>500</v>
      </c>
      <c r="H1305">
        <v>0</v>
      </c>
      <c r="I1305" t="s">
        <v>2652</v>
      </c>
      <c r="J1305" s="4">
        <f t="shared" si="60"/>
        <v>7700</v>
      </c>
      <c r="K1305" s="4" t="str">
        <f t="shared" si="61"/>
        <v>2024-06</v>
      </c>
      <c r="L1305" s="4" t="str">
        <f t="shared" si="62"/>
        <v>목</v>
      </c>
      <c r="M1305" s="2" t="str">
        <f>VLOOKUP($C1305, 고객정보!$A$2:$E$151, 2, FALSE)</f>
        <v>인천</v>
      </c>
      <c r="N1305" t="str">
        <f>VLOOKUP(C1305,고객정보!$A$2:$D$151,4,FALSE)</f>
        <v>L4</v>
      </c>
      <c r="O1305" t="str">
        <f>VLOOKUP($C1305, 고객정보!$A$2:$E$151, 5, FALSE)</f>
        <v>10대</v>
      </c>
      <c r="P1305" t="str">
        <f>VLOOKUP(D1305,상품정보!$A$2:$E$61,2,FALSE)</f>
        <v>반지</v>
      </c>
      <c r="Q1305" t="str">
        <f>VLOOKUP(D1305,상품정보!$A$2:$D$151,3,FALSE)</f>
        <v>액세서리</v>
      </c>
      <c r="R1305" t="str">
        <f>VLOOKUP(D1305,상품정보!$A$2:$D$151,4,FALSE)</f>
        <v>브랜드E</v>
      </c>
    </row>
    <row r="1306" spans="1:18" x14ac:dyDescent="0.45">
      <c r="A1306" t="s">
        <v>112</v>
      </c>
      <c r="B1306" t="s">
        <v>1705</v>
      </c>
      <c r="C1306" t="s">
        <v>2407</v>
      </c>
      <c r="D1306" t="s">
        <v>2584</v>
      </c>
      <c r="E1306">
        <v>2</v>
      </c>
      <c r="F1306">
        <v>59700</v>
      </c>
      <c r="G1306">
        <v>0</v>
      </c>
      <c r="H1306">
        <v>1200</v>
      </c>
      <c r="I1306" t="s">
        <v>2614</v>
      </c>
      <c r="J1306" s="4">
        <f t="shared" si="60"/>
        <v>118200</v>
      </c>
      <c r="K1306" s="4" t="str">
        <f t="shared" si="61"/>
        <v>2024-12</v>
      </c>
      <c r="L1306" s="4" t="str">
        <f t="shared" si="62"/>
        <v>목</v>
      </c>
      <c r="M1306" s="2" t="str">
        <f>VLOOKUP($C1306, 고객정보!$A$2:$E$151, 2, FALSE)</f>
        <v>서울</v>
      </c>
      <c r="N1306" t="str">
        <f>VLOOKUP(C1306,고객정보!$A$2:$D$151,4,FALSE)</f>
        <v>L5</v>
      </c>
      <c r="O1306" t="str">
        <f>VLOOKUP($C1306, 고객정보!$A$2:$E$151, 5, FALSE)</f>
        <v>30대</v>
      </c>
      <c r="P1306" t="str">
        <f>VLOOKUP(D1306,상품정보!$A$2:$E$61,2,FALSE)</f>
        <v>목걸이</v>
      </c>
      <c r="Q1306" t="str">
        <f>VLOOKUP(D1306,상품정보!$A$2:$D$151,3,FALSE)</f>
        <v>액세서리</v>
      </c>
      <c r="R1306" t="str">
        <f>VLOOKUP(D1306,상품정보!$A$2:$D$151,4,FALSE)</f>
        <v>브랜드B</v>
      </c>
    </row>
    <row r="1307" spans="1:18" x14ac:dyDescent="0.45">
      <c r="A1307" t="s">
        <v>225</v>
      </c>
      <c r="B1307" t="s">
        <v>1706</v>
      </c>
      <c r="C1307" t="s">
        <v>2481</v>
      </c>
      <c r="D1307" t="s">
        <v>2558</v>
      </c>
      <c r="E1307">
        <v>3</v>
      </c>
      <c r="F1307">
        <v>63700</v>
      </c>
      <c r="G1307">
        <v>1500</v>
      </c>
      <c r="H1307">
        <v>9800</v>
      </c>
      <c r="I1307" t="s">
        <v>2614</v>
      </c>
      <c r="J1307" s="4">
        <f t="shared" si="60"/>
        <v>182800</v>
      </c>
      <c r="K1307" s="4" t="str">
        <f t="shared" si="61"/>
        <v>2024-05</v>
      </c>
      <c r="L1307" s="4" t="str">
        <f t="shared" si="62"/>
        <v>목</v>
      </c>
      <c r="M1307" s="2" t="str">
        <f>VLOOKUP($C1307, 고객정보!$A$2:$E$151, 2, FALSE)</f>
        <v>부산</v>
      </c>
      <c r="N1307" t="str">
        <f>VLOOKUP(C1307,고객정보!$A$2:$D$151,4,FALSE)</f>
        <v>L5</v>
      </c>
      <c r="O1307" t="str">
        <f>VLOOKUP($C1307, 고객정보!$A$2:$E$151, 5, FALSE)</f>
        <v>20대</v>
      </c>
      <c r="P1307" t="str">
        <f>VLOOKUP(D1307,상품정보!$A$2:$E$61,2,FALSE)</f>
        <v>셔츠</v>
      </c>
      <c r="Q1307" t="str">
        <f>VLOOKUP(D1307,상품정보!$A$2:$D$151,3,FALSE)</f>
        <v>의류</v>
      </c>
      <c r="R1307" t="str">
        <f>VLOOKUP(D1307,상품정보!$A$2:$D$151,4,FALSE)</f>
        <v>브랜드A</v>
      </c>
    </row>
    <row r="1308" spans="1:18" x14ac:dyDescent="0.45">
      <c r="A1308" t="s">
        <v>230</v>
      </c>
      <c r="B1308" t="s">
        <v>1707</v>
      </c>
      <c r="C1308" t="s">
        <v>2410</v>
      </c>
      <c r="D1308" t="s">
        <v>2557</v>
      </c>
      <c r="E1308">
        <v>5</v>
      </c>
      <c r="F1308">
        <v>77700</v>
      </c>
      <c r="G1308">
        <v>1000</v>
      </c>
      <c r="H1308">
        <v>3400</v>
      </c>
      <c r="I1308" t="s">
        <v>2611</v>
      </c>
      <c r="J1308" s="4">
        <f t="shared" si="60"/>
        <v>386100</v>
      </c>
      <c r="K1308" s="4" t="str">
        <f t="shared" si="61"/>
        <v>2024-09</v>
      </c>
      <c r="L1308" s="4" t="str">
        <f t="shared" si="62"/>
        <v>토</v>
      </c>
      <c r="M1308" s="2" t="str">
        <f>VLOOKUP($C1308, 고객정보!$A$2:$E$151, 2, FALSE)</f>
        <v>대전</v>
      </c>
      <c r="N1308" t="str">
        <f>VLOOKUP(C1308,고객정보!$A$2:$D$151,4,FALSE)</f>
        <v>L2</v>
      </c>
      <c r="O1308" t="str">
        <f>VLOOKUP($C1308, 고객정보!$A$2:$E$151, 5, FALSE)</f>
        <v>10대</v>
      </c>
      <c r="P1308" t="str">
        <f>VLOOKUP(D1308,상품정보!$A$2:$E$61,2,FALSE)</f>
        <v>귀걸이</v>
      </c>
      <c r="Q1308" t="str">
        <f>VLOOKUP(D1308,상품정보!$A$2:$D$151,3,FALSE)</f>
        <v>액세서리</v>
      </c>
      <c r="R1308" t="str">
        <f>VLOOKUP(D1308,상품정보!$A$2:$D$151,4,FALSE)</f>
        <v>브랜드B</v>
      </c>
    </row>
    <row r="1309" spans="1:18" x14ac:dyDescent="0.45">
      <c r="A1309" t="s">
        <v>183</v>
      </c>
      <c r="B1309" t="s">
        <v>1708</v>
      </c>
      <c r="C1309" t="s">
        <v>2446</v>
      </c>
      <c r="D1309" t="s">
        <v>2562</v>
      </c>
      <c r="E1309">
        <v>1</v>
      </c>
      <c r="F1309">
        <v>15600</v>
      </c>
      <c r="G1309">
        <v>500</v>
      </c>
      <c r="H1309">
        <v>1500</v>
      </c>
      <c r="I1309" t="s">
        <v>2614</v>
      </c>
      <c r="J1309" s="4">
        <f t="shared" si="60"/>
        <v>14600</v>
      </c>
      <c r="K1309" s="4" t="str">
        <f t="shared" si="61"/>
        <v>2024-02</v>
      </c>
      <c r="L1309" s="4" t="str">
        <f t="shared" si="62"/>
        <v>수</v>
      </c>
      <c r="M1309" s="2" t="str">
        <f>VLOOKUP($C1309, 고객정보!$A$2:$E$151, 2, FALSE)</f>
        <v>대전</v>
      </c>
      <c r="N1309" t="str">
        <f>VLOOKUP(C1309,고객정보!$A$2:$D$151,4,FALSE)</f>
        <v>L2</v>
      </c>
      <c r="O1309" t="str">
        <f>VLOOKUP($C1309, 고객정보!$A$2:$E$151, 5, FALSE)</f>
        <v>50대 이상</v>
      </c>
      <c r="P1309" t="str">
        <f>VLOOKUP(D1309,상품정보!$A$2:$E$61,2,FALSE)</f>
        <v>반팔 티셔츠</v>
      </c>
      <c r="Q1309" t="str">
        <f>VLOOKUP(D1309,상품정보!$A$2:$D$151,3,FALSE)</f>
        <v>의류</v>
      </c>
      <c r="R1309" t="str">
        <f>VLOOKUP(D1309,상품정보!$A$2:$D$151,4,FALSE)</f>
        <v>브랜드E</v>
      </c>
    </row>
    <row r="1310" spans="1:18" x14ac:dyDescent="0.45">
      <c r="A1310" t="s">
        <v>237</v>
      </c>
      <c r="B1310" t="s">
        <v>1709</v>
      </c>
      <c r="C1310" t="s">
        <v>2412</v>
      </c>
      <c r="D1310" t="s">
        <v>2556</v>
      </c>
      <c r="E1310">
        <v>2</v>
      </c>
      <c r="F1310">
        <v>70100</v>
      </c>
      <c r="G1310">
        <v>0</v>
      </c>
      <c r="H1310">
        <v>0</v>
      </c>
      <c r="I1310" t="s">
        <v>2652</v>
      </c>
      <c r="J1310" s="4">
        <f t="shared" si="60"/>
        <v>140200</v>
      </c>
      <c r="K1310" s="4" t="str">
        <f t="shared" si="61"/>
        <v>2024-11</v>
      </c>
      <c r="L1310" s="4" t="str">
        <f t="shared" si="62"/>
        <v>일</v>
      </c>
      <c r="M1310" s="2" t="str">
        <f>VLOOKUP($C1310, 고객정보!$A$2:$E$151, 2, FALSE)</f>
        <v>대전</v>
      </c>
      <c r="N1310" t="str">
        <f>VLOOKUP(C1310,고객정보!$A$2:$D$151,4,FALSE)</f>
        <v>L4</v>
      </c>
      <c r="O1310" t="str">
        <f>VLOOKUP($C1310, 고객정보!$A$2:$E$151, 5, FALSE)</f>
        <v>30대</v>
      </c>
      <c r="P1310" t="str">
        <f>VLOOKUP(D1310,상품정보!$A$2:$E$61,2,FALSE)</f>
        <v>핸드폰케이스</v>
      </c>
      <c r="Q1310" t="str">
        <f>VLOOKUP(D1310,상품정보!$A$2:$D$151,3,FALSE)</f>
        <v>액세서리</v>
      </c>
      <c r="R1310" t="str">
        <f>VLOOKUP(D1310,상품정보!$A$2:$D$151,4,FALSE)</f>
        <v>브랜드F</v>
      </c>
    </row>
    <row r="1311" spans="1:18" x14ac:dyDescent="0.45">
      <c r="A1311" t="s">
        <v>247</v>
      </c>
      <c r="B1311" t="s">
        <v>1710</v>
      </c>
      <c r="C1311" t="s">
        <v>2422</v>
      </c>
      <c r="D1311" t="s">
        <v>2564</v>
      </c>
      <c r="E1311">
        <v>3</v>
      </c>
      <c r="F1311">
        <v>66600</v>
      </c>
      <c r="G1311">
        <v>0</v>
      </c>
      <c r="H1311">
        <v>5500</v>
      </c>
      <c r="I1311" t="s">
        <v>2614</v>
      </c>
      <c r="J1311" s="4">
        <f t="shared" si="60"/>
        <v>194300</v>
      </c>
      <c r="K1311" s="4" t="str">
        <f t="shared" si="61"/>
        <v>2024-07</v>
      </c>
      <c r="L1311" s="4" t="str">
        <f t="shared" si="62"/>
        <v>일</v>
      </c>
      <c r="M1311" s="2" t="str">
        <f>VLOOKUP($C1311, 고객정보!$A$2:$E$151, 2, FALSE)</f>
        <v>광주</v>
      </c>
      <c r="N1311" t="str">
        <f>VLOOKUP(C1311,고객정보!$A$2:$D$151,4,FALSE)</f>
        <v>L5</v>
      </c>
      <c r="O1311" t="str">
        <f>VLOOKUP($C1311, 고객정보!$A$2:$E$151, 5, FALSE)</f>
        <v>30대</v>
      </c>
      <c r="P1311" t="str">
        <f>VLOOKUP(D1311,상품정보!$A$2:$E$61,2,FALSE)</f>
        <v>청바지</v>
      </c>
      <c r="Q1311" t="str">
        <f>VLOOKUP(D1311,상품정보!$A$2:$D$151,3,FALSE)</f>
        <v>의류</v>
      </c>
      <c r="R1311" t="str">
        <f>VLOOKUP(D1311,상품정보!$A$2:$D$151,4,FALSE)</f>
        <v>브랜드B</v>
      </c>
    </row>
    <row r="1312" spans="1:18" x14ac:dyDescent="0.45">
      <c r="A1312" t="s">
        <v>48</v>
      </c>
      <c r="B1312" t="s">
        <v>1711</v>
      </c>
      <c r="C1312" t="s">
        <v>2504</v>
      </c>
      <c r="D1312" t="s">
        <v>2559</v>
      </c>
      <c r="E1312">
        <v>3</v>
      </c>
      <c r="F1312">
        <v>5400</v>
      </c>
      <c r="G1312">
        <v>0</v>
      </c>
      <c r="H1312">
        <v>0</v>
      </c>
      <c r="I1312" t="s">
        <v>2652</v>
      </c>
      <c r="J1312" s="4">
        <f t="shared" si="60"/>
        <v>16200</v>
      </c>
      <c r="K1312" s="4" t="str">
        <f t="shared" si="61"/>
        <v>2024-10</v>
      </c>
      <c r="L1312" s="4" t="str">
        <f t="shared" si="62"/>
        <v>목</v>
      </c>
      <c r="M1312" s="2" t="str">
        <f>VLOOKUP($C1312, 고객정보!$A$2:$E$151, 2, FALSE)</f>
        <v>서울</v>
      </c>
      <c r="N1312" t="str">
        <f>VLOOKUP(C1312,고객정보!$A$2:$D$151,4,FALSE)</f>
        <v>L1</v>
      </c>
      <c r="O1312" t="str">
        <f>VLOOKUP($C1312, 고객정보!$A$2:$E$151, 5, FALSE)</f>
        <v>40대</v>
      </c>
      <c r="P1312" t="str">
        <f>VLOOKUP(D1312,상품정보!$A$2:$E$61,2,FALSE)</f>
        <v>반지</v>
      </c>
      <c r="Q1312" t="str">
        <f>VLOOKUP(D1312,상품정보!$A$2:$D$151,3,FALSE)</f>
        <v>액세서리</v>
      </c>
      <c r="R1312" t="str">
        <f>VLOOKUP(D1312,상품정보!$A$2:$D$151,4,FALSE)</f>
        <v>브랜드D</v>
      </c>
    </row>
    <row r="1313" spans="1:18" x14ac:dyDescent="0.45">
      <c r="A1313" t="s">
        <v>93</v>
      </c>
      <c r="B1313" t="s">
        <v>1712</v>
      </c>
      <c r="C1313" t="s">
        <v>2517</v>
      </c>
      <c r="D1313" t="s">
        <v>2551</v>
      </c>
      <c r="E1313">
        <v>5</v>
      </c>
      <c r="F1313">
        <v>66600</v>
      </c>
      <c r="G1313">
        <v>1000</v>
      </c>
      <c r="H1313">
        <v>4800</v>
      </c>
      <c r="I1313" t="s">
        <v>2614</v>
      </c>
      <c r="J1313" s="4">
        <f t="shared" si="60"/>
        <v>329200</v>
      </c>
      <c r="K1313" s="4" t="str">
        <f t="shared" si="61"/>
        <v>2025-01</v>
      </c>
      <c r="L1313" s="4" t="str">
        <f t="shared" si="62"/>
        <v>수</v>
      </c>
      <c r="M1313" s="2" t="str">
        <f>VLOOKUP($C1313, 고객정보!$A$2:$E$151, 2, FALSE)</f>
        <v>서울</v>
      </c>
      <c r="N1313" t="str">
        <f>VLOOKUP(C1313,고객정보!$A$2:$D$151,4,FALSE)</f>
        <v>L4</v>
      </c>
      <c r="O1313" t="str">
        <f>VLOOKUP($C1313, 고객정보!$A$2:$E$151, 5, FALSE)</f>
        <v>20대</v>
      </c>
      <c r="P1313" t="str">
        <f>VLOOKUP(D1313,상품정보!$A$2:$E$61,2,FALSE)</f>
        <v>반지</v>
      </c>
      <c r="Q1313" t="str">
        <f>VLOOKUP(D1313,상품정보!$A$2:$D$151,3,FALSE)</f>
        <v>액세서리</v>
      </c>
      <c r="R1313" t="str">
        <f>VLOOKUP(D1313,상품정보!$A$2:$D$151,4,FALSE)</f>
        <v>브랜드B</v>
      </c>
    </row>
    <row r="1314" spans="1:18" x14ac:dyDescent="0.45">
      <c r="A1314" t="s">
        <v>322</v>
      </c>
      <c r="B1314" t="s">
        <v>1713</v>
      </c>
      <c r="C1314" t="s">
        <v>2440</v>
      </c>
      <c r="D1314" t="s">
        <v>2554</v>
      </c>
      <c r="E1314">
        <v>5</v>
      </c>
      <c r="F1314">
        <v>12100</v>
      </c>
      <c r="G1314">
        <v>0</v>
      </c>
      <c r="H1314">
        <v>0</v>
      </c>
      <c r="I1314" t="s">
        <v>2652</v>
      </c>
      <c r="J1314" s="4">
        <f t="shared" si="60"/>
        <v>60500</v>
      </c>
      <c r="K1314" s="4" t="str">
        <f t="shared" si="61"/>
        <v>2024-08</v>
      </c>
      <c r="L1314" s="4" t="str">
        <f t="shared" si="62"/>
        <v>금</v>
      </c>
      <c r="M1314" s="2" t="str">
        <f>VLOOKUP($C1314, 고객정보!$A$2:$E$151, 2, FALSE)</f>
        <v>대구</v>
      </c>
      <c r="N1314" t="str">
        <f>VLOOKUP(C1314,고객정보!$A$2:$D$151,4,FALSE)</f>
        <v>L2</v>
      </c>
      <c r="O1314" t="str">
        <f>VLOOKUP($C1314, 고객정보!$A$2:$E$151, 5, FALSE)</f>
        <v>10대</v>
      </c>
      <c r="P1314" t="str">
        <f>VLOOKUP(D1314,상품정보!$A$2:$E$61,2,FALSE)</f>
        <v>귀걸이</v>
      </c>
      <c r="Q1314" t="str">
        <f>VLOOKUP(D1314,상품정보!$A$2:$D$151,3,FALSE)</f>
        <v>액세서리</v>
      </c>
      <c r="R1314" t="str">
        <f>VLOOKUP(D1314,상품정보!$A$2:$D$151,4,FALSE)</f>
        <v>브랜드D</v>
      </c>
    </row>
    <row r="1315" spans="1:18" x14ac:dyDescent="0.45">
      <c r="A1315" t="s">
        <v>162</v>
      </c>
      <c r="B1315" t="s">
        <v>1714</v>
      </c>
      <c r="C1315" t="s">
        <v>2452</v>
      </c>
      <c r="D1315" t="s">
        <v>2564</v>
      </c>
      <c r="E1315">
        <v>3</v>
      </c>
      <c r="F1315">
        <v>66600</v>
      </c>
      <c r="G1315">
        <v>500</v>
      </c>
      <c r="H1315">
        <v>1200</v>
      </c>
      <c r="I1315" t="s">
        <v>2613</v>
      </c>
      <c r="J1315" s="4">
        <f t="shared" si="60"/>
        <v>199100</v>
      </c>
      <c r="K1315" s="4" t="str">
        <f t="shared" si="61"/>
        <v>2024-11</v>
      </c>
      <c r="L1315" s="4" t="str">
        <f t="shared" si="62"/>
        <v>금</v>
      </c>
      <c r="M1315" s="2" t="str">
        <f>VLOOKUP($C1315, 고객정보!$A$2:$E$151, 2, FALSE)</f>
        <v>서울</v>
      </c>
      <c r="N1315" t="str">
        <f>VLOOKUP(C1315,고객정보!$A$2:$D$151,4,FALSE)</f>
        <v>L3</v>
      </c>
      <c r="O1315" t="str">
        <f>VLOOKUP($C1315, 고객정보!$A$2:$E$151, 5, FALSE)</f>
        <v>30대</v>
      </c>
      <c r="P1315" t="str">
        <f>VLOOKUP(D1315,상품정보!$A$2:$E$61,2,FALSE)</f>
        <v>청바지</v>
      </c>
      <c r="Q1315" t="str">
        <f>VLOOKUP(D1315,상품정보!$A$2:$D$151,3,FALSE)</f>
        <v>의류</v>
      </c>
      <c r="R1315" t="str">
        <f>VLOOKUP(D1315,상품정보!$A$2:$D$151,4,FALSE)</f>
        <v>브랜드B</v>
      </c>
    </row>
    <row r="1316" spans="1:18" x14ac:dyDescent="0.45">
      <c r="A1316" t="s">
        <v>148</v>
      </c>
      <c r="B1316" t="s">
        <v>1715</v>
      </c>
      <c r="C1316" t="s">
        <v>2512</v>
      </c>
      <c r="D1316" t="s">
        <v>2597</v>
      </c>
      <c r="E1316">
        <v>5</v>
      </c>
      <c r="F1316">
        <v>65300</v>
      </c>
      <c r="G1316">
        <v>0</v>
      </c>
      <c r="H1316">
        <v>0</v>
      </c>
      <c r="I1316" t="s">
        <v>2652</v>
      </c>
      <c r="J1316" s="4">
        <f t="shared" si="60"/>
        <v>326500</v>
      </c>
      <c r="K1316" s="4" t="str">
        <f t="shared" si="61"/>
        <v>2024-02</v>
      </c>
      <c r="L1316" s="4" t="str">
        <f t="shared" si="62"/>
        <v>월</v>
      </c>
      <c r="M1316" s="2" t="str">
        <f>VLOOKUP($C1316, 고객정보!$A$2:$E$151, 2, FALSE)</f>
        <v>서울</v>
      </c>
      <c r="N1316" t="str">
        <f>VLOOKUP(C1316,고객정보!$A$2:$D$151,4,FALSE)</f>
        <v>L1</v>
      </c>
      <c r="O1316" t="str">
        <f>VLOOKUP($C1316, 고객정보!$A$2:$E$151, 5, FALSE)</f>
        <v>10대</v>
      </c>
      <c r="P1316" t="str">
        <f>VLOOKUP(D1316,상품정보!$A$2:$E$61,2,FALSE)</f>
        <v>반지</v>
      </c>
      <c r="Q1316" t="str">
        <f>VLOOKUP(D1316,상품정보!$A$2:$D$151,3,FALSE)</f>
        <v>액세서리</v>
      </c>
      <c r="R1316" t="str">
        <f>VLOOKUP(D1316,상품정보!$A$2:$D$151,4,FALSE)</f>
        <v>브랜드F</v>
      </c>
    </row>
    <row r="1317" spans="1:18" x14ac:dyDescent="0.45">
      <c r="A1317" t="s">
        <v>28</v>
      </c>
      <c r="B1317" t="s">
        <v>1716</v>
      </c>
      <c r="C1317" t="s">
        <v>2454</v>
      </c>
      <c r="D1317" t="s">
        <v>2566</v>
      </c>
      <c r="E1317">
        <v>5</v>
      </c>
      <c r="F1317">
        <v>60600</v>
      </c>
      <c r="G1317">
        <v>2000</v>
      </c>
      <c r="H1317">
        <v>0</v>
      </c>
      <c r="I1317" t="s">
        <v>2652</v>
      </c>
      <c r="J1317" s="4">
        <f t="shared" si="60"/>
        <v>305000</v>
      </c>
      <c r="K1317" s="4" t="str">
        <f t="shared" si="61"/>
        <v>2024-09</v>
      </c>
      <c r="L1317" s="4" t="str">
        <f t="shared" si="62"/>
        <v>월</v>
      </c>
      <c r="M1317" s="2" t="str">
        <f>VLOOKUP($C1317, 고객정보!$A$2:$E$151, 2, FALSE)</f>
        <v>부산</v>
      </c>
      <c r="N1317" t="str">
        <f>VLOOKUP(C1317,고객정보!$A$2:$D$151,4,FALSE)</f>
        <v>L3</v>
      </c>
      <c r="O1317" t="str">
        <f>VLOOKUP($C1317, 고객정보!$A$2:$E$151, 5, FALSE)</f>
        <v>40대</v>
      </c>
      <c r="P1317" t="str">
        <f>VLOOKUP(D1317,상품정보!$A$2:$E$61,2,FALSE)</f>
        <v>반팔 티셔츠</v>
      </c>
      <c r="Q1317" t="str">
        <f>VLOOKUP(D1317,상품정보!$A$2:$D$151,3,FALSE)</f>
        <v>의류</v>
      </c>
      <c r="R1317" t="str">
        <f>VLOOKUP(D1317,상품정보!$A$2:$D$151,4,FALSE)</f>
        <v>브랜드A</v>
      </c>
    </row>
    <row r="1318" spans="1:18" x14ac:dyDescent="0.45">
      <c r="A1318" t="s">
        <v>100</v>
      </c>
      <c r="B1318" t="s">
        <v>1717</v>
      </c>
      <c r="C1318" t="s">
        <v>2408</v>
      </c>
      <c r="D1318" t="s">
        <v>2601</v>
      </c>
      <c r="E1318">
        <v>1</v>
      </c>
      <c r="F1318">
        <v>17000</v>
      </c>
      <c r="G1318">
        <v>1000</v>
      </c>
      <c r="H1318">
        <v>0</v>
      </c>
      <c r="I1318" t="s">
        <v>2652</v>
      </c>
      <c r="J1318" s="4">
        <f t="shared" si="60"/>
        <v>18000</v>
      </c>
      <c r="K1318" s="4" t="str">
        <f t="shared" si="61"/>
        <v>2024-04</v>
      </c>
      <c r="L1318" s="4" t="str">
        <f t="shared" si="62"/>
        <v>수</v>
      </c>
      <c r="M1318" s="2" t="str">
        <f>VLOOKUP($C1318, 고객정보!$A$2:$E$151, 2, FALSE)</f>
        <v>수원</v>
      </c>
      <c r="N1318" t="str">
        <f>VLOOKUP(C1318,고객정보!$A$2:$D$151,4,FALSE)</f>
        <v>L5</v>
      </c>
      <c r="O1318" t="str">
        <f>VLOOKUP($C1318, 고객정보!$A$2:$E$151, 5, FALSE)</f>
        <v>20대</v>
      </c>
      <c r="P1318" t="str">
        <f>VLOOKUP(D1318,상품정보!$A$2:$E$61,2,FALSE)</f>
        <v>자켓</v>
      </c>
      <c r="Q1318" t="str">
        <f>VLOOKUP(D1318,상품정보!$A$2:$D$151,3,FALSE)</f>
        <v>의류</v>
      </c>
      <c r="R1318" t="str">
        <f>VLOOKUP(D1318,상품정보!$A$2:$D$151,4,FALSE)</f>
        <v>브랜드E</v>
      </c>
    </row>
    <row r="1319" spans="1:18" x14ac:dyDescent="0.45">
      <c r="A1319" t="s">
        <v>363</v>
      </c>
      <c r="B1319" t="s">
        <v>1718</v>
      </c>
      <c r="C1319" t="s">
        <v>2447</v>
      </c>
      <c r="D1319" t="s">
        <v>2576</v>
      </c>
      <c r="E1319">
        <v>4</v>
      </c>
      <c r="F1319">
        <v>8800</v>
      </c>
      <c r="G1319">
        <v>2000</v>
      </c>
      <c r="H1319">
        <v>3700</v>
      </c>
      <c r="I1319" t="s">
        <v>2613</v>
      </c>
      <c r="J1319" s="4">
        <f t="shared" si="60"/>
        <v>33500</v>
      </c>
      <c r="K1319" s="4" t="str">
        <f t="shared" si="61"/>
        <v>2024-02</v>
      </c>
      <c r="L1319" s="4" t="str">
        <f t="shared" si="62"/>
        <v>금</v>
      </c>
      <c r="M1319" s="2" t="str">
        <f>VLOOKUP($C1319, 고객정보!$A$2:$E$151, 2, FALSE)</f>
        <v>대구</v>
      </c>
      <c r="N1319" t="str">
        <f>VLOOKUP(C1319,고객정보!$A$2:$D$151,4,FALSE)</f>
        <v>L1</v>
      </c>
      <c r="O1319" t="str">
        <f>VLOOKUP($C1319, 고객정보!$A$2:$E$151, 5, FALSE)</f>
        <v>10대</v>
      </c>
      <c r="P1319" t="str">
        <f>VLOOKUP(D1319,상품정보!$A$2:$E$61,2,FALSE)</f>
        <v>핸드폰케이스</v>
      </c>
      <c r="Q1319" t="str">
        <f>VLOOKUP(D1319,상품정보!$A$2:$D$151,3,FALSE)</f>
        <v>액세서리</v>
      </c>
      <c r="R1319" t="str">
        <f>VLOOKUP(D1319,상품정보!$A$2:$D$151,4,FALSE)</f>
        <v>브랜드D</v>
      </c>
    </row>
    <row r="1320" spans="1:18" x14ac:dyDescent="0.45">
      <c r="A1320" t="s">
        <v>160</v>
      </c>
      <c r="B1320" t="s">
        <v>1719</v>
      </c>
      <c r="C1320" t="s">
        <v>2548</v>
      </c>
      <c r="D1320" t="s">
        <v>2561</v>
      </c>
      <c r="E1320">
        <v>4</v>
      </c>
      <c r="F1320">
        <v>63300</v>
      </c>
      <c r="G1320">
        <v>0</v>
      </c>
      <c r="H1320">
        <v>0</v>
      </c>
      <c r="I1320" t="s">
        <v>2652</v>
      </c>
      <c r="J1320" s="4">
        <f t="shared" si="60"/>
        <v>253200</v>
      </c>
      <c r="K1320" s="4" t="str">
        <f t="shared" si="61"/>
        <v>2024-11</v>
      </c>
      <c r="L1320" s="4" t="str">
        <f t="shared" si="62"/>
        <v>수</v>
      </c>
      <c r="M1320" s="2" t="str">
        <f>VLOOKUP($C1320, 고객정보!$A$2:$E$151, 2, FALSE)</f>
        <v>수원</v>
      </c>
      <c r="N1320" t="str">
        <f>VLOOKUP(C1320,고객정보!$A$2:$D$151,4,FALSE)</f>
        <v>L2</v>
      </c>
      <c r="O1320" t="str">
        <f>VLOOKUP($C1320, 고객정보!$A$2:$E$151, 5, FALSE)</f>
        <v>50대 이상</v>
      </c>
      <c r="P1320" t="str">
        <f>VLOOKUP(D1320,상품정보!$A$2:$E$61,2,FALSE)</f>
        <v>귀걸이</v>
      </c>
      <c r="Q1320" t="str">
        <f>VLOOKUP(D1320,상품정보!$A$2:$D$151,3,FALSE)</f>
        <v>액세서리</v>
      </c>
      <c r="R1320" t="str">
        <f>VLOOKUP(D1320,상품정보!$A$2:$D$151,4,FALSE)</f>
        <v>브랜드B</v>
      </c>
    </row>
    <row r="1321" spans="1:18" x14ac:dyDescent="0.45">
      <c r="A1321" t="s">
        <v>103</v>
      </c>
      <c r="B1321" t="s">
        <v>1720</v>
      </c>
      <c r="C1321" t="s">
        <v>2421</v>
      </c>
      <c r="D1321" t="s">
        <v>2574</v>
      </c>
      <c r="E1321">
        <v>2</v>
      </c>
      <c r="F1321">
        <v>8600</v>
      </c>
      <c r="G1321">
        <v>1000</v>
      </c>
      <c r="H1321">
        <v>0</v>
      </c>
      <c r="I1321" t="s">
        <v>2652</v>
      </c>
      <c r="J1321" s="4">
        <f t="shared" si="60"/>
        <v>18200</v>
      </c>
      <c r="K1321" s="4" t="str">
        <f t="shared" si="61"/>
        <v>2024-01</v>
      </c>
      <c r="L1321" s="4" t="str">
        <f t="shared" si="62"/>
        <v>토</v>
      </c>
      <c r="M1321" s="2" t="str">
        <f>VLOOKUP($C1321, 고객정보!$A$2:$E$151, 2, FALSE)</f>
        <v>부산</v>
      </c>
      <c r="N1321" t="str">
        <f>VLOOKUP(C1321,고객정보!$A$2:$D$151,4,FALSE)</f>
        <v>L3</v>
      </c>
      <c r="O1321" t="str">
        <f>VLOOKUP($C1321, 고객정보!$A$2:$E$151, 5, FALSE)</f>
        <v>30대</v>
      </c>
      <c r="P1321" t="str">
        <f>VLOOKUP(D1321,상품정보!$A$2:$E$61,2,FALSE)</f>
        <v>셔츠</v>
      </c>
      <c r="Q1321" t="str">
        <f>VLOOKUP(D1321,상품정보!$A$2:$D$151,3,FALSE)</f>
        <v>의류</v>
      </c>
      <c r="R1321" t="str">
        <f>VLOOKUP(D1321,상품정보!$A$2:$D$151,4,FALSE)</f>
        <v>브랜드D</v>
      </c>
    </row>
    <row r="1322" spans="1:18" x14ac:dyDescent="0.45">
      <c r="A1322" t="s">
        <v>268</v>
      </c>
      <c r="B1322" t="s">
        <v>1721</v>
      </c>
      <c r="C1322" t="s">
        <v>2413</v>
      </c>
      <c r="D1322" t="s">
        <v>2588</v>
      </c>
      <c r="E1322">
        <v>3</v>
      </c>
      <c r="F1322">
        <v>7700</v>
      </c>
      <c r="G1322">
        <v>1500</v>
      </c>
      <c r="H1322">
        <v>0</v>
      </c>
      <c r="I1322" t="s">
        <v>2652</v>
      </c>
      <c r="J1322" s="4">
        <f t="shared" si="60"/>
        <v>24600</v>
      </c>
      <c r="K1322" s="4" t="str">
        <f t="shared" si="61"/>
        <v>2024-01</v>
      </c>
      <c r="L1322" s="4" t="str">
        <f t="shared" si="62"/>
        <v>토</v>
      </c>
      <c r="M1322" s="2" t="str">
        <f>VLOOKUP($C1322, 고객정보!$A$2:$E$151, 2, FALSE)</f>
        <v>서울</v>
      </c>
      <c r="N1322" t="str">
        <f>VLOOKUP(C1322,고객정보!$A$2:$D$151,4,FALSE)</f>
        <v>L5</v>
      </c>
      <c r="O1322" t="str">
        <f>VLOOKUP($C1322, 고객정보!$A$2:$E$151, 5, FALSE)</f>
        <v>30대</v>
      </c>
      <c r="P1322" t="str">
        <f>VLOOKUP(D1322,상품정보!$A$2:$E$61,2,FALSE)</f>
        <v>귀걸이</v>
      </c>
      <c r="Q1322" t="str">
        <f>VLOOKUP(D1322,상품정보!$A$2:$D$151,3,FALSE)</f>
        <v>액세서리</v>
      </c>
      <c r="R1322" t="str">
        <f>VLOOKUP(D1322,상품정보!$A$2:$D$151,4,FALSE)</f>
        <v>브랜드D</v>
      </c>
    </row>
    <row r="1323" spans="1:18" x14ac:dyDescent="0.45">
      <c r="A1323" t="s">
        <v>340</v>
      </c>
      <c r="B1323" t="s">
        <v>1722</v>
      </c>
      <c r="C1323" t="s">
        <v>2544</v>
      </c>
      <c r="D1323" t="s">
        <v>2571</v>
      </c>
      <c r="E1323">
        <v>1</v>
      </c>
      <c r="F1323">
        <v>55600</v>
      </c>
      <c r="G1323">
        <v>0</v>
      </c>
      <c r="H1323">
        <v>0</v>
      </c>
      <c r="I1323" t="s">
        <v>2652</v>
      </c>
      <c r="J1323" s="4">
        <f t="shared" si="60"/>
        <v>55600</v>
      </c>
      <c r="K1323" s="4" t="str">
        <f t="shared" si="61"/>
        <v>2024-04</v>
      </c>
      <c r="L1323" s="4" t="str">
        <f t="shared" si="62"/>
        <v>월</v>
      </c>
      <c r="M1323" s="2" t="str">
        <f>VLOOKUP($C1323, 고객정보!$A$2:$E$151, 2, FALSE)</f>
        <v>서울</v>
      </c>
      <c r="N1323" t="str">
        <f>VLOOKUP(C1323,고객정보!$A$2:$D$151,4,FALSE)</f>
        <v>L5</v>
      </c>
      <c r="O1323" t="str">
        <f>VLOOKUP($C1323, 고객정보!$A$2:$E$151, 5, FALSE)</f>
        <v>40대</v>
      </c>
      <c r="P1323" t="str">
        <f>VLOOKUP(D1323,상품정보!$A$2:$E$61,2,FALSE)</f>
        <v>자켓</v>
      </c>
      <c r="Q1323" t="str">
        <f>VLOOKUP(D1323,상품정보!$A$2:$D$151,3,FALSE)</f>
        <v>의류</v>
      </c>
      <c r="R1323" t="str">
        <f>VLOOKUP(D1323,상품정보!$A$2:$D$151,4,FALSE)</f>
        <v>브랜드B</v>
      </c>
    </row>
    <row r="1324" spans="1:18" x14ac:dyDescent="0.45">
      <c r="A1324" t="s">
        <v>287</v>
      </c>
      <c r="B1324" t="s">
        <v>1723</v>
      </c>
      <c r="C1324" t="s">
        <v>2531</v>
      </c>
      <c r="D1324" t="s">
        <v>2562</v>
      </c>
      <c r="E1324">
        <v>1</v>
      </c>
      <c r="F1324">
        <v>15600</v>
      </c>
      <c r="G1324">
        <v>0</v>
      </c>
      <c r="H1324">
        <v>1600</v>
      </c>
      <c r="I1324" t="s">
        <v>2611</v>
      </c>
      <c r="J1324" s="4">
        <f t="shared" si="60"/>
        <v>14000</v>
      </c>
      <c r="K1324" s="4" t="str">
        <f t="shared" si="61"/>
        <v>2024-10</v>
      </c>
      <c r="L1324" s="4" t="str">
        <f t="shared" si="62"/>
        <v>월</v>
      </c>
      <c r="M1324" s="2" t="str">
        <f>VLOOKUP($C1324, 고객정보!$A$2:$E$151, 2, FALSE)</f>
        <v>서울</v>
      </c>
      <c r="N1324" t="str">
        <f>VLOOKUP(C1324,고객정보!$A$2:$D$151,4,FALSE)</f>
        <v>L4</v>
      </c>
      <c r="O1324" t="str">
        <f>VLOOKUP($C1324, 고객정보!$A$2:$E$151, 5, FALSE)</f>
        <v>40대</v>
      </c>
      <c r="P1324" t="str">
        <f>VLOOKUP(D1324,상품정보!$A$2:$E$61,2,FALSE)</f>
        <v>반팔 티셔츠</v>
      </c>
      <c r="Q1324" t="str">
        <f>VLOOKUP(D1324,상품정보!$A$2:$D$151,3,FALSE)</f>
        <v>의류</v>
      </c>
      <c r="R1324" t="str">
        <f>VLOOKUP(D1324,상품정보!$A$2:$D$151,4,FALSE)</f>
        <v>브랜드E</v>
      </c>
    </row>
    <row r="1325" spans="1:18" x14ac:dyDescent="0.45">
      <c r="A1325" t="s">
        <v>140</v>
      </c>
      <c r="B1325" t="s">
        <v>1724</v>
      </c>
      <c r="C1325" t="s">
        <v>2451</v>
      </c>
      <c r="D1325" t="s">
        <v>2582</v>
      </c>
      <c r="E1325">
        <v>3</v>
      </c>
      <c r="F1325">
        <v>12500</v>
      </c>
      <c r="G1325">
        <v>1500</v>
      </c>
      <c r="H1325">
        <v>0</v>
      </c>
      <c r="I1325" t="s">
        <v>2652</v>
      </c>
      <c r="J1325" s="4">
        <f t="shared" si="60"/>
        <v>39000</v>
      </c>
      <c r="K1325" s="4" t="str">
        <f t="shared" si="61"/>
        <v>2024-07</v>
      </c>
      <c r="L1325" s="4" t="str">
        <f t="shared" si="62"/>
        <v>토</v>
      </c>
      <c r="M1325" s="2" t="str">
        <f>VLOOKUP($C1325, 고객정보!$A$2:$E$151, 2, FALSE)</f>
        <v>서울</v>
      </c>
      <c r="N1325" t="str">
        <f>VLOOKUP(C1325,고객정보!$A$2:$D$151,4,FALSE)</f>
        <v>L1</v>
      </c>
      <c r="O1325" t="str">
        <f>VLOOKUP($C1325, 고객정보!$A$2:$E$151, 5, FALSE)</f>
        <v>30대</v>
      </c>
      <c r="P1325" t="str">
        <f>VLOOKUP(D1325,상품정보!$A$2:$E$61,2,FALSE)</f>
        <v>셔츠</v>
      </c>
      <c r="Q1325" t="str">
        <f>VLOOKUP(D1325,상품정보!$A$2:$D$151,3,FALSE)</f>
        <v>의류</v>
      </c>
      <c r="R1325" t="str">
        <f>VLOOKUP(D1325,상품정보!$A$2:$D$151,4,FALSE)</f>
        <v>브랜드D</v>
      </c>
    </row>
    <row r="1326" spans="1:18" x14ac:dyDescent="0.45">
      <c r="A1326" t="s">
        <v>200</v>
      </c>
      <c r="B1326" t="s">
        <v>1725</v>
      </c>
      <c r="C1326" t="s">
        <v>2549</v>
      </c>
      <c r="D1326" t="s">
        <v>2556</v>
      </c>
      <c r="E1326">
        <v>4</v>
      </c>
      <c r="F1326">
        <v>70100</v>
      </c>
      <c r="G1326">
        <v>0</v>
      </c>
      <c r="H1326">
        <v>700</v>
      </c>
      <c r="I1326" t="s">
        <v>2614</v>
      </c>
      <c r="J1326" s="4">
        <f t="shared" si="60"/>
        <v>279700</v>
      </c>
      <c r="K1326" s="4" t="str">
        <f t="shared" si="61"/>
        <v>2024-08</v>
      </c>
      <c r="L1326" s="4" t="str">
        <f t="shared" si="62"/>
        <v>금</v>
      </c>
      <c r="M1326" s="2" t="str">
        <f>VLOOKUP($C1326, 고객정보!$A$2:$E$151, 2, FALSE)</f>
        <v>서울</v>
      </c>
      <c r="N1326" t="str">
        <f>VLOOKUP(C1326,고객정보!$A$2:$D$151,4,FALSE)</f>
        <v>L2</v>
      </c>
      <c r="O1326" t="str">
        <f>VLOOKUP($C1326, 고객정보!$A$2:$E$151, 5, FALSE)</f>
        <v>40대</v>
      </c>
      <c r="P1326" t="str">
        <f>VLOOKUP(D1326,상품정보!$A$2:$E$61,2,FALSE)</f>
        <v>핸드폰케이스</v>
      </c>
      <c r="Q1326" t="str">
        <f>VLOOKUP(D1326,상품정보!$A$2:$D$151,3,FALSE)</f>
        <v>액세서리</v>
      </c>
      <c r="R1326" t="str">
        <f>VLOOKUP(D1326,상품정보!$A$2:$D$151,4,FALSE)</f>
        <v>브랜드F</v>
      </c>
    </row>
    <row r="1327" spans="1:18" x14ac:dyDescent="0.45">
      <c r="A1327" t="s">
        <v>122</v>
      </c>
      <c r="B1327" t="s">
        <v>1726</v>
      </c>
      <c r="C1327" t="s">
        <v>2426</v>
      </c>
      <c r="D1327" t="s">
        <v>2551</v>
      </c>
      <c r="E1327">
        <v>4</v>
      </c>
      <c r="F1327">
        <v>66600</v>
      </c>
      <c r="G1327">
        <v>1000</v>
      </c>
      <c r="H1327">
        <v>0</v>
      </c>
      <c r="I1327" t="s">
        <v>2652</v>
      </c>
      <c r="J1327" s="4">
        <f t="shared" si="60"/>
        <v>267400</v>
      </c>
      <c r="K1327" s="4" t="str">
        <f t="shared" si="61"/>
        <v>2024-12</v>
      </c>
      <c r="L1327" s="4" t="str">
        <f t="shared" si="62"/>
        <v>화</v>
      </c>
      <c r="M1327" s="2" t="str">
        <f>VLOOKUP($C1327, 고객정보!$A$2:$E$151, 2, FALSE)</f>
        <v>대전</v>
      </c>
      <c r="N1327" t="str">
        <f>VLOOKUP(C1327,고객정보!$A$2:$D$151,4,FALSE)</f>
        <v>L5</v>
      </c>
      <c r="O1327" t="str">
        <f>VLOOKUP($C1327, 고객정보!$A$2:$E$151, 5, FALSE)</f>
        <v>30대</v>
      </c>
      <c r="P1327" t="str">
        <f>VLOOKUP(D1327,상품정보!$A$2:$E$61,2,FALSE)</f>
        <v>반지</v>
      </c>
      <c r="Q1327" t="str">
        <f>VLOOKUP(D1327,상품정보!$A$2:$D$151,3,FALSE)</f>
        <v>액세서리</v>
      </c>
      <c r="R1327" t="str">
        <f>VLOOKUP(D1327,상품정보!$A$2:$D$151,4,FALSE)</f>
        <v>브랜드B</v>
      </c>
    </row>
    <row r="1328" spans="1:18" x14ac:dyDescent="0.45">
      <c r="A1328" t="s">
        <v>237</v>
      </c>
      <c r="B1328" t="s">
        <v>1727</v>
      </c>
      <c r="C1328" t="s">
        <v>2449</v>
      </c>
      <c r="D1328" t="s">
        <v>2561</v>
      </c>
      <c r="E1328">
        <v>1</v>
      </c>
      <c r="F1328">
        <v>63300</v>
      </c>
      <c r="G1328">
        <v>0</v>
      </c>
      <c r="H1328">
        <v>0</v>
      </c>
      <c r="I1328" t="s">
        <v>2652</v>
      </c>
      <c r="J1328" s="4">
        <f t="shared" si="60"/>
        <v>63300</v>
      </c>
      <c r="K1328" s="4" t="str">
        <f t="shared" si="61"/>
        <v>2024-11</v>
      </c>
      <c r="L1328" s="4" t="str">
        <f t="shared" si="62"/>
        <v>일</v>
      </c>
      <c r="M1328" s="2" t="str">
        <f>VLOOKUP($C1328, 고객정보!$A$2:$E$151, 2, FALSE)</f>
        <v>대구</v>
      </c>
      <c r="N1328" t="str">
        <f>VLOOKUP(C1328,고객정보!$A$2:$D$151,4,FALSE)</f>
        <v>L5</v>
      </c>
      <c r="O1328" t="str">
        <f>VLOOKUP($C1328, 고객정보!$A$2:$E$151, 5, FALSE)</f>
        <v>40대</v>
      </c>
      <c r="P1328" t="str">
        <f>VLOOKUP(D1328,상품정보!$A$2:$E$61,2,FALSE)</f>
        <v>귀걸이</v>
      </c>
      <c r="Q1328" t="str">
        <f>VLOOKUP(D1328,상품정보!$A$2:$D$151,3,FALSE)</f>
        <v>액세서리</v>
      </c>
      <c r="R1328" t="str">
        <f>VLOOKUP(D1328,상품정보!$A$2:$D$151,4,FALSE)</f>
        <v>브랜드B</v>
      </c>
    </row>
    <row r="1329" spans="1:18" x14ac:dyDescent="0.45">
      <c r="A1329" t="s">
        <v>181</v>
      </c>
      <c r="B1329" t="s">
        <v>1728</v>
      </c>
      <c r="C1329" t="s">
        <v>2433</v>
      </c>
      <c r="D1329" t="s">
        <v>2557</v>
      </c>
      <c r="E1329">
        <v>5</v>
      </c>
      <c r="F1329">
        <v>77700</v>
      </c>
      <c r="G1329">
        <v>500</v>
      </c>
      <c r="H1329">
        <v>4200</v>
      </c>
      <c r="I1329" t="s">
        <v>2613</v>
      </c>
      <c r="J1329" s="4">
        <f t="shared" si="60"/>
        <v>384800</v>
      </c>
      <c r="K1329" s="4" t="str">
        <f t="shared" si="61"/>
        <v>2024-01</v>
      </c>
      <c r="L1329" s="4" t="str">
        <f t="shared" si="62"/>
        <v>수</v>
      </c>
      <c r="M1329" s="2" t="str">
        <f>VLOOKUP($C1329, 고객정보!$A$2:$E$151, 2, FALSE)</f>
        <v>부산</v>
      </c>
      <c r="N1329" t="str">
        <f>VLOOKUP(C1329,고객정보!$A$2:$D$151,4,FALSE)</f>
        <v>L3</v>
      </c>
      <c r="O1329" t="str">
        <f>VLOOKUP($C1329, 고객정보!$A$2:$E$151, 5, FALSE)</f>
        <v>10대</v>
      </c>
      <c r="P1329" t="str">
        <f>VLOOKUP(D1329,상품정보!$A$2:$E$61,2,FALSE)</f>
        <v>귀걸이</v>
      </c>
      <c r="Q1329" t="str">
        <f>VLOOKUP(D1329,상품정보!$A$2:$D$151,3,FALSE)</f>
        <v>액세서리</v>
      </c>
      <c r="R1329" t="str">
        <f>VLOOKUP(D1329,상품정보!$A$2:$D$151,4,FALSE)</f>
        <v>브랜드B</v>
      </c>
    </row>
    <row r="1330" spans="1:18" x14ac:dyDescent="0.45">
      <c r="A1330" t="s">
        <v>307</v>
      </c>
      <c r="B1330" t="s">
        <v>1729</v>
      </c>
      <c r="C1330" t="s">
        <v>2421</v>
      </c>
      <c r="D1330" t="s">
        <v>2603</v>
      </c>
      <c r="E1330">
        <v>5</v>
      </c>
      <c r="F1330">
        <v>8200</v>
      </c>
      <c r="G1330">
        <v>0</v>
      </c>
      <c r="H1330">
        <v>0</v>
      </c>
      <c r="I1330" t="s">
        <v>2652</v>
      </c>
      <c r="J1330" s="4">
        <f t="shared" si="60"/>
        <v>41000</v>
      </c>
      <c r="K1330" s="4" t="str">
        <f t="shared" si="61"/>
        <v>2024-02</v>
      </c>
      <c r="L1330" s="4" t="str">
        <f t="shared" si="62"/>
        <v>토</v>
      </c>
      <c r="M1330" s="2" t="str">
        <f>VLOOKUP($C1330, 고객정보!$A$2:$E$151, 2, FALSE)</f>
        <v>부산</v>
      </c>
      <c r="N1330" t="str">
        <f>VLOOKUP(C1330,고객정보!$A$2:$D$151,4,FALSE)</f>
        <v>L3</v>
      </c>
      <c r="O1330" t="str">
        <f>VLOOKUP($C1330, 고객정보!$A$2:$E$151, 5, FALSE)</f>
        <v>30대</v>
      </c>
      <c r="P1330" t="str">
        <f>VLOOKUP(D1330,상품정보!$A$2:$E$61,2,FALSE)</f>
        <v>목걸이</v>
      </c>
      <c r="Q1330" t="str">
        <f>VLOOKUP(D1330,상품정보!$A$2:$D$151,3,FALSE)</f>
        <v>액세서리</v>
      </c>
      <c r="R1330" t="str">
        <f>VLOOKUP(D1330,상품정보!$A$2:$D$151,4,FALSE)</f>
        <v>브랜드E</v>
      </c>
    </row>
    <row r="1331" spans="1:18" x14ac:dyDescent="0.45">
      <c r="A1331" t="s">
        <v>117</v>
      </c>
      <c r="B1331" t="s">
        <v>1730</v>
      </c>
      <c r="C1331" t="s">
        <v>2417</v>
      </c>
      <c r="D1331" t="s">
        <v>2577</v>
      </c>
      <c r="E1331">
        <v>3</v>
      </c>
      <c r="F1331">
        <v>10200</v>
      </c>
      <c r="G1331">
        <v>0</v>
      </c>
      <c r="H1331">
        <v>0</v>
      </c>
      <c r="I1331" t="s">
        <v>2652</v>
      </c>
      <c r="J1331" s="4">
        <f t="shared" si="60"/>
        <v>30600</v>
      </c>
      <c r="K1331" s="4" t="str">
        <f t="shared" si="61"/>
        <v>2024-11</v>
      </c>
      <c r="L1331" s="4" t="str">
        <f t="shared" si="62"/>
        <v>수</v>
      </c>
      <c r="M1331" s="2" t="str">
        <f>VLOOKUP($C1331, 고객정보!$A$2:$E$151, 2, FALSE)</f>
        <v>인천</v>
      </c>
      <c r="N1331" t="str">
        <f>VLOOKUP(C1331,고객정보!$A$2:$D$151,4,FALSE)</f>
        <v>L1</v>
      </c>
      <c r="O1331" t="str">
        <f>VLOOKUP($C1331, 고객정보!$A$2:$E$151, 5, FALSE)</f>
        <v>30대</v>
      </c>
      <c r="P1331" t="str">
        <f>VLOOKUP(D1331,상품정보!$A$2:$E$61,2,FALSE)</f>
        <v>셔츠</v>
      </c>
      <c r="Q1331" t="str">
        <f>VLOOKUP(D1331,상품정보!$A$2:$D$151,3,FALSE)</f>
        <v>의류</v>
      </c>
      <c r="R1331" t="str">
        <f>VLOOKUP(D1331,상품정보!$A$2:$D$151,4,FALSE)</f>
        <v>브랜드C</v>
      </c>
    </row>
    <row r="1332" spans="1:18" x14ac:dyDescent="0.45">
      <c r="A1332" t="s">
        <v>247</v>
      </c>
      <c r="B1332" t="s">
        <v>1731</v>
      </c>
      <c r="C1332" t="s">
        <v>2544</v>
      </c>
      <c r="D1332" t="s">
        <v>2595</v>
      </c>
      <c r="E1332">
        <v>4</v>
      </c>
      <c r="F1332">
        <v>12700</v>
      </c>
      <c r="G1332">
        <v>0</v>
      </c>
      <c r="H1332">
        <v>0</v>
      </c>
      <c r="I1332" t="s">
        <v>2652</v>
      </c>
      <c r="J1332" s="4">
        <f t="shared" si="60"/>
        <v>50800</v>
      </c>
      <c r="K1332" s="4" t="str">
        <f t="shared" si="61"/>
        <v>2024-07</v>
      </c>
      <c r="L1332" s="4" t="str">
        <f t="shared" si="62"/>
        <v>일</v>
      </c>
      <c r="M1332" s="2" t="str">
        <f>VLOOKUP($C1332, 고객정보!$A$2:$E$151, 2, FALSE)</f>
        <v>서울</v>
      </c>
      <c r="N1332" t="str">
        <f>VLOOKUP(C1332,고객정보!$A$2:$D$151,4,FALSE)</f>
        <v>L5</v>
      </c>
      <c r="O1332" t="str">
        <f>VLOOKUP($C1332, 고객정보!$A$2:$E$151, 5, FALSE)</f>
        <v>40대</v>
      </c>
      <c r="P1332" t="str">
        <f>VLOOKUP(D1332,상품정보!$A$2:$E$61,2,FALSE)</f>
        <v>반지</v>
      </c>
      <c r="Q1332" t="str">
        <f>VLOOKUP(D1332,상품정보!$A$2:$D$151,3,FALSE)</f>
        <v>액세서리</v>
      </c>
      <c r="R1332" t="str">
        <f>VLOOKUP(D1332,상품정보!$A$2:$D$151,4,FALSE)</f>
        <v>브랜드C</v>
      </c>
    </row>
    <row r="1333" spans="1:18" x14ac:dyDescent="0.45">
      <c r="A1333" t="s">
        <v>153</v>
      </c>
      <c r="B1333" t="s">
        <v>1732</v>
      </c>
      <c r="C1333" t="s">
        <v>2533</v>
      </c>
      <c r="D1333" t="s">
        <v>2602</v>
      </c>
      <c r="E1333">
        <v>1</v>
      </c>
      <c r="F1333">
        <v>59900</v>
      </c>
      <c r="G1333">
        <v>1500</v>
      </c>
      <c r="H1333">
        <v>1900</v>
      </c>
      <c r="I1333" t="s">
        <v>2611</v>
      </c>
      <c r="J1333" s="4">
        <f t="shared" si="60"/>
        <v>59500</v>
      </c>
      <c r="K1333" s="4" t="str">
        <f t="shared" si="61"/>
        <v>2024-08</v>
      </c>
      <c r="L1333" s="4" t="str">
        <f t="shared" si="62"/>
        <v>금</v>
      </c>
      <c r="M1333" s="2" t="str">
        <f>VLOOKUP($C1333, 고객정보!$A$2:$E$151, 2, FALSE)</f>
        <v>인천</v>
      </c>
      <c r="N1333" t="str">
        <f>VLOOKUP(C1333,고객정보!$A$2:$D$151,4,FALSE)</f>
        <v>L5</v>
      </c>
      <c r="O1333" t="str">
        <f>VLOOKUP($C1333, 고객정보!$A$2:$E$151, 5, FALSE)</f>
        <v>30대</v>
      </c>
      <c r="P1333" t="str">
        <f>VLOOKUP(D1333,상품정보!$A$2:$E$61,2,FALSE)</f>
        <v>셔츠</v>
      </c>
      <c r="Q1333" t="str">
        <f>VLOOKUP(D1333,상품정보!$A$2:$D$151,3,FALSE)</f>
        <v>의류</v>
      </c>
      <c r="R1333" t="str">
        <f>VLOOKUP(D1333,상품정보!$A$2:$D$151,4,FALSE)</f>
        <v>브랜드A</v>
      </c>
    </row>
    <row r="1334" spans="1:18" x14ac:dyDescent="0.45">
      <c r="A1334" t="s">
        <v>303</v>
      </c>
      <c r="B1334" t="s">
        <v>1733</v>
      </c>
      <c r="C1334" t="s">
        <v>2432</v>
      </c>
      <c r="D1334" t="s">
        <v>2561</v>
      </c>
      <c r="E1334">
        <v>2</v>
      </c>
      <c r="F1334">
        <v>63300</v>
      </c>
      <c r="G1334">
        <v>1500</v>
      </c>
      <c r="H1334">
        <v>0</v>
      </c>
      <c r="I1334" t="s">
        <v>2652</v>
      </c>
      <c r="J1334" s="4">
        <f t="shared" si="60"/>
        <v>128100</v>
      </c>
      <c r="K1334" s="4" t="str">
        <f t="shared" si="61"/>
        <v>2024-03</v>
      </c>
      <c r="L1334" s="4" t="str">
        <f t="shared" si="62"/>
        <v>일</v>
      </c>
      <c r="M1334" s="2" t="str">
        <f>VLOOKUP($C1334, 고객정보!$A$2:$E$151, 2, FALSE)</f>
        <v>서울</v>
      </c>
      <c r="N1334" t="str">
        <f>VLOOKUP(C1334,고객정보!$A$2:$D$151,4,FALSE)</f>
        <v>L5</v>
      </c>
      <c r="O1334" t="str">
        <f>VLOOKUP($C1334, 고객정보!$A$2:$E$151, 5, FALSE)</f>
        <v>20대</v>
      </c>
      <c r="P1334" t="str">
        <f>VLOOKUP(D1334,상품정보!$A$2:$E$61,2,FALSE)</f>
        <v>귀걸이</v>
      </c>
      <c r="Q1334" t="str">
        <f>VLOOKUP(D1334,상품정보!$A$2:$D$151,3,FALSE)</f>
        <v>액세서리</v>
      </c>
      <c r="R1334" t="str">
        <f>VLOOKUP(D1334,상품정보!$A$2:$D$151,4,FALSE)</f>
        <v>브랜드B</v>
      </c>
    </row>
    <row r="1335" spans="1:18" x14ac:dyDescent="0.45">
      <c r="A1335" t="s">
        <v>231</v>
      </c>
      <c r="B1335" t="s">
        <v>1734</v>
      </c>
      <c r="C1335" t="s">
        <v>2540</v>
      </c>
      <c r="D1335" t="s">
        <v>2577</v>
      </c>
      <c r="E1335">
        <v>5</v>
      </c>
      <c r="F1335">
        <v>10200</v>
      </c>
      <c r="G1335">
        <v>0</v>
      </c>
      <c r="H1335">
        <v>8900</v>
      </c>
      <c r="I1335" t="s">
        <v>2614</v>
      </c>
      <c r="J1335" s="4">
        <f t="shared" si="60"/>
        <v>42100</v>
      </c>
      <c r="K1335" s="4" t="str">
        <f t="shared" si="61"/>
        <v>2024-05</v>
      </c>
      <c r="L1335" s="4" t="str">
        <f t="shared" si="62"/>
        <v>금</v>
      </c>
      <c r="M1335" s="2" t="str">
        <f>VLOOKUP($C1335, 고객정보!$A$2:$E$151, 2, FALSE)</f>
        <v>서울</v>
      </c>
      <c r="N1335" t="str">
        <f>VLOOKUP(C1335,고객정보!$A$2:$D$151,4,FALSE)</f>
        <v>L4</v>
      </c>
      <c r="O1335" t="str">
        <f>VLOOKUP($C1335, 고객정보!$A$2:$E$151, 5, FALSE)</f>
        <v>50대 이상</v>
      </c>
      <c r="P1335" t="str">
        <f>VLOOKUP(D1335,상품정보!$A$2:$E$61,2,FALSE)</f>
        <v>셔츠</v>
      </c>
      <c r="Q1335" t="str">
        <f>VLOOKUP(D1335,상품정보!$A$2:$D$151,3,FALSE)</f>
        <v>의류</v>
      </c>
      <c r="R1335" t="str">
        <f>VLOOKUP(D1335,상품정보!$A$2:$D$151,4,FALSE)</f>
        <v>브랜드C</v>
      </c>
    </row>
    <row r="1336" spans="1:18" x14ac:dyDescent="0.45">
      <c r="A1336" t="s">
        <v>390</v>
      </c>
      <c r="B1336" t="s">
        <v>1735</v>
      </c>
      <c r="C1336" t="s">
        <v>2518</v>
      </c>
      <c r="D1336" t="s">
        <v>2600</v>
      </c>
      <c r="E1336">
        <v>3</v>
      </c>
      <c r="F1336">
        <v>10900</v>
      </c>
      <c r="G1336">
        <v>0</v>
      </c>
      <c r="H1336">
        <v>3800</v>
      </c>
      <c r="I1336" t="s">
        <v>2612</v>
      </c>
      <c r="J1336" s="4">
        <f t="shared" si="60"/>
        <v>28900</v>
      </c>
      <c r="K1336" s="4" t="str">
        <f t="shared" si="61"/>
        <v>2024-01</v>
      </c>
      <c r="L1336" s="4" t="str">
        <f t="shared" si="62"/>
        <v>토</v>
      </c>
      <c r="M1336" s="2" t="str">
        <f>VLOOKUP($C1336, 고객정보!$A$2:$E$151, 2, FALSE)</f>
        <v>부산</v>
      </c>
      <c r="N1336" t="str">
        <f>VLOOKUP(C1336,고객정보!$A$2:$D$151,4,FALSE)</f>
        <v>L2</v>
      </c>
      <c r="O1336" t="str">
        <f>VLOOKUP($C1336, 고객정보!$A$2:$E$151, 5, FALSE)</f>
        <v>40대</v>
      </c>
      <c r="P1336" t="str">
        <f>VLOOKUP(D1336,상품정보!$A$2:$E$61,2,FALSE)</f>
        <v>셔츠</v>
      </c>
      <c r="Q1336" t="str">
        <f>VLOOKUP(D1336,상품정보!$A$2:$D$151,3,FALSE)</f>
        <v>의류</v>
      </c>
      <c r="R1336" t="str">
        <f>VLOOKUP(D1336,상품정보!$A$2:$D$151,4,FALSE)</f>
        <v>브랜드E</v>
      </c>
    </row>
    <row r="1337" spans="1:18" x14ac:dyDescent="0.45">
      <c r="A1337" t="s">
        <v>308</v>
      </c>
      <c r="B1337" t="s">
        <v>1736</v>
      </c>
      <c r="C1337" t="s">
        <v>2472</v>
      </c>
      <c r="D1337" t="s">
        <v>2576</v>
      </c>
      <c r="E1337">
        <v>5</v>
      </c>
      <c r="F1337">
        <v>8800</v>
      </c>
      <c r="G1337">
        <v>0</v>
      </c>
      <c r="H1337">
        <v>0</v>
      </c>
      <c r="I1337" t="s">
        <v>2652</v>
      </c>
      <c r="J1337" s="4">
        <f t="shared" si="60"/>
        <v>44000</v>
      </c>
      <c r="K1337" s="4" t="str">
        <f t="shared" si="61"/>
        <v>2024-03</v>
      </c>
      <c r="L1337" s="4" t="str">
        <f t="shared" si="62"/>
        <v>수</v>
      </c>
      <c r="M1337" s="2" t="str">
        <f>VLOOKUP($C1337, 고객정보!$A$2:$E$151, 2, FALSE)</f>
        <v>서울</v>
      </c>
      <c r="N1337" t="str">
        <f>VLOOKUP(C1337,고객정보!$A$2:$D$151,4,FALSE)</f>
        <v>L1</v>
      </c>
      <c r="O1337" t="str">
        <f>VLOOKUP($C1337, 고객정보!$A$2:$E$151, 5, FALSE)</f>
        <v>20대</v>
      </c>
      <c r="P1337" t="str">
        <f>VLOOKUP(D1337,상품정보!$A$2:$E$61,2,FALSE)</f>
        <v>핸드폰케이스</v>
      </c>
      <c r="Q1337" t="str">
        <f>VLOOKUP(D1337,상품정보!$A$2:$D$151,3,FALSE)</f>
        <v>액세서리</v>
      </c>
      <c r="R1337" t="str">
        <f>VLOOKUP(D1337,상품정보!$A$2:$D$151,4,FALSE)</f>
        <v>브랜드D</v>
      </c>
    </row>
    <row r="1338" spans="1:18" x14ac:dyDescent="0.45">
      <c r="A1338" t="s">
        <v>253</v>
      </c>
      <c r="B1338" t="s">
        <v>1737</v>
      </c>
      <c r="C1338" t="s">
        <v>2487</v>
      </c>
      <c r="D1338" t="s">
        <v>2564</v>
      </c>
      <c r="E1338">
        <v>1</v>
      </c>
      <c r="F1338">
        <v>66600</v>
      </c>
      <c r="G1338">
        <v>0</v>
      </c>
      <c r="H1338">
        <v>0</v>
      </c>
      <c r="I1338" t="s">
        <v>2652</v>
      </c>
      <c r="J1338" s="4">
        <f t="shared" si="60"/>
        <v>66600</v>
      </c>
      <c r="K1338" s="4" t="str">
        <f t="shared" si="61"/>
        <v>2024-10</v>
      </c>
      <c r="L1338" s="4" t="str">
        <f t="shared" si="62"/>
        <v>일</v>
      </c>
      <c r="M1338" s="2" t="str">
        <f>VLOOKUP($C1338, 고객정보!$A$2:$E$151, 2, FALSE)</f>
        <v>서울</v>
      </c>
      <c r="N1338" t="str">
        <f>VLOOKUP(C1338,고객정보!$A$2:$D$151,4,FALSE)</f>
        <v>L1</v>
      </c>
      <c r="O1338" t="str">
        <f>VLOOKUP($C1338, 고객정보!$A$2:$E$151, 5, FALSE)</f>
        <v>10대</v>
      </c>
      <c r="P1338" t="str">
        <f>VLOOKUP(D1338,상품정보!$A$2:$E$61,2,FALSE)</f>
        <v>청바지</v>
      </c>
      <c r="Q1338" t="str">
        <f>VLOOKUP(D1338,상품정보!$A$2:$D$151,3,FALSE)</f>
        <v>의류</v>
      </c>
      <c r="R1338" t="str">
        <f>VLOOKUP(D1338,상품정보!$A$2:$D$151,4,FALSE)</f>
        <v>브랜드B</v>
      </c>
    </row>
    <row r="1339" spans="1:18" x14ac:dyDescent="0.45">
      <c r="A1339" t="s">
        <v>391</v>
      </c>
      <c r="B1339" t="s">
        <v>1738</v>
      </c>
      <c r="C1339" t="s">
        <v>2540</v>
      </c>
      <c r="D1339" t="s">
        <v>2561</v>
      </c>
      <c r="E1339">
        <v>5</v>
      </c>
      <c r="F1339">
        <v>63300</v>
      </c>
      <c r="G1339">
        <v>1500</v>
      </c>
      <c r="H1339">
        <v>0</v>
      </c>
      <c r="I1339" t="s">
        <v>2652</v>
      </c>
      <c r="J1339" s="4">
        <f t="shared" si="60"/>
        <v>318000</v>
      </c>
      <c r="K1339" s="4" t="str">
        <f t="shared" si="61"/>
        <v>2024-02</v>
      </c>
      <c r="L1339" s="4" t="str">
        <f t="shared" si="62"/>
        <v>화</v>
      </c>
      <c r="M1339" s="2" t="str">
        <f>VLOOKUP($C1339, 고객정보!$A$2:$E$151, 2, FALSE)</f>
        <v>서울</v>
      </c>
      <c r="N1339" t="str">
        <f>VLOOKUP(C1339,고객정보!$A$2:$D$151,4,FALSE)</f>
        <v>L4</v>
      </c>
      <c r="O1339" t="str">
        <f>VLOOKUP($C1339, 고객정보!$A$2:$E$151, 5, FALSE)</f>
        <v>50대 이상</v>
      </c>
      <c r="P1339" t="str">
        <f>VLOOKUP(D1339,상품정보!$A$2:$E$61,2,FALSE)</f>
        <v>귀걸이</v>
      </c>
      <c r="Q1339" t="str">
        <f>VLOOKUP(D1339,상품정보!$A$2:$D$151,3,FALSE)</f>
        <v>액세서리</v>
      </c>
      <c r="R1339" t="str">
        <f>VLOOKUP(D1339,상품정보!$A$2:$D$151,4,FALSE)</f>
        <v>브랜드B</v>
      </c>
    </row>
    <row r="1340" spans="1:18" x14ac:dyDescent="0.45">
      <c r="A1340" t="s">
        <v>167</v>
      </c>
      <c r="B1340" t="s">
        <v>1739</v>
      </c>
      <c r="C1340" t="s">
        <v>2479</v>
      </c>
      <c r="D1340" t="s">
        <v>2572</v>
      </c>
      <c r="E1340">
        <v>3</v>
      </c>
      <c r="F1340">
        <v>61700</v>
      </c>
      <c r="G1340">
        <v>0</v>
      </c>
      <c r="H1340">
        <v>0</v>
      </c>
      <c r="I1340" t="s">
        <v>2652</v>
      </c>
      <c r="J1340" s="4">
        <f t="shared" si="60"/>
        <v>185100</v>
      </c>
      <c r="K1340" s="4" t="str">
        <f t="shared" si="61"/>
        <v>2024-04</v>
      </c>
      <c r="L1340" s="4" t="str">
        <f t="shared" si="62"/>
        <v>목</v>
      </c>
      <c r="M1340" s="2" t="str">
        <f>VLOOKUP($C1340, 고객정보!$A$2:$E$151, 2, FALSE)</f>
        <v>부산</v>
      </c>
      <c r="N1340" t="str">
        <f>VLOOKUP(C1340,고객정보!$A$2:$D$151,4,FALSE)</f>
        <v>L2</v>
      </c>
      <c r="O1340" t="str">
        <f>VLOOKUP($C1340, 고객정보!$A$2:$E$151, 5, FALSE)</f>
        <v>10대</v>
      </c>
      <c r="P1340" t="str">
        <f>VLOOKUP(D1340,상품정보!$A$2:$E$61,2,FALSE)</f>
        <v>반팔 티셔츠</v>
      </c>
      <c r="Q1340" t="str">
        <f>VLOOKUP(D1340,상품정보!$A$2:$D$151,3,FALSE)</f>
        <v>의류</v>
      </c>
      <c r="R1340" t="str">
        <f>VLOOKUP(D1340,상품정보!$A$2:$D$151,4,FALSE)</f>
        <v>브랜드F</v>
      </c>
    </row>
    <row r="1341" spans="1:18" x14ac:dyDescent="0.45">
      <c r="A1341" t="s">
        <v>308</v>
      </c>
      <c r="B1341" t="s">
        <v>1740</v>
      </c>
      <c r="C1341" t="s">
        <v>2524</v>
      </c>
      <c r="D1341" t="s">
        <v>2590</v>
      </c>
      <c r="E1341">
        <v>5</v>
      </c>
      <c r="F1341">
        <v>68900</v>
      </c>
      <c r="G1341">
        <v>0</v>
      </c>
      <c r="H1341">
        <v>0</v>
      </c>
      <c r="I1341" t="s">
        <v>2652</v>
      </c>
      <c r="J1341" s="4">
        <f t="shared" si="60"/>
        <v>344500</v>
      </c>
      <c r="K1341" s="4" t="str">
        <f t="shared" si="61"/>
        <v>2024-03</v>
      </c>
      <c r="L1341" s="4" t="str">
        <f t="shared" si="62"/>
        <v>수</v>
      </c>
      <c r="M1341" s="2" t="str">
        <f>VLOOKUP($C1341, 고객정보!$A$2:$E$151, 2, FALSE)</f>
        <v>서울</v>
      </c>
      <c r="N1341" t="str">
        <f>VLOOKUP(C1341,고객정보!$A$2:$D$151,4,FALSE)</f>
        <v>L5</v>
      </c>
      <c r="O1341" t="str">
        <f>VLOOKUP($C1341, 고객정보!$A$2:$E$151, 5, FALSE)</f>
        <v>10대</v>
      </c>
      <c r="P1341" t="str">
        <f>VLOOKUP(D1341,상품정보!$A$2:$E$61,2,FALSE)</f>
        <v>반팔 티셔츠</v>
      </c>
      <c r="Q1341" t="str">
        <f>VLOOKUP(D1341,상품정보!$A$2:$D$151,3,FALSE)</f>
        <v>의류</v>
      </c>
      <c r="R1341" t="str">
        <f>VLOOKUP(D1341,상품정보!$A$2:$D$151,4,FALSE)</f>
        <v>브랜드A</v>
      </c>
    </row>
    <row r="1342" spans="1:18" x14ac:dyDescent="0.45">
      <c r="A1342" t="s">
        <v>115</v>
      </c>
      <c r="B1342" t="s">
        <v>1741</v>
      </c>
      <c r="C1342" t="s">
        <v>2541</v>
      </c>
      <c r="D1342" t="s">
        <v>2604</v>
      </c>
      <c r="E1342">
        <v>2</v>
      </c>
      <c r="F1342">
        <v>9700</v>
      </c>
      <c r="G1342">
        <v>0</v>
      </c>
      <c r="H1342">
        <v>0</v>
      </c>
      <c r="I1342" t="s">
        <v>2652</v>
      </c>
      <c r="J1342" s="4">
        <f t="shared" si="60"/>
        <v>19400</v>
      </c>
      <c r="K1342" s="4" t="str">
        <f t="shared" si="61"/>
        <v>2024-11</v>
      </c>
      <c r="L1342" s="4" t="str">
        <f t="shared" si="62"/>
        <v>월</v>
      </c>
      <c r="M1342" s="2" t="str">
        <f>VLOOKUP($C1342, 고객정보!$A$2:$E$151, 2, FALSE)</f>
        <v>대구</v>
      </c>
      <c r="N1342" t="str">
        <f>VLOOKUP(C1342,고객정보!$A$2:$D$151,4,FALSE)</f>
        <v>L5</v>
      </c>
      <c r="O1342" t="str">
        <f>VLOOKUP($C1342, 고객정보!$A$2:$E$151, 5, FALSE)</f>
        <v>30대</v>
      </c>
      <c r="P1342" t="str">
        <f>VLOOKUP(D1342,상품정보!$A$2:$E$61,2,FALSE)</f>
        <v>반팔 티셔츠</v>
      </c>
      <c r="Q1342" t="str">
        <f>VLOOKUP(D1342,상품정보!$A$2:$D$151,3,FALSE)</f>
        <v>의류</v>
      </c>
      <c r="R1342" t="str">
        <f>VLOOKUP(D1342,상품정보!$A$2:$D$151,4,FALSE)</f>
        <v>브랜드E</v>
      </c>
    </row>
    <row r="1343" spans="1:18" x14ac:dyDescent="0.45">
      <c r="A1343" t="s">
        <v>327</v>
      </c>
      <c r="B1343" t="s">
        <v>1742</v>
      </c>
      <c r="C1343" t="s">
        <v>2531</v>
      </c>
      <c r="D1343" t="s">
        <v>2555</v>
      </c>
      <c r="E1343">
        <v>1</v>
      </c>
      <c r="F1343">
        <v>8300</v>
      </c>
      <c r="G1343">
        <v>1000</v>
      </c>
      <c r="H1343">
        <v>0</v>
      </c>
      <c r="I1343" t="s">
        <v>2652</v>
      </c>
      <c r="J1343" s="4">
        <f t="shared" si="60"/>
        <v>9300</v>
      </c>
      <c r="K1343" s="4" t="str">
        <f t="shared" si="61"/>
        <v>2024-04</v>
      </c>
      <c r="L1343" s="4" t="str">
        <f t="shared" si="62"/>
        <v>화</v>
      </c>
      <c r="M1343" s="2" t="str">
        <f>VLOOKUP($C1343, 고객정보!$A$2:$E$151, 2, FALSE)</f>
        <v>서울</v>
      </c>
      <c r="N1343" t="str">
        <f>VLOOKUP(C1343,고객정보!$A$2:$D$151,4,FALSE)</f>
        <v>L4</v>
      </c>
      <c r="O1343" t="str">
        <f>VLOOKUP($C1343, 고객정보!$A$2:$E$151, 5, FALSE)</f>
        <v>40대</v>
      </c>
      <c r="P1343" t="str">
        <f>VLOOKUP(D1343,상품정보!$A$2:$E$61,2,FALSE)</f>
        <v>청바지</v>
      </c>
      <c r="Q1343" t="str">
        <f>VLOOKUP(D1343,상품정보!$A$2:$D$151,3,FALSE)</f>
        <v>의류</v>
      </c>
      <c r="R1343" t="str">
        <f>VLOOKUP(D1343,상품정보!$A$2:$D$151,4,FALSE)</f>
        <v>브랜드E</v>
      </c>
    </row>
    <row r="1344" spans="1:18" x14ac:dyDescent="0.45">
      <c r="A1344" t="s">
        <v>134</v>
      </c>
      <c r="B1344" t="s">
        <v>1743</v>
      </c>
      <c r="C1344" t="s">
        <v>2489</v>
      </c>
      <c r="D1344" t="s">
        <v>2610</v>
      </c>
      <c r="E1344">
        <v>1</v>
      </c>
      <c r="F1344">
        <v>18800</v>
      </c>
      <c r="G1344">
        <v>0</v>
      </c>
      <c r="H1344">
        <v>2000</v>
      </c>
      <c r="I1344" t="s">
        <v>2614</v>
      </c>
      <c r="J1344" s="4">
        <f t="shared" si="60"/>
        <v>16800</v>
      </c>
      <c r="K1344" s="4" t="str">
        <f t="shared" si="61"/>
        <v>2025-01</v>
      </c>
      <c r="L1344" s="4" t="str">
        <f t="shared" si="62"/>
        <v>일</v>
      </c>
      <c r="M1344" s="2" t="str">
        <f>VLOOKUP($C1344, 고객정보!$A$2:$E$151, 2, FALSE)</f>
        <v>서울</v>
      </c>
      <c r="N1344" t="str">
        <f>VLOOKUP(C1344,고객정보!$A$2:$D$151,4,FALSE)</f>
        <v>L3</v>
      </c>
      <c r="O1344" t="str">
        <f>VLOOKUP($C1344, 고객정보!$A$2:$E$151, 5, FALSE)</f>
        <v>10대</v>
      </c>
      <c r="P1344" t="str">
        <f>VLOOKUP(D1344,상품정보!$A$2:$E$61,2,FALSE)</f>
        <v>자켓</v>
      </c>
      <c r="Q1344" t="str">
        <f>VLOOKUP(D1344,상품정보!$A$2:$D$151,3,FALSE)</f>
        <v>의류</v>
      </c>
      <c r="R1344" t="str">
        <f>VLOOKUP(D1344,상품정보!$A$2:$D$151,4,FALSE)</f>
        <v>브랜드E</v>
      </c>
    </row>
    <row r="1345" spans="1:18" x14ac:dyDescent="0.45">
      <c r="A1345" t="s">
        <v>184</v>
      </c>
      <c r="B1345" t="s">
        <v>1744</v>
      </c>
      <c r="C1345" t="s">
        <v>2495</v>
      </c>
      <c r="D1345" t="s">
        <v>2581</v>
      </c>
      <c r="E1345">
        <v>5</v>
      </c>
      <c r="F1345">
        <v>72900</v>
      </c>
      <c r="G1345">
        <v>0</v>
      </c>
      <c r="H1345">
        <v>800</v>
      </c>
      <c r="I1345" t="s">
        <v>2614</v>
      </c>
      <c r="J1345" s="4">
        <f t="shared" si="60"/>
        <v>363700</v>
      </c>
      <c r="K1345" s="4" t="str">
        <f t="shared" si="61"/>
        <v>2024-02</v>
      </c>
      <c r="L1345" s="4" t="str">
        <f t="shared" si="62"/>
        <v>수</v>
      </c>
      <c r="M1345" s="2" t="str">
        <f>VLOOKUP($C1345, 고객정보!$A$2:$E$151, 2, FALSE)</f>
        <v>N/A</v>
      </c>
      <c r="N1345" t="str">
        <f>VLOOKUP(C1345,고객정보!$A$2:$D$151,4,FALSE)</f>
        <v>L1</v>
      </c>
      <c r="O1345" t="str">
        <f>VLOOKUP($C1345, 고객정보!$A$2:$E$151, 5, FALSE)</f>
        <v>50대 이상</v>
      </c>
      <c r="P1345" t="str">
        <f>VLOOKUP(D1345,상품정보!$A$2:$E$61,2,FALSE)</f>
        <v>귀걸이</v>
      </c>
      <c r="Q1345" t="str">
        <f>VLOOKUP(D1345,상품정보!$A$2:$D$151,3,FALSE)</f>
        <v>액세서리</v>
      </c>
      <c r="R1345" t="str">
        <f>VLOOKUP(D1345,상품정보!$A$2:$D$151,4,FALSE)</f>
        <v>브랜드F</v>
      </c>
    </row>
    <row r="1346" spans="1:18" x14ac:dyDescent="0.45">
      <c r="A1346" t="s">
        <v>91</v>
      </c>
      <c r="B1346" t="s">
        <v>1745</v>
      </c>
      <c r="C1346" t="s">
        <v>2417</v>
      </c>
      <c r="D1346" t="s">
        <v>2567</v>
      </c>
      <c r="E1346">
        <v>1</v>
      </c>
      <c r="F1346">
        <v>58600</v>
      </c>
      <c r="G1346">
        <v>1500</v>
      </c>
      <c r="H1346">
        <v>2300</v>
      </c>
      <c r="I1346" t="s">
        <v>2613</v>
      </c>
      <c r="J1346" s="4">
        <f t="shared" si="60"/>
        <v>57800</v>
      </c>
      <c r="K1346" s="4" t="str">
        <f t="shared" si="61"/>
        <v>2024-05</v>
      </c>
      <c r="L1346" s="4" t="str">
        <f t="shared" si="62"/>
        <v>수</v>
      </c>
      <c r="M1346" s="2" t="str">
        <f>VLOOKUP($C1346, 고객정보!$A$2:$E$151, 2, FALSE)</f>
        <v>인천</v>
      </c>
      <c r="N1346" t="str">
        <f>VLOOKUP(C1346,고객정보!$A$2:$D$151,4,FALSE)</f>
        <v>L1</v>
      </c>
      <c r="O1346" t="str">
        <f>VLOOKUP($C1346, 고객정보!$A$2:$E$151, 5, FALSE)</f>
        <v>30대</v>
      </c>
      <c r="P1346" t="str">
        <f>VLOOKUP(D1346,상품정보!$A$2:$E$61,2,FALSE)</f>
        <v>귀걸이</v>
      </c>
      <c r="Q1346" t="str">
        <f>VLOOKUP(D1346,상품정보!$A$2:$D$151,3,FALSE)</f>
        <v>액세서리</v>
      </c>
      <c r="R1346" t="str">
        <f>VLOOKUP(D1346,상품정보!$A$2:$D$151,4,FALSE)</f>
        <v>브랜드B</v>
      </c>
    </row>
    <row r="1347" spans="1:18" x14ac:dyDescent="0.45">
      <c r="A1347" t="s">
        <v>258</v>
      </c>
      <c r="B1347" t="s">
        <v>1746</v>
      </c>
      <c r="C1347" t="s">
        <v>2527</v>
      </c>
      <c r="D1347" t="s">
        <v>2555</v>
      </c>
      <c r="E1347">
        <v>5</v>
      </c>
      <c r="F1347">
        <v>8300</v>
      </c>
      <c r="G1347">
        <v>500</v>
      </c>
      <c r="H1347">
        <v>0</v>
      </c>
      <c r="I1347" t="s">
        <v>2652</v>
      </c>
      <c r="J1347" s="4">
        <f t="shared" ref="J1347:J1410" si="63">E1347*F1347+G1347-H1347</f>
        <v>42000</v>
      </c>
      <c r="K1347" s="4" t="str">
        <f t="shared" ref="K1347:K1410" si="64">LEFT(A1347,7)</f>
        <v>2024-09</v>
      </c>
      <c r="L1347" s="4" t="str">
        <f t="shared" ref="L1347:L1410" si="65">TEXT(WEEKDAY(A1347),"aaa")</f>
        <v>금</v>
      </c>
      <c r="M1347" s="2" t="str">
        <f>VLOOKUP($C1347, 고객정보!$A$2:$E$151, 2, FALSE)</f>
        <v>광주</v>
      </c>
      <c r="N1347" t="str">
        <f>VLOOKUP(C1347,고객정보!$A$2:$D$151,4,FALSE)</f>
        <v>L2</v>
      </c>
      <c r="O1347" t="str">
        <f>VLOOKUP($C1347, 고객정보!$A$2:$E$151, 5, FALSE)</f>
        <v>30대</v>
      </c>
      <c r="P1347" t="str">
        <f>VLOOKUP(D1347,상품정보!$A$2:$E$61,2,FALSE)</f>
        <v>청바지</v>
      </c>
      <c r="Q1347" t="str">
        <f>VLOOKUP(D1347,상품정보!$A$2:$D$151,3,FALSE)</f>
        <v>의류</v>
      </c>
      <c r="R1347" t="str">
        <f>VLOOKUP(D1347,상품정보!$A$2:$D$151,4,FALSE)</f>
        <v>브랜드E</v>
      </c>
    </row>
    <row r="1348" spans="1:18" x14ac:dyDescent="0.45">
      <c r="A1348" t="s">
        <v>203</v>
      </c>
      <c r="B1348" t="s">
        <v>1747</v>
      </c>
      <c r="C1348" t="s">
        <v>2481</v>
      </c>
      <c r="D1348" t="s">
        <v>2603</v>
      </c>
      <c r="E1348">
        <v>2</v>
      </c>
      <c r="F1348">
        <v>8200</v>
      </c>
      <c r="G1348">
        <v>2000</v>
      </c>
      <c r="H1348">
        <v>0</v>
      </c>
      <c r="I1348" t="s">
        <v>2652</v>
      </c>
      <c r="J1348" s="4">
        <f t="shared" si="63"/>
        <v>18400</v>
      </c>
      <c r="K1348" s="4" t="str">
        <f t="shared" si="64"/>
        <v>2024-12</v>
      </c>
      <c r="L1348" s="4" t="str">
        <f t="shared" si="65"/>
        <v>월</v>
      </c>
      <c r="M1348" s="2" t="str">
        <f>VLOOKUP($C1348, 고객정보!$A$2:$E$151, 2, FALSE)</f>
        <v>부산</v>
      </c>
      <c r="N1348" t="str">
        <f>VLOOKUP(C1348,고객정보!$A$2:$D$151,4,FALSE)</f>
        <v>L5</v>
      </c>
      <c r="O1348" t="str">
        <f>VLOOKUP($C1348, 고객정보!$A$2:$E$151, 5, FALSE)</f>
        <v>20대</v>
      </c>
      <c r="P1348" t="str">
        <f>VLOOKUP(D1348,상품정보!$A$2:$E$61,2,FALSE)</f>
        <v>목걸이</v>
      </c>
      <c r="Q1348" t="str">
        <f>VLOOKUP(D1348,상품정보!$A$2:$D$151,3,FALSE)</f>
        <v>액세서리</v>
      </c>
      <c r="R1348" t="str">
        <f>VLOOKUP(D1348,상품정보!$A$2:$D$151,4,FALSE)</f>
        <v>브랜드E</v>
      </c>
    </row>
    <row r="1349" spans="1:18" x14ac:dyDescent="0.45">
      <c r="A1349" t="s">
        <v>101</v>
      </c>
      <c r="B1349" t="s">
        <v>1748</v>
      </c>
      <c r="C1349" t="s">
        <v>2467</v>
      </c>
      <c r="D1349" t="s">
        <v>2591</v>
      </c>
      <c r="E1349">
        <v>3</v>
      </c>
      <c r="F1349">
        <v>69200</v>
      </c>
      <c r="G1349">
        <v>1500</v>
      </c>
      <c r="H1349">
        <v>0</v>
      </c>
      <c r="I1349" t="s">
        <v>2652</v>
      </c>
      <c r="J1349" s="4">
        <f t="shared" si="63"/>
        <v>209100</v>
      </c>
      <c r="K1349" s="4" t="str">
        <f t="shared" si="64"/>
        <v>2024-11</v>
      </c>
      <c r="L1349" s="4" t="str">
        <f t="shared" si="65"/>
        <v>수</v>
      </c>
      <c r="M1349" s="2" t="str">
        <f>VLOOKUP($C1349, 고객정보!$A$2:$E$151, 2, FALSE)</f>
        <v>부산</v>
      </c>
      <c r="N1349" t="str">
        <f>VLOOKUP(C1349,고객정보!$A$2:$D$151,4,FALSE)</f>
        <v>L4</v>
      </c>
      <c r="O1349" t="str">
        <f>VLOOKUP($C1349, 고객정보!$A$2:$E$151, 5, FALSE)</f>
        <v>20대</v>
      </c>
      <c r="P1349" t="str">
        <f>VLOOKUP(D1349,상품정보!$A$2:$E$61,2,FALSE)</f>
        <v>셔츠</v>
      </c>
      <c r="Q1349" t="str">
        <f>VLOOKUP(D1349,상품정보!$A$2:$D$151,3,FALSE)</f>
        <v>의류</v>
      </c>
      <c r="R1349" t="str">
        <f>VLOOKUP(D1349,상품정보!$A$2:$D$151,4,FALSE)</f>
        <v>브랜드F</v>
      </c>
    </row>
    <row r="1350" spans="1:18" x14ac:dyDescent="0.45">
      <c r="A1350" t="s">
        <v>132</v>
      </c>
      <c r="B1350" t="s">
        <v>1749</v>
      </c>
      <c r="C1350" t="s">
        <v>2416</v>
      </c>
      <c r="D1350" t="s">
        <v>2590</v>
      </c>
      <c r="E1350">
        <v>2</v>
      </c>
      <c r="F1350">
        <v>68900</v>
      </c>
      <c r="G1350">
        <v>1000</v>
      </c>
      <c r="H1350">
        <v>3600</v>
      </c>
      <c r="I1350" t="s">
        <v>2611</v>
      </c>
      <c r="J1350" s="4">
        <f t="shared" si="63"/>
        <v>135200</v>
      </c>
      <c r="K1350" s="4" t="str">
        <f t="shared" si="64"/>
        <v>2024-06</v>
      </c>
      <c r="L1350" s="4" t="str">
        <f t="shared" si="65"/>
        <v>화</v>
      </c>
      <c r="M1350" s="2" t="str">
        <f>VLOOKUP($C1350, 고객정보!$A$2:$E$151, 2, FALSE)</f>
        <v>대구</v>
      </c>
      <c r="N1350" t="str">
        <f>VLOOKUP(C1350,고객정보!$A$2:$D$151,4,FALSE)</f>
        <v>L3</v>
      </c>
      <c r="O1350" t="str">
        <f>VLOOKUP($C1350, 고객정보!$A$2:$E$151, 5, FALSE)</f>
        <v>40대</v>
      </c>
      <c r="P1350" t="str">
        <f>VLOOKUP(D1350,상품정보!$A$2:$E$61,2,FALSE)</f>
        <v>반팔 티셔츠</v>
      </c>
      <c r="Q1350" t="str">
        <f>VLOOKUP(D1350,상품정보!$A$2:$D$151,3,FALSE)</f>
        <v>의류</v>
      </c>
      <c r="R1350" t="str">
        <f>VLOOKUP(D1350,상품정보!$A$2:$D$151,4,FALSE)</f>
        <v>브랜드A</v>
      </c>
    </row>
    <row r="1351" spans="1:18" x14ac:dyDescent="0.45">
      <c r="A1351" t="s">
        <v>115</v>
      </c>
      <c r="B1351" t="s">
        <v>1750</v>
      </c>
      <c r="C1351" t="s">
        <v>2452</v>
      </c>
      <c r="D1351" t="s">
        <v>2556</v>
      </c>
      <c r="E1351">
        <v>3</v>
      </c>
      <c r="F1351">
        <v>70100</v>
      </c>
      <c r="G1351">
        <v>0</v>
      </c>
      <c r="H1351">
        <v>0</v>
      </c>
      <c r="I1351" t="s">
        <v>2652</v>
      </c>
      <c r="J1351" s="4">
        <f t="shared" si="63"/>
        <v>210300</v>
      </c>
      <c r="K1351" s="4" t="str">
        <f t="shared" si="64"/>
        <v>2024-11</v>
      </c>
      <c r="L1351" s="4" t="str">
        <f t="shared" si="65"/>
        <v>월</v>
      </c>
      <c r="M1351" s="2" t="str">
        <f>VLOOKUP($C1351, 고객정보!$A$2:$E$151, 2, FALSE)</f>
        <v>서울</v>
      </c>
      <c r="N1351" t="str">
        <f>VLOOKUP(C1351,고객정보!$A$2:$D$151,4,FALSE)</f>
        <v>L3</v>
      </c>
      <c r="O1351" t="str">
        <f>VLOOKUP($C1351, 고객정보!$A$2:$E$151, 5, FALSE)</f>
        <v>30대</v>
      </c>
      <c r="P1351" t="str">
        <f>VLOOKUP(D1351,상품정보!$A$2:$E$61,2,FALSE)</f>
        <v>핸드폰케이스</v>
      </c>
      <c r="Q1351" t="str">
        <f>VLOOKUP(D1351,상품정보!$A$2:$D$151,3,FALSE)</f>
        <v>액세서리</v>
      </c>
      <c r="R1351" t="str">
        <f>VLOOKUP(D1351,상품정보!$A$2:$D$151,4,FALSE)</f>
        <v>브랜드F</v>
      </c>
    </row>
    <row r="1352" spans="1:18" x14ac:dyDescent="0.45">
      <c r="A1352" t="s">
        <v>39</v>
      </c>
      <c r="B1352" t="s">
        <v>1751</v>
      </c>
      <c r="C1352" t="s">
        <v>2479</v>
      </c>
      <c r="D1352" t="s">
        <v>2606</v>
      </c>
      <c r="E1352">
        <v>5</v>
      </c>
      <c r="F1352">
        <v>15000</v>
      </c>
      <c r="G1352">
        <v>0</v>
      </c>
      <c r="H1352">
        <v>4800</v>
      </c>
      <c r="I1352" t="s">
        <v>2611</v>
      </c>
      <c r="J1352" s="4">
        <f t="shared" si="63"/>
        <v>70200</v>
      </c>
      <c r="K1352" s="4" t="str">
        <f t="shared" si="64"/>
        <v>2024-03</v>
      </c>
      <c r="L1352" s="4" t="str">
        <f t="shared" si="65"/>
        <v>화</v>
      </c>
      <c r="M1352" s="2" t="str">
        <f>VLOOKUP($C1352, 고객정보!$A$2:$E$151, 2, FALSE)</f>
        <v>부산</v>
      </c>
      <c r="N1352" t="str">
        <f>VLOOKUP(C1352,고객정보!$A$2:$D$151,4,FALSE)</f>
        <v>L2</v>
      </c>
      <c r="O1352" t="str">
        <f>VLOOKUP($C1352, 고객정보!$A$2:$E$151, 5, FALSE)</f>
        <v>10대</v>
      </c>
      <c r="P1352" t="str">
        <f>VLOOKUP(D1352,상품정보!$A$2:$E$61,2,FALSE)</f>
        <v>귀걸이</v>
      </c>
      <c r="Q1352" t="str">
        <f>VLOOKUP(D1352,상품정보!$A$2:$D$151,3,FALSE)</f>
        <v>액세서리</v>
      </c>
      <c r="R1352" t="str">
        <f>VLOOKUP(D1352,상품정보!$A$2:$D$151,4,FALSE)</f>
        <v>브랜드E</v>
      </c>
    </row>
    <row r="1353" spans="1:18" x14ac:dyDescent="0.45">
      <c r="A1353" t="s">
        <v>352</v>
      </c>
      <c r="B1353" t="s">
        <v>1752</v>
      </c>
      <c r="C1353" t="s">
        <v>2500</v>
      </c>
      <c r="D1353" t="s">
        <v>2563</v>
      </c>
      <c r="E1353">
        <v>3</v>
      </c>
      <c r="F1353">
        <v>6900</v>
      </c>
      <c r="G1353">
        <v>0</v>
      </c>
      <c r="H1353">
        <v>0</v>
      </c>
      <c r="I1353" t="s">
        <v>2652</v>
      </c>
      <c r="J1353" s="4">
        <f t="shared" si="63"/>
        <v>20700</v>
      </c>
      <c r="K1353" s="4" t="str">
        <f t="shared" si="64"/>
        <v>2024-06</v>
      </c>
      <c r="L1353" s="4" t="str">
        <f t="shared" si="65"/>
        <v>월</v>
      </c>
      <c r="M1353" s="2" t="str">
        <f>VLOOKUP($C1353, 고객정보!$A$2:$E$151, 2, FALSE)</f>
        <v>서울</v>
      </c>
      <c r="N1353" t="str">
        <f>VLOOKUP(C1353,고객정보!$A$2:$D$151,4,FALSE)</f>
        <v>L3</v>
      </c>
      <c r="O1353" t="str">
        <f>VLOOKUP($C1353, 고객정보!$A$2:$E$151, 5, FALSE)</f>
        <v>20대</v>
      </c>
      <c r="P1353" t="str">
        <f>VLOOKUP(D1353,상품정보!$A$2:$E$61,2,FALSE)</f>
        <v>귀걸이</v>
      </c>
      <c r="Q1353" t="str">
        <f>VLOOKUP(D1353,상품정보!$A$2:$D$151,3,FALSE)</f>
        <v>액세서리</v>
      </c>
      <c r="R1353" t="str">
        <f>VLOOKUP(D1353,상품정보!$A$2:$D$151,4,FALSE)</f>
        <v>브랜드D</v>
      </c>
    </row>
    <row r="1354" spans="1:18" x14ac:dyDescent="0.45">
      <c r="A1354" t="s">
        <v>250</v>
      </c>
      <c r="B1354" t="s">
        <v>1753</v>
      </c>
      <c r="C1354" t="s">
        <v>2501</v>
      </c>
      <c r="D1354" t="s">
        <v>2566</v>
      </c>
      <c r="E1354">
        <v>1</v>
      </c>
      <c r="F1354">
        <v>60600</v>
      </c>
      <c r="G1354">
        <v>500</v>
      </c>
      <c r="H1354">
        <v>0</v>
      </c>
      <c r="I1354" t="s">
        <v>2652</v>
      </c>
      <c r="J1354" s="4">
        <f t="shared" si="63"/>
        <v>61100</v>
      </c>
      <c r="K1354" s="4" t="str">
        <f t="shared" si="64"/>
        <v>2024-06</v>
      </c>
      <c r="L1354" s="4" t="str">
        <f t="shared" si="65"/>
        <v>일</v>
      </c>
      <c r="M1354" s="2" t="str">
        <f>VLOOKUP($C1354, 고객정보!$A$2:$E$151, 2, FALSE)</f>
        <v>서울</v>
      </c>
      <c r="N1354" t="str">
        <f>VLOOKUP(C1354,고객정보!$A$2:$D$151,4,FALSE)</f>
        <v>L4</v>
      </c>
      <c r="O1354" t="str">
        <f>VLOOKUP($C1354, 고객정보!$A$2:$E$151, 5, FALSE)</f>
        <v>50대 이상</v>
      </c>
      <c r="P1354" t="str">
        <f>VLOOKUP(D1354,상품정보!$A$2:$E$61,2,FALSE)</f>
        <v>반팔 티셔츠</v>
      </c>
      <c r="Q1354" t="str">
        <f>VLOOKUP(D1354,상품정보!$A$2:$D$151,3,FALSE)</f>
        <v>의류</v>
      </c>
      <c r="R1354" t="str">
        <f>VLOOKUP(D1354,상품정보!$A$2:$D$151,4,FALSE)</f>
        <v>브랜드A</v>
      </c>
    </row>
    <row r="1355" spans="1:18" x14ac:dyDescent="0.45">
      <c r="A1355" t="s">
        <v>283</v>
      </c>
      <c r="B1355" t="s">
        <v>1754</v>
      </c>
      <c r="C1355" t="s">
        <v>2427</v>
      </c>
      <c r="D1355" t="s">
        <v>2577</v>
      </c>
      <c r="E1355">
        <v>2</v>
      </c>
      <c r="F1355">
        <v>10200</v>
      </c>
      <c r="G1355">
        <v>0</v>
      </c>
      <c r="H1355">
        <v>4000</v>
      </c>
      <c r="I1355" t="s">
        <v>2613</v>
      </c>
      <c r="J1355" s="4">
        <f t="shared" si="63"/>
        <v>16400</v>
      </c>
      <c r="K1355" s="4" t="str">
        <f t="shared" si="64"/>
        <v>2024-12</v>
      </c>
      <c r="L1355" s="4" t="str">
        <f t="shared" si="65"/>
        <v>월</v>
      </c>
      <c r="M1355" s="2" t="str">
        <f>VLOOKUP($C1355, 고객정보!$A$2:$E$151, 2, FALSE)</f>
        <v>부산</v>
      </c>
      <c r="N1355" t="str">
        <f>VLOOKUP(C1355,고객정보!$A$2:$D$151,4,FALSE)</f>
        <v>L4</v>
      </c>
      <c r="O1355" t="str">
        <f>VLOOKUP($C1355, 고객정보!$A$2:$E$151, 5, FALSE)</f>
        <v>20대</v>
      </c>
      <c r="P1355" t="str">
        <f>VLOOKUP(D1355,상품정보!$A$2:$E$61,2,FALSE)</f>
        <v>셔츠</v>
      </c>
      <c r="Q1355" t="str">
        <f>VLOOKUP(D1355,상품정보!$A$2:$D$151,3,FALSE)</f>
        <v>의류</v>
      </c>
      <c r="R1355" t="str">
        <f>VLOOKUP(D1355,상품정보!$A$2:$D$151,4,FALSE)</f>
        <v>브랜드C</v>
      </c>
    </row>
    <row r="1356" spans="1:18" x14ac:dyDescent="0.45">
      <c r="A1356" t="s">
        <v>88</v>
      </c>
      <c r="B1356" t="s">
        <v>1755</v>
      </c>
      <c r="C1356" t="s">
        <v>2485</v>
      </c>
      <c r="D1356" t="s">
        <v>2565</v>
      </c>
      <c r="E1356">
        <v>3</v>
      </c>
      <c r="F1356">
        <v>50000</v>
      </c>
      <c r="G1356">
        <v>500</v>
      </c>
      <c r="H1356">
        <v>0</v>
      </c>
      <c r="I1356" t="s">
        <v>2652</v>
      </c>
      <c r="J1356" s="4">
        <f t="shared" si="63"/>
        <v>150500</v>
      </c>
      <c r="K1356" s="4" t="str">
        <f t="shared" si="64"/>
        <v>2024-03</v>
      </c>
      <c r="L1356" s="4" t="str">
        <f t="shared" si="65"/>
        <v>토</v>
      </c>
      <c r="M1356" s="2" t="str">
        <f>VLOOKUP($C1356, 고객정보!$A$2:$E$151, 2, FALSE)</f>
        <v>서울</v>
      </c>
      <c r="N1356" t="str">
        <f>VLOOKUP(C1356,고객정보!$A$2:$D$151,4,FALSE)</f>
        <v>L4</v>
      </c>
      <c r="O1356" t="str">
        <f>VLOOKUP($C1356, 고객정보!$A$2:$E$151, 5, FALSE)</f>
        <v>40대</v>
      </c>
      <c r="P1356" t="str">
        <f>VLOOKUP(D1356,상품정보!$A$2:$E$61,2,FALSE)</f>
        <v>핸드폰케이스</v>
      </c>
      <c r="Q1356" t="str">
        <f>VLOOKUP(D1356,상품정보!$A$2:$D$151,3,FALSE)</f>
        <v>액세서리</v>
      </c>
      <c r="R1356" t="str">
        <f>VLOOKUP(D1356,상품정보!$A$2:$D$151,4,FALSE)</f>
        <v>브랜드B</v>
      </c>
    </row>
    <row r="1357" spans="1:18" x14ac:dyDescent="0.45">
      <c r="A1357" t="s">
        <v>207</v>
      </c>
      <c r="B1357" t="s">
        <v>1756</v>
      </c>
      <c r="C1357" t="s">
        <v>2481</v>
      </c>
      <c r="D1357" t="s">
        <v>2584</v>
      </c>
      <c r="E1357">
        <v>4</v>
      </c>
      <c r="F1357">
        <v>59700</v>
      </c>
      <c r="G1357">
        <v>0</v>
      </c>
      <c r="H1357">
        <v>1600</v>
      </c>
      <c r="I1357" t="s">
        <v>2614</v>
      </c>
      <c r="J1357" s="4">
        <f t="shared" si="63"/>
        <v>237200</v>
      </c>
      <c r="K1357" s="4" t="str">
        <f t="shared" si="64"/>
        <v>2024-08</v>
      </c>
      <c r="L1357" s="4" t="str">
        <f t="shared" si="65"/>
        <v>토</v>
      </c>
      <c r="M1357" s="2" t="str">
        <f>VLOOKUP($C1357, 고객정보!$A$2:$E$151, 2, FALSE)</f>
        <v>부산</v>
      </c>
      <c r="N1357" t="str">
        <f>VLOOKUP(C1357,고객정보!$A$2:$D$151,4,FALSE)</f>
        <v>L5</v>
      </c>
      <c r="O1357" t="str">
        <f>VLOOKUP($C1357, 고객정보!$A$2:$E$151, 5, FALSE)</f>
        <v>20대</v>
      </c>
      <c r="P1357" t="str">
        <f>VLOOKUP(D1357,상품정보!$A$2:$E$61,2,FALSE)</f>
        <v>목걸이</v>
      </c>
      <c r="Q1357" t="str">
        <f>VLOOKUP(D1357,상품정보!$A$2:$D$151,3,FALSE)</f>
        <v>액세서리</v>
      </c>
      <c r="R1357" t="str">
        <f>VLOOKUP(D1357,상품정보!$A$2:$D$151,4,FALSE)</f>
        <v>브랜드B</v>
      </c>
    </row>
    <row r="1358" spans="1:18" x14ac:dyDescent="0.45">
      <c r="A1358" t="s">
        <v>258</v>
      </c>
      <c r="B1358" t="s">
        <v>1757</v>
      </c>
      <c r="C1358" t="s">
        <v>2457</v>
      </c>
      <c r="D1358" t="s">
        <v>2603</v>
      </c>
      <c r="E1358">
        <v>3</v>
      </c>
      <c r="F1358">
        <v>8200</v>
      </c>
      <c r="G1358">
        <v>0</v>
      </c>
      <c r="H1358">
        <v>2300</v>
      </c>
      <c r="I1358" t="s">
        <v>2612</v>
      </c>
      <c r="J1358" s="4">
        <f t="shared" si="63"/>
        <v>22300</v>
      </c>
      <c r="K1358" s="4" t="str">
        <f t="shared" si="64"/>
        <v>2024-09</v>
      </c>
      <c r="L1358" s="4" t="str">
        <f t="shared" si="65"/>
        <v>금</v>
      </c>
      <c r="M1358" s="2" t="str">
        <f>VLOOKUP($C1358, 고객정보!$A$2:$E$151, 2, FALSE)</f>
        <v>인천</v>
      </c>
      <c r="N1358" t="str">
        <f>VLOOKUP(C1358,고객정보!$A$2:$D$151,4,FALSE)</f>
        <v>L4</v>
      </c>
      <c r="O1358" t="str">
        <f>VLOOKUP($C1358, 고객정보!$A$2:$E$151, 5, FALSE)</f>
        <v>50대 이상</v>
      </c>
      <c r="P1358" t="str">
        <f>VLOOKUP(D1358,상품정보!$A$2:$E$61,2,FALSE)</f>
        <v>목걸이</v>
      </c>
      <c r="Q1358" t="str">
        <f>VLOOKUP(D1358,상품정보!$A$2:$D$151,3,FALSE)</f>
        <v>액세서리</v>
      </c>
      <c r="R1358" t="str">
        <f>VLOOKUP(D1358,상품정보!$A$2:$D$151,4,FALSE)</f>
        <v>브랜드E</v>
      </c>
    </row>
    <row r="1359" spans="1:18" x14ac:dyDescent="0.45">
      <c r="A1359" t="s">
        <v>172</v>
      </c>
      <c r="B1359" t="s">
        <v>1758</v>
      </c>
      <c r="C1359" t="s">
        <v>2472</v>
      </c>
      <c r="D1359" t="s">
        <v>2591</v>
      </c>
      <c r="E1359">
        <v>2</v>
      </c>
      <c r="F1359">
        <v>69200</v>
      </c>
      <c r="G1359">
        <v>500</v>
      </c>
      <c r="H1359">
        <v>0</v>
      </c>
      <c r="I1359" t="s">
        <v>2652</v>
      </c>
      <c r="J1359" s="4">
        <f t="shared" si="63"/>
        <v>138900</v>
      </c>
      <c r="K1359" s="4" t="str">
        <f t="shared" si="64"/>
        <v>2024-11</v>
      </c>
      <c r="L1359" s="4" t="str">
        <f t="shared" si="65"/>
        <v>화</v>
      </c>
      <c r="M1359" s="2" t="str">
        <f>VLOOKUP($C1359, 고객정보!$A$2:$E$151, 2, FALSE)</f>
        <v>서울</v>
      </c>
      <c r="N1359" t="str">
        <f>VLOOKUP(C1359,고객정보!$A$2:$D$151,4,FALSE)</f>
        <v>L1</v>
      </c>
      <c r="O1359" t="str">
        <f>VLOOKUP($C1359, 고객정보!$A$2:$E$151, 5, FALSE)</f>
        <v>20대</v>
      </c>
      <c r="P1359" t="str">
        <f>VLOOKUP(D1359,상품정보!$A$2:$E$61,2,FALSE)</f>
        <v>셔츠</v>
      </c>
      <c r="Q1359" t="str">
        <f>VLOOKUP(D1359,상품정보!$A$2:$D$151,3,FALSE)</f>
        <v>의류</v>
      </c>
      <c r="R1359" t="str">
        <f>VLOOKUP(D1359,상품정보!$A$2:$D$151,4,FALSE)</f>
        <v>브랜드F</v>
      </c>
    </row>
    <row r="1360" spans="1:18" x14ac:dyDescent="0.45">
      <c r="A1360" t="s">
        <v>35</v>
      </c>
      <c r="B1360" t="s">
        <v>1759</v>
      </c>
      <c r="C1360" t="s">
        <v>2414</v>
      </c>
      <c r="D1360" t="s">
        <v>2569</v>
      </c>
      <c r="E1360">
        <v>3</v>
      </c>
      <c r="F1360">
        <v>11400</v>
      </c>
      <c r="G1360">
        <v>1000</v>
      </c>
      <c r="H1360">
        <v>0</v>
      </c>
      <c r="I1360" t="s">
        <v>2652</v>
      </c>
      <c r="J1360" s="4">
        <f t="shared" si="63"/>
        <v>35200</v>
      </c>
      <c r="K1360" s="4" t="str">
        <f t="shared" si="64"/>
        <v>2024-03</v>
      </c>
      <c r="L1360" s="4" t="str">
        <f t="shared" si="65"/>
        <v>화</v>
      </c>
      <c r="M1360" s="2" t="str">
        <f>VLOOKUP($C1360, 고객정보!$A$2:$E$151, 2, FALSE)</f>
        <v>대구</v>
      </c>
      <c r="N1360" t="str">
        <f>VLOOKUP(C1360,고객정보!$A$2:$D$151,4,FALSE)</f>
        <v>L3</v>
      </c>
      <c r="O1360" t="str">
        <f>VLOOKUP($C1360, 고객정보!$A$2:$E$151, 5, FALSE)</f>
        <v>30대</v>
      </c>
      <c r="P1360" t="str">
        <f>VLOOKUP(D1360,상품정보!$A$2:$E$61,2,FALSE)</f>
        <v>귀걸이</v>
      </c>
      <c r="Q1360" t="str">
        <f>VLOOKUP(D1360,상품정보!$A$2:$D$151,3,FALSE)</f>
        <v>액세서리</v>
      </c>
      <c r="R1360" t="str">
        <f>VLOOKUP(D1360,상품정보!$A$2:$D$151,4,FALSE)</f>
        <v>브랜드E</v>
      </c>
    </row>
    <row r="1361" spans="1:18" x14ac:dyDescent="0.45">
      <c r="A1361" t="s">
        <v>291</v>
      </c>
      <c r="B1361" t="s">
        <v>1760</v>
      </c>
      <c r="C1361" t="s">
        <v>2436</v>
      </c>
      <c r="D1361" t="s">
        <v>2555</v>
      </c>
      <c r="E1361">
        <v>3</v>
      </c>
      <c r="F1361">
        <v>8300</v>
      </c>
      <c r="G1361">
        <v>0</v>
      </c>
      <c r="H1361">
        <v>0</v>
      </c>
      <c r="I1361" t="s">
        <v>2652</v>
      </c>
      <c r="J1361" s="4">
        <f t="shared" si="63"/>
        <v>24900</v>
      </c>
      <c r="K1361" s="4" t="str">
        <f t="shared" si="64"/>
        <v>2025-01</v>
      </c>
      <c r="L1361" s="4" t="str">
        <f t="shared" si="65"/>
        <v>금</v>
      </c>
      <c r="M1361" s="2" t="str">
        <f>VLOOKUP($C1361, 고객정보!$A$2:$E$151, 2, FALSE)</f>
        <v>인천</v>
      </c>
      <c r="N1361" t="str">
        <f>VLOOKUP(C1361,고객정보!$A$2:$D$151,4,FALSE)</f>
        <v>L4</v>
      </c>
      <c r="O1361" t="str">
        <f>VLOOKUP($C1361, 고객정보!$A$2:$E$151, 5, FALSE)</f>
        <v>10대</v>
      </c>
      <c r="P1361" t="str">
        <f>VLOOKUP(D1361,상품정보!$A$2:$E$61,2,FALSE)</f>
        <v>청바지</v>
      </c>
      <c r="Q1361" t="str">
        <f>VLOOKUP(D1361,상품정보!$A$2:$D$151,3,FALSE)</f>
        <v>의류</v>
      </c>
      <c r="R1361" t="str">
        <f>VLOOKUP(D1361,상품정보!$A$2:$D$151,4,FALSE)</f>
        <v>브랜드E</v>
      </c>
    </row>
    <row r="1362" spans="1:18" x14ac:dyDescent="0.45">
      <c r="A1362" t="s">
        <v>285</v>
      </c>
      <c r="B1362" t="s">
        <v>1761</v>
      </c>
      <c r="C1362" t="s">
        <v>2532</v>
      </c>
      <c r="D1362" t="s">
        <v>2586</v>
      </c>
      <c r="E1362">
        <v>1</v>
      </c>
      <c r="F1362">
        <v>73000</v>
      </c>
      <c r="G1362">
        <v>1500</v>
      </c>
      <c r="H1362">
        <v>2000</v>
      </c>
      <c r="I1362" t="s">
        <v>2614</v>
      </c>
      <c r="J1362" s="4">
        <f t="shared" si="63"/>
        <v>72500</v>
      </c>
      <c r="K1362" s="4" t="str">
        <f t="shared" si="64"/>
        <v>2024-01</v>
      </c>
      <c r="L1362" s="4" t="str">
        <f t="shared" si="65"/>
        <v>수</v>
      </c>
      <c r="M1362" s="2" t="str">
        <f>VLOOKUP($C1362, 고객정보!$A$2:$E$151, 2, FALSE)</f>
        <v>서울</v>
      </c>
      <c r="N1362" t="str">
        <f>VLOOKUP(C1362,고객정보!$A$2:$D$151,4,FALSE)</f>
        <v>L2</v>
      </c>
      <c r="O1362" t="str">
        <f>VLOOKUP($C1362, 고객정보!$A$2:$E$151, 5, FALSE)</f>
        <v>50대 이상</v>
      </c>
      <c r="P1362" t="str">
        <f>VLOOKUP(D1362,상품정보!$A$2:$E$61,2,FALSE)</f>
        <v>귀걸이</v>
      </c>
      <c r="Q1362" t="str">
        <f>VLOOKUP(D1362,상품정보!$A$2:$D$151,3,FALSE)</f>
        <v>액세서리</v>
      </c>
      <c r="R1362" t="str">
        <f>VLOOKUP(D1362,상품정보!$A$2:$D$151,4,FALSE)</f>
        <v>브랜드B</v>
      </c>
    </row>
    <row r="1363" spans="1:18" x14ac:dyDescent="0.45">
      <c r="A1363" t="s">
        <v>379</v>
      </c>
      <c r="B1363" t="s">
        <v>1762</v>
      </c>
      <c r="C1363" t="s">
        <v>2439</v>
      </c>
      <c r="D1363" t="s">
        <v>2601</v>
      </c>
      <c r="E1363">
        <v>1</v>
      </c>
      <c r="F1363">
        <v>17000</v>
      </c>
      <c r="G1363">
        <v>0</v>
      </c>
      <c r="H1363">
        <v>0</v>
      </c>
      <c r="I1363" t="s">
        <v>2652</v>
      </c>
      <c r="J1363" s="4">
        <f t="shared" si="63"/>
        <v>17000</v>
      </c>
      <c r="K1363" s="4" t="str">
        <f t="shared" si="64"/>
        <v>2024-10</v>
      </c>
      <c r="L1363" s="4" t="str">
        <f t="shared" si="65"/>
        <v>목</v>
      </c>
      <c r="M1363" s="2" t="str">
        <f>VLOOKUP($C1363, 고객정보!$A$2:$E$151, 2, FALSE)</f>
        <v>대구</v>
      </c>
      <c r="N1363" t="str">
        <f>VLOOKUP(C1363,고객정보!$A$2:$D$151,4,FALSE)</f>
        <v>L3</v>
      </c>
      <c r="O1363" t="str">
        <f>VLOOKUP($C1363, 고객정보!$A$2:$E$151, 5, FALSE)</f>
        <v>30대</v>
      </c>
      <c r="P1363" t="str">
        <f>VLOOKUP(D1363,상품정보!$A$2:$E$61,2,FALSE)</f>
        <v>자켓</v>
      </c>
      <c r="Q1363" t="str">
        <f>VLOOKUP(D1363,상품정보!$A$2:$D$151,3,FALSE)</f>
        <v>의류</v>
      </c>
      <c r="R1363" t="str">
        <f>VLOOKUP(D1363,상품정보!$A$2:$D$151,4,FALSE)</f>
        <v>브랜드E</v>
      </c>
    </row>
    <row r="1364" spans="1:18" x14ac:dyDescent="0.45">
      <c r="A1364" t="s">
        <v>167</v>
      </c>
      <c r="B1364" t="s">
        <v>1763</v>
      </c>
      <c r="C1364" t="s">
        <v>2465</v>
      </c>
      <c r="D1364" t="s">
        <v>2575</v>
      </c>
      <c r="E1364">
        <v>5</v>
      </c>
      <c r="F1364">
        <v>7200</v>
      </c>
      <c r="G1364">
        <v>0</v>
      </c>
      <c r="H1364">
        <v>0</v>
      </c>
      <c r="I1364" t="s">
        <v>2652</v>
      </c>
      <c r="J1364" s="4">
        <f t="shared" si="63"/>
        <v>36000</v>
      </c>
      <c r="K1364" s="4" t="str">
        <f t="shared" si="64"/>
        <v>2024-04</v>
      </c>
      <c r="L1364" s="4" t="str">
        <f t="shared" si="65"/>
        <v>목</v>
      </c>
      <c r="M1364" s="2" t="str">
        <f>VLOOKUP($C1364, 고객정보!$A$2:$E$151, 2, FALSE)</f>
        <v>서울</v>
      </c>
      <c r="N1364" t="str">
        <f>VLOOKUP(C1364,고객정보!$A$2:$D$151,4,FALSE)</f>
        <v>L1</v>
      </c>
      <c r="O1364" t="str">
        <f>VLOOKUP($C1364, 고객정보!$A$2:$E$151, 5, FALSE)</f>
        <v>20대</v>
      </c>
      <c r="P1364" t="str">
        <f>VLOOKUP(D1364,상품정보!$A$2:$E$61,2,FALSE)</f>
        <v>반지</v>
      </c>
      <c r="Q1364" t="str">
        <f>VLOOKUP(D1364,상품정보!$A$2:$D$151,3,FALSE)</f>
        <v>액세서리</v>
      </c>
      <c r="R1364" t="str">
        <f>VLOOKUP(D1364,상품정보!$A$2:$D$151,4,FALSE)</f>
        <v>브랜드E</v>
      </c>
    </row>
    <row r="1365" spans="1:18" x14ac:dyDescent="0.45">
      <c r="A1365" t="s">
        <v>196</v>
      </c>
      <c r="B1365" t="s">
        <v>1764</v>
      </c>
      <c r="C1365" t="s">
        <v>2483</v>
      </c>
      <c r="D1365" t="s">
        <v>2562</v>
      </c>
      <c r="E1365">
        <v>3</v>
      </c>
      <c r="F1365">
        <v>15600</v>
      </c>
      <c r="G1365">
        <v>0</v>
      </c>
      <c r="H1365">
        <v>0</v>
      </c>
      <c r="I1365" t="s">
        <v>2652</v>
      </c>
      <c r="J1365" s="4">
        <f t="shared" si="63"/>
        <v>46800</v>
      </c>
      <c r="K1365" s="4" t="str">
        <f t="shared" si="64"/>
        <v>2024-10</v>
      </c>
      <c r="L1365" s="4" t="str">
        <f t="shared" si="65"/>
        <v>토</v>
      </c>
      <c r="M1365" s="2" t="str">
        <f>VLOOKUP($C1365, 고객정보!$A$2:$E$151, 2, FALSE)</f>
        <v>인천</v>
      </c>
      <c r="N1365" t="str">
        <f>VLOOKUP(C1365,고객정보!$A$2:$D$151,4,FALSE)</f>
        <v>L1</v>
      </c>
      <c r="O1365" t="str">
        <f>VLOOKUP($C1365, 고객정보!$A$2:$E$151, 5, FALSE)</f>
        <v>30대</v>
      </c>
      <c r="P1365" t="str">
        <f>VLOOKUP(D1365,상품정보!$A$2:$E$61,2,FALSE)</f>
        <v>반팔 티셔츠</v>
      </c>
      <c r="Q1365" t="str">
        <f>VLOOKUP(D1365,상품정보!$A$2:$D$151,3,FALSE)</f>
        <v>의류</v>
      </c>
      <c r="R1365" t="str">
        <f>VLOOKUP(D1365,상품정보!$A$2:$D$151,4,FALSE)</f>
        <v>브랜드E</v>
      </c>
    </row>
    <row r="1366" spans="1:18" x14ac:dyDescent="0.45">
      <c r="A1366" t="s">
        <v>233</v>
      </c>
      <c r="B1366" t="s">
        <v>1765</v>
      </c>
      <c r="C1366" t="s">
        <v>2502</v>
      </c>
      <c r="D1366" t="s">
        <v>2608</v>
      </c>
      <c r="E1366">
        <v>2</v>
      </c>
      <c r="F1366">
        <v>10600</v>
      </c>
      <c r="G1366">
        <v>1500</v>
      </c>
      <c r="H1366">
        <v>5000</v>
      </c>
      <c r="I1366" t="s">
        <v>2614</v>
      </c>
      <c r="J1366" s="4">
        <f t="shared" si="63"/>
        <v>17700</v>
      </c>
      <c r="K1366" s="4" t="str">
        <f t="shared" si="64"/>
        <v>2024-07</v>
      </c>
      <c r="L1366" s="4" t="str">
        <f t="shared" si="65"/>
        <v>토</v>
      </c>
      <c r="M1366" s="2" t="str">
        <f>VLOOKUP($C1366, 고객정보!$A$2:$E$151, 2, FALSE)</f>
        <v>부산</v>
      </c>
      <c r="N1366" t="str">
        <f>VLOOKUP(C1366,고객정보!$A$2:$D$151,4,FALSE)</f>
        <v>L4</v>
      </c>
      <c r="O1366" t="str">
        <f>VLOOKUP($C1366, 고객정보!$A$2:$E$151, 5, FALSE)</f>
        <v>20대</v>
      </c>
      <c r="P1366" t="str">
        <f>VLOOKUP(D1366,상품정보!$A$2:$E$61,2,FALSE)</f>
        <v>셔츠</v>
      </c>
      <c r="Q1366" t="str">
        <f>VLOOKUP(D1366,상품정보!$A$2:$D$151,3,FALSE)</f>
        <v>의류</v>
      </c>
      <c r="R1366" t="str">
        <f>VLOOKUP(D1366,상품정보!$A$2:$D$151,4,FALSE)</f>
        <v>브랜드D</v>
      </c>
    </row>
    <row r="1367" spans="1:18" x14ac:dyDescent="0.45">
      <c r="A1367" t="s">
        <v>291</v>
      </c>
      <c r="B1367" t="s">
        <v>1766</v>
      </c>
      <c r="C1367" t="s">
        <v>2540</v>
      </c>
      <c r="D1367" t="s">
        <v>2607</v>
      </c>
      <c r="E1367">
        <v>5</v>
      </c>
      <c r="F1367">
        <v>16000</v>
      </c>
      <c r="G1367">
        <v>0</v>
      </c>
      <c r="H1367">
        <v>0</v>
      </c>
      <c r="I1367" t="s">
        <v>2652</v>
      </c>
      <c r="J1367" s="4">
        <f t="shared" si="63"/>
        <v>80000</v>
      </c>
      <c r="K1367" s="4" t="str">
        <f t="shared" si="64"/>
        <v>2025-01</v>
      </c>
      <c r="L1367" s="4" t="str">
        <f t="shared" si="65"/>
        <v>금</v>
      </c>
      <c r="M1367" s="2" t="str">
        <f>VLOOKUP($C1367, 고객정보!$A$2:$E$151, 2, FALSE)</f>
        <v>서울</v>
      </c>
      <c r="N1367" t="str">
        <f>VLOOKUP(C1367,고객정보!$A$2:$D$151,4,FALSE)</f>
        <v>L4</v>
      </c>
      <c r="O1367" t="str">
        <f>VLOOKUP($C1367, 고객정보!$A$2:$E$151, 5, FALSE)</f>
        <v>50대 이상</v>
      </c>
      <c r="P1367" t="str">
        <f>VLOOKUP(D1367,상품정보!$A$2:$E$61,2,FALSE)</f>
        <v>목걸이</v>
      </c>
      <c r="Q1367" t="str">
        <f>VLOOKUP(D1367,상품정보!$A$2:$D$151,3,FALSE)</f>
        <v>액세서리</v>
      </c>
      <c r="R1367" t="str">
        <f>VLOOKUP(D1367,상품정보!$A$2:$D$151,4,FALSE)</f>
        <v>브랜드E</v>
      </c>
    </row>
    <row r="1368" spans="1:18" x14ac:dyDescent="0.45">
      <c r="A1368" t="s">
        <v>261</v>
      </c>
      <c r="B1368" t="s">
        <v>1767</v>
      </c>
      <c r="C1368" t="s">
        <v>2417</v>
      </c>
      <c r="D1368" t="s">
        <v>2552</v>
      </c>
      <c r="E1368">
        <v>4</v>
      </c>
      <c r="F1368">
        <v>13300</v>
      </c>
      <c r="G1368">
        <v>0</v>
      </c>
      <c r="H1368">
        <v>5800</v>
      </c>
      <c r="I1368" t="s">
        <v>2612</v>
      </c>
      <c r="J1368" s="4">
        <f t="shared" si="63"/>
        <v>47400</v>
      </c>
      <c r="K1368" s="4" t="str">
        <f t="shared" si="64"/>
        <v>2024-09</v>
      </c>
      <c r="L1368" s="4" t="str">
        <f t="shared" si="65"/>
        <v>금</v>
      </c>
      <c r="M1368" s="2" t="str">
        <f>VLOOKUP($C1368, 고객정보!$A$2:$E$151, 2, FALSE)</f>
        <v>인천</v>
      </c>
      <c r="N1368" t="str">
        <f>VLOOKUP(C1368,고객정보!$A$2:$D$151,4,FALSE)</f>
        <v>L1</v>
      </c>
      <c r="O1368" t="str">
        <f>VLOOKUP($C1368, 고객정보!$A$2:$E$151, 5, FALSE)</f>
        <v>30대</v>
      </c>
      <c r="P1368" t="str">
        <f>VLOOKUP(D1368,상품정보!$A$2:$E$61,2,FALSE)</f>
        <v>셔츠</v>
      </c>
      <c r="Q1368" t="str">
        <f>VLOOKUP(D1368,상품정보!$A$2:$D$151,3,FALSE)</f>
        <v>의류</v>
      </c>
      <c r="R1368" t="str">
        <f>VLOOKUP(D1368,상품정보!$A$2:$D$151,4,FALSE)</f>
        <v>브랜드E</v>
      </c>
    </row>
    <row r="1369" spans="1:18" x14ac:dyDescent="0.45">
      <c r="A1369" t="s">
        <v>99</v>
      </c>
      <c r="B1369" t="s">
        <v>1768</v>
      </c>
      <c r="C1369" t="s">
        <v>2484</v>
      </c>
      <c r="D1369" t="s">
        <v>2553</v>
      </c>
      <c r="E1369">
        <v>4</v>
      </c>
      <c r="F1369">
        <v>63400</v>
      </c>
      <c r="G1369">
        <v>0</v>
      </c>
      <c r="H1369">
        <v>3800</v>
      </c>
      <c r="I1369" t="s">
        <v>2613</v>
      </c>
      <c r="J1369" s="4">
        <f t="shared" si="63"/>
        <v>249800</v>
      </c>
      <c r="K1369" s="4" t="str">
        <f t="shared" si="64"/>
        <v>2024-07</v>
      </c>
      <c r="L1369" s="4" t="str">
        <f t="shared" si="65"/>
        <v>금</v>
      </c>
      <c r="M1369" s="2" t="str">
        <f>VLOOKUP($C1369, 고객정보!$A$2:$E$151, 2, FALSE)</f>
        <v>부산</v>
      </c>
      <c r="N1369" t="str">
        <f>VLOOKUP(C1369,고객정보!$A$2:$D$151,4,FALSE)</f>
        <v>L5</v>
      </c>
      <c r="O1369" t="str">
        <f>VLOOKUP($C1369, 고객정보!$A$2:$E$151, 5, FALSE)</f>
        <v>20대</v>
      </c>
      <c r="P1369" t="str">
        <f>VLOOKUP(D1369,상품정보!$A$2:$E$61,2,FALSE)</f>
        <v>귀걸이</v>
      </c>
      <c r="Q1369" t="str">
        <f>VLOOKUP(D1369,상품정보!$A$2:$D$151,3,FALSE)</f>
        <v>액세서리</v>
      </c>
      <c r="R1369" t="str">
        <f>VLOOKUP(D1369,상품정보!$A$2:$D$151,4,FALSE)</f>
        <v>브랜드F</v>
      </c>
    </row>
    <row r="1370" spans="1:18" x14ac:dyDescent="0.45">
      <c r="A1370" t="s">
        <v>297</v>
      </c>
      <c r="B1370" t="s">
        <v>1769</v>
      </c>
      <c r="C1370" t="s">
        <v>2519</v>
      </c>
      <c r="D1370" t="s">
        <v>2594</v>
      </c>
      <c r="E1370">
        <v>2</v>
      </c>
      <c r="F1370">
        <v>73000</v>
      </c>
      <c r="G1370">
        <v>500</v>
      </c>
      <c r="H1370">
        <v>0</v>
      </c>
      <c r="I1370" t="s">
        <v>2652</v>
      </c>
      <c r="J1370" s="4">
        <f t="shared" si="63"/>
        <v>146500</v>
      </c>
      <c r="K1370" s="4" t="str">
        <f t="shared" si="64"/>
        <v>2024-11</v>
      </c>
      <c r="L1370" s="4" t="str">
        <f t="shared" si="65"/>
        <v>일</v>
      </c>
      <c r="M1370" s="2" t="str">
        <f>VLOOKUP($C1370, 고객정보!$A$2:$E$151, 2, FALSE)</f>
        <v>서울</v>
      </c>
      <c r="N1370" t="str">
        <f>VLOOKUP(C1370,고객정보!$A$2:$D$151,4,FALSE)</f>
        <v>L4</v>
      </c>
      <c r="O1370" t="str">
        <f>VLOOKUP($C1370, 고객정보!$A$2:$E$151, 5, FALSE)</f>
        <v>20대</v>
      </c>
      <c r="P1370" t="str">
        <f>VLOOKUP(D1370,상품정보!$A$2:$E$61,2,FALSE)</f>
        <v>자켓</v>
      </c>
      <c r="Q1370" t="str">
        <f>VLOOKUP(D1370,상품정보!$A$2:$D$151,3,FALSE)</f>
        <v>의류</v>
      </c>
      <c r="R1370" t="str">
        <f>VLOOKUP(D1370,상품정보!$A$2:$D$151,4,FALSE)</f>
        <v>브랜드A</v>
      </c>
    </row>
    <row r="1371" spans="1:18" x14ac:dyDescent="0.45">
      <c r="A1371" t="s">
        <v>35</v>
      </c>
      <c r="B1371" t="s">
        <v>1770</v>
      </c>
      <c r="C1371" t="s">
        <v>2499</v>
      </c>
      <c r="D1371" t="s">
        <v>2557</v>
      </c>
      <c r="E1371">
        <v>5</v>
      </c>
      <c r="F1371">
        <v>77700</v>
      </c>
      <c r="G1371">
        <v>500</v>
      </c>
      <c r="H1371">
        <v>0</v>
      </c>
      <c r="I1371" t="s">
        <v>2652</v>
      </c>
      <c r="J1371" s="4">
        <f t="shared" si="63"/>
        <v>389000</v>
      </c>
      <c r="K1371" s="4" t="str">
        <f t="shared" si="64"/>
        <v>2024-03</v>
      </c>
      <c r="L1371" s="4" t="str">
        <f t="shared" si="65"/>
        <v>화</v>
      </c>
      <c r="M1371" s="2" t="str">
        <f>VLOOKUP($C1371, 고객정보!$A$2:$E$151, 2, FALSE)</f>
        <v>서울</v>
      </c>
      <c r="N1371" t="str">
        <f>VLOOKUP(C1371,고객정보!$A$2:$D$151,4,FALSE)</f>
        <v>L2</v>
      </c>
      <c r="O1371" t="str">
        <f>VLOOKUP($C1371, 고객정보!$A$2:$E$151, 5, FALSE)</f>
        <v>40대</v>
      </c>
      <c r="P1371" t="str">
        <f>VLOOKUP(D1371,상품정보!$A$2:$E$61,2,FALSE)</f>
        <v>귀걸이</v>
      </c>
      <c r="Q1371" t="str">
        <f>VLOOKUP(D1371,상품정보!$A$2:$D$151,3,FALSE)</f>
        <v>액세서리</v>
      </c>
      <c r="R1371" t="str">
        <f>VLOOKUP(D1371,상품정보!$A$2:$D$151,4,FALSE)</f>
        <v>브랜드B</v>
      </c>
    </row>
    <row r="1372" spans="1:18" x14ac:dyDescent="0.45">
      <c r="A1372" t="s">
        <v>84</v>
      </c>
      <c r="B1372" t="s">
        <v>1771</v>
      </c>
      <c r="C1372" t="s">
        <v>2457</v>
      </c>
      <c r="D1372" t="s">
        <v>2566</v>
      </c>
      <c r="E1372">
        <v>2</v>
      </c>
      <c r="F1372">
        <v>60600</v>
      </c>
      <c r="G1372">
        <v>0</v>
      </c>
      <c r="H1372">
        <v>4000</v>
      </c>
      <c r="I1372" t="s">
        <v>2611</v>
      </c>
      <c r="J1372" s="4">
        <f t="shared" si="63"/>
        <v>117200</v>
      </c>
      <c r="K1372" s="4" t="str">
        <f t="shared" si="64"/>
        <v>2024-10</v>
      </c>
      <c r="L1372" s="4" t="str">
        <f t="shared" si="65"/>
        <v>수</v>
      </c>
      <c r="M1372" s="2" t="str">
        <f>VLOOKUP($C1372, 고객정보!$A$2:$E$151, 2, FALSE)</f>
        <v>인천</v>
      </c>
      <c r="N1372" t="str">
        <f>VLOOKUP(C1372,고객정보!$A$2:$D$151,4,FALSE)</f>
        <v>L4</v>
      </c>
      <c r="O1372" t="str">
        <f>VLOOKUP($C1372, 고객정보!$A$2:$E$151, 5, FALSE)</f>
        <v>50대 이상</v>
      </c>
      <c r="P1372" t="str">
        <f>VLOOKUP(D1372,상품정보!$A$2:$E$61,2,FALSE)</f>
        <v>반팔 티셔츠</v>
      </c>
      <c r="Q1372" t="str">
        <f>VLOOKUP(D1372,상품정보!$A$2:$D$151,3,FALSE)</f>
        <v>의류</v>
      </c>
      <c r="R1372" t="str">
        <f>VLOOKUP(D1372,상품정보!$A$2:$D$151,4,FALSE)</f>
        <v>브랜드A</v>
      </c>
    </row>
    <row r="1373" spans="1:18" x14ac:dyDescent="0.45">
      <c r="A1373" t="s">
        <v>119</v>
      </c>
      <c r="B1373" t="s">
        <v>1772</v>
      </c>
      <c r="C1373" t="s">
        <v>2500</v>
      </c>
      <c r="D1373" t="s">
        <v>2567</v>
      </c>
      <c r="E1373">
        <v>2</v>
      </c>
      <c r="F1373">
        <v>58600</v>
      </c>
      <c r="G1373">
        <v>0</v>
      </c>
      <c r="H1373">
        <v>0</v>
      </c>
      <c r="I1373" t="s">
        <v>2652</v>
      </c>
      <c r="J1373" s="4">
        <f t="shared" si="63"/>
        <v>117200</v>
      </c>
      <c r="K1373" s="4" t="str">
        <f t="shared" si="64"/>
        <v>2025-01</v>
      </c>
      <c r="L1373" s="4" t="str">
        <f t="shared" si="65"/>
        <v>토</v>
      </c>
      <c r="M1373" s="2" t="str">
        <f>VLOOKUP($C1373, 고객정보!$A$2:$E$151, 2, FALSE)</f>
        <v>서울</v>
      </c>
      <c r="N1373" t="str">
        <f>VLOOKUP(C1373,고객정보!$A$2:$D$151,4,FALSE)</f>
        <v>L3</v>
      </c>
      <c r="O1373" t="str">
        <f>VLOOKUP($C1373, 고객정보!$A$2:$E$151, 5, FALSE)</f>
        <v>20대</v>
      </c>
      <c r="P1373" t="str">
        <f>VLOOKUP(D1373,상품정보!$A$2:$E$61,2,FALSE)</f>
        <v>귀걸이</v>
      </c>
      <c r="Q1373" t="str">
        <f>VLOOKUP(D1373,상품정보!$A$2:$D$151,3,FALSE)</f>
        <v>액세서리</v>
      </c>
      <c r="R1373" t="str">
        <f>VLOOKUP(D1373,상품정보!$A$2:$D$151,4,FALSE)</f>
        <v>브랜드B</v>
      </c>
    </row>
    <row r="1374" spans="1:18" x14ac:dyDescent="0.45">
      <c r="A1374" t="s">
        <v>30</v>
      </c>
      <c r="B1374" t="s">
        <v>1773</v>
      </c>
      <c r="C1374" t="s">
        <v>2545</v>
      </c>
      <c r="D1374" t="s">
        <v>2603</v>
      </c>
      <c r="E1374">
        <v>1</v>
      </c>
      <c r="F1374">
        <v>8200</v>
      </c>
      <c r="G1374">
        <v>0</v>
      </c>
      <c r="H1374">
        <v>600</v>
      </c>
      <c r="I1374" t="s">
        <v>2613</v>
      </c>
      <c r="J1374" s="4">
        <f t="shared" si="63"/>
        <v>7600</v>
      </c>
      <c r="K1374" s="4" t="str">
        <f t="shared" si="64"/>
        <v>2024-04</v>
      </c>
      <c r="L1374" s="4" t="str">
        <f t="shared" si="65"/>
        <v>월</v>
      </c>
      <c r="M1374" s="2" t="str">
        <f>VLOOKUP($C1374, 고객정보!$A$2:$E$151, 2, FALSE)</f>
        <v>서울</v>
      </c>
      <c r="N1374" t="str">
        <f>VLOOKUP(C1374,고객정보!$A$2:$D$151,4,FALSE)</f>
        <v>L4</v>
      </c>
      <c r="O1374" t="str">
        <f>VLOOKUP($C1374, 고객정보!$A$2:$E$151, 5, FALSE)</f>
        <v>30대</v>
      </c>
      <c r="P1374" t="str">
        <f>VLOOKUP(D1374,상품정보!$A$2:$E$61,2,FALSE)</f>
        <v>목걸이</v>
      </c>
      <c r="Q1374" t="str">
        <f>VLOOKUP(D1374,상품정보!$A$2:$D$151,3,FALSE)</f>
        <v>액세서리</v>
      </c>
      <c r="R1374" t="str">
        <f>VLOOKUP(D1374,상품정보!$A$2:$D$151,4,FALSE)</f>
        <v>브랜드E</v>
      </c>
    </row>
    <row r="1375" spans="1:18" x14ac:dyDescent="0.45">
      <c r="A1375" t="s">
        <v>55</v>
      </c>
      <c r="B1375" t="s">
        <v>1774</v>
      </c>
      <c r="C1375" t="s">
        <v>2452</v>
      </c>
      <c r="D1375" t="s">
        <v>2607</v>
      </c>
      <c r="E1375">
        <v>1</v>
      </c>
      <c r="F1375">
        <v>16000</v>
      </c>
      <c r="G1375">
        <v>500</v>
      </c>
      <c r="H1375">
        <v>0</v>
      </c>
      <c r="I1375" t="s">
        <v>2652</v>
      </c>
      <c r="J1375" s="4">
        <f t="shared" si="63"/>
        <v>16500</v>
      </c>
      <c r="K1375" s="4" t="str">
        <f t="shared" si="64"/>
        <v>2024-05</v>
      </c>
      <c r="L1375" s="4" t="str">
        <f t="shared" si="65"/>
        <v>수</v>
      </c>
      <c r="M1375" s="2" t="str">
        <f>VLOOKUP($C1375, 고객정보!$A$2:$E$151, 2, FALSE)</f>
        <v>서울</v>
      </c>
      <c r="N1375" t="str">
        <f>VLOOKUP(C1375,고객정보!$A$2:$D$151,4,FALSE)</f>
        <v>L3</v>
      </c>
      <c r="O1375" t="str">
        <f>VLOOKUP($C1375, 고객정보!$A$2:$E$151, 5, FALSE)</f>
        <v>30대</v>
      </c>
      <c r="P1375" t="str">
        <f>VLOOKUP(D1375,상품정보!$A$2:$E$61,2,FALSE)</f>
        <v>목걸이</v>
      </c>
      <c r="Q1375" t="str">
        <f>VLOOKUP(D1375,상품정보!$A$2:$D$151,3,FALSE)</f>
        <v>액세서리</v>
      </c>
      <c r="R1375" t="str">
        <f>VLOOKUP(D1375,상품정보!$A$2:$D$151,4,FALSE)</f>
        <v>브랜드E</v>
      </c>
    </row>
    <row r="1376" spans="1:18" x14ac:dyDescent="0.45">
      <c r="A1376" t="s">
        <v>166</v>
      </c>
      <c r="B1376" t="s">
        <v>1775</v>
      </c>
      <c r="C1376" t="s">
        <v>2506</v>
      </c>
      <c r="D1376" t="s">
        <v>2607</v>
      </c>
      <c r="E1376">
        <v>1</v>
      </c>
      <c r="F1376">
        <v>16000</v>
      </c>
      <c r="G1376">
        <v>2000</v>
      </c>
      <c r="H1376">
        <v>0</v>
      </c>
      <c r="I1376" t="s">
        <v>2652</v>
      </c>
      <c r="J1376" s="4">
        <f t="shared" si="63"/>
        <v>18000</v>
      </c>
      <c r="K1376" s="4" t="str">
        <f t="shared" si="64"/>
        <v>2024-12</v>
      </c>
      <c r="L1376" s="4" t="str">
        <f t="shared" si="65"/>
        <v>일</v>
      </c>
      <c r="M1376" s="2" t="str">
        <f>VLOOKUP($C1376, 고객정보!$A$2:$E$151, 2, FALSE)</f>
        <v>광주</v>
      </c>
      <c r="N1376" t="str">
        <f>VLOOKUP(C1376,고객정보!$A$2:$D$151,4,FALSE)</f>
        <v>L2</v>
      </c>
      <c r="O1376" t="str">
        <f>VLOOKUP($C1376, 고객정보!$A$2:$E$151, 5, FALSE)</f>
        <v>50대 이상</v>
      </c>
      <c r="P1376" t="str">
        <f>VLOOKUP(D1376,상품정보!$A$2:$E$61,2,FALSE)</f>
        <v>목걸이</v>
      </c>
      <c r="Q1376" t="str">
        <f>VLOOKUP(D1376,상품정보!$A$2:$D$151,3,FALSE)</f>
        <v>액세서리</v>
      </c>
      <c r="R1376" t="str">
        <f>VLOOKUP(D1376,상품정보!$A$2:$D$151,4,FALSE)</f>
        <v>브랜드E</v>
      </c>
    </row>
    <row r="1377" spans="1:18" x14ac:dyDescent="0.45">
      <c r="A1377" t="s">
        <v>273</v>
      </c>
      <c r="B1377" t="s">
        <v>1776</v>
      </c>
      <c r="C1377" t="s">
        <v>2548</v>
      </c>
      <c r="D1377" t="s">
        <v>2578</v>
      </c>
      <c r="E1377">
        <v>3</v>
      </c>
      <c r="F1377">
        <v>78000</v>
      </c>
      <c r="G1377">
        <v>1500</v>
      </c>
      <c r="H1377">
        <v>1200</v>
      </c>
      <c r="I1377" t="s">
        <v>2613</v>
      </c>
      <c r="J1377" s="4">
        <f t="shared" si="63"/>
        <v>234300</v>
      </c>
      <c r="K1377" s="4" t="str">
        <f t="shared" si="64"/>
        <v>2024-07</v>
      </c>
      <c r="L1377" s="4" t="str">
        <f t="shared" si="65"/>
        <v>수</v>
      </c>
      <c r="M1377" s="2" t="str">
        <f>VLOOKUP($C1377, 고객정보!$A$2:$E$151, 2, FALSE)</f>
        <v>수원</v>
      </c>
      <c r="N1377" t="str">
        <f>VLOOKUP(C1377,고객정보!$A$2:$D$151,4,FALSE)</f>
        <v>L2</v>
      </c>
      <c r="O1377" t="str">
        <f>VLOOKUP($C1377, 고객정보!$A$2:$E$151, 5, FALSE)</f>
        <v>50대 이상</v>
      </c>
      <c r="P1377" t="str">
        <f>VLOOKUP(D1377,상품정보!$A$2:$E$61,2,FALSE)</f>
        <v>귀걸이</v>
      </c>
      <c r="Q1377" t="str">
        <f>VLOOKUP(D1377,상품정보!$A$2:$D$151,3,FALSE)</f>
        <v>액세서리</v>
      </c>
      <c r="R1377" t="str">
        <f>VLOOKUP(D1377,상품정보!$A$2:$D$151,4,FALSE)</f>
        <v>브랜드B</v>
      </c>
    </row>
    <row r="1378" spans="1:18" x14ac:dyDescent="0.45">
      <c r="A1378" t="s">
        <v>181</v>
      </c>
      <c r="B1378" t="s">
        <v>1777</v>
      </c>
      <c r="C1378" t="s">
        <v>2550</v>
      </c>
      <c r="D1378" t="s">
        <v>2582</v>
      </c>
      <c r="E1378">
        <v>4</v>
      </c>
      <c r="F1378">
        <v>12500</v>
      </c>
      <c r="G1378">
        <v>0</v>
      </c>
      <c r="H1378">
        <v>0</v>
      </c>
      <c r="I1378" t="s">
        <v>2652</v>
      </c>
      <c r="J1378" s="4">
        <f t="shared" si="63"/>
        <v>50000</v>
      </c>
      <c r="K1378" s="4" t="str">
        <f t="shared" si="64"/>
        <v>2024-01</v>
      </c>
      <c r="L1378" s="4" t="str">
        <f t="shared" si="65"/>
        <v>수</v>
      </c>
      <c r="M1378" s="2" t="str">
        <f>VLOOKUP($C1378, 고객정보!$A$2:$E$151, 2, FALSE)</f>
        <v>광주</v>
      </c>
      <c r="N1378" t="str">
        <f>VLOOKUP(C1378,고객정보!$A$2:$D$151,4,FALSE)</f>
        <v>L1</v>
      </c>
      <c r="O1378" t="str">
        <f>VLOOKUP($C1378, 고객정보!$A$2:$E$151, 5, FALSE)</f>
        <v>40대</v>
      </c>
      <c r="P1378" t="str">
        <f>VLOOKUP(D1378,상품정보!$A$2:$E$61,2,FALSE)</f>
        <v>셔츠</v>
      </c>
      <c r="Q1378" t="str">
        <f>VLOOKUP(D1378,상품정보!$A$2:$D$151,3,FALSE)</f>
        <v>의류</v>
      </c>
      <c r="R1378" t="str">
        <f>VLOOKUP(D1378,상품정보!$A$2:$D$151,4,FALSE)</f>
        <v>브랜드D</v>
      </c>
    </row>
    <row r="1379" spans="1:18" x14ac:dyDescent="0.45">
      <c r="A1379" t="s">
        <v>17</v>
      </c>
      <c r="B1379" t="s">
        <v>1778</v>
      </c>
      <c r="C1379" t="s">
        <v>2476</v>
      </c>
      <c r="D1379" t="s">
        <v>2593</v>
      </c>
      <c r="E1379">
        <v>3</v>
      </c>
      <c r="F1379">
        <v>74600</v>
      </c>
      <c r="G1379">
        <v>0</v>
      </c>
      <c r="H1379">
        <v>0</v>
      </c>
      <c r="I1379" t="s">
        <v>2652</v>
      </c>
      <c r="J1379" s="4">
        <f t="shared" si="63"/>
        <v>223800</v>
      </c>
      <c r="K1379" s="4" t="str">
        <f t="shared" si="64"/>
        <v>2024-02</v>
      </c>
      <c r="L1379" s="4" t="str">
        <f t="shared" si="65"/>
        <v>목</v>
      </c>
      <c r="M1379" s="2" t="str">
        <f>VLOOKUP($C1379, 고객정보!$A$2:$E$151, 2, FALSE)</f>
        <v>서울</v>
      </c>
      <c r="N1379" t="str">
        <f>VLOOKUP(C1379,고객정보!$A$2:$D$151,4,FALSE)</f>
        <v>L2</v>
      </c>
      <c r="O1379" t="str">
        <f>VLOOKUP($C1379, 고객정보!$A$2:$E$151, 5, FALSE)</f>
        <v>10대</v>
      </c>
      <c r="P1379" t="str">
        <f>VLOOKUP(D1379,상품정보!$A$2:$E$61,2,FALSE)</f>
        <v>반팔 티셔츠</v>
      </c>
      <c r="Q1379" t="str">
        <f>VLOOKUP(D1379,상품정보!$A$2:$D$151,3,FALSE)</f>
        <v>의류</v>
      </c>
      <c r="R1379" t="str">
        <f>VLOOKUP(D1379,상품정보!$A$2:$D$151,4,FALSE)</f>
        <v>브랜드B</v>
      </c>
    </row>
    <row r="1380" spans="1:18" x14ac:dyDescent="0.45">
      <c r="A1380" t="s">
        <v>255</v>
      </c>
      <c r="B1380" t="s">
        <v>1779</v>
      </c>
      <c r="C1380" t="s">
        <v>2468</v>
      </c>
      <c r="D1380" t="s">
        <v>2601</v>
      </c>
      <c r="E1380">
        <v>3</v>
      </c>
      <c r="F1380">
        <v>17000</v>
      </c>
      <c r="G1380">
        <v>0</v>
      </c>
      <c r="H1380">
        <v>0</v>
      </c>
      <c r="I1380" t="s">
        <v>2652</v>
      </c>
      <c r="J1380" s="4">
        <f t="shared" si="63"/>
        <v>51000</v>
      </c>
      <c r="K1380" s="4" t="str">
        <f t="shared" si="64"/>
        <v>2025-01</v>
      </c>
      <c r="L1380" s="4" t="str">
        <f t="shared" si="65"/>
        <v>화</v>
      </c>
      <c r="M1380" s="2" t="str">
        <f>VLOOKUP($C1380, 고객정보!$A$2:$E$151, 2, FALSE)</f>
        <v>부산</v>
      </c>
      <c r="N1380" t="str">
        <f>VLOOKUP(C1380,고객정보!$A$2:$D$151,4,FALSE)</f>
        <v>L5</v>
      </c>
      <c r="O1380" t="str">
        <f>VLOOKUP($C1380, 고객정보!$A$2:$E$151, 5, FALSE)</f>
        <v>20대</v>
      </c>
      <c r="P1380" t="str">
        <f>VLOOKUP(D1380,상품정보!$A$2:$E$61,2,FALSE)</f>
        <v>자켓</v>
      </c>
      <c r="Q1380" t="str">
        <f>VLOOKUP(D1380,상품정보!$A$2:$D$151,3,FALSE)</f>
        <v>의류</v>
      </c>
      <c r="R1380" t="str">
        <f>VLOOKUP(D1380,상품정보!$A$2:$D$151,4,FALSE)</f>
        <v>브랜드E</v>
      </c>
    </row>
    <row r="1381" spans="1:18" x14ac:dyDescent="0.45">
      <c r="A1381" t="s">
        <v>82</v>
      </c>
      <c r="B1381" t="s">
        <v>1780</v>
      </c>
      <c r="C1381" t="s">
        <v>2428</v>
      </c>
      <c r="D1381" t="s">
        <v>2589</v>
      </c>
      <c r="E1381">
        <v>5</v>
      </c>
      <c r="F1381">
        <v>71400</v>
      </c>
      <c r="G1381">
        <v>0</v>
      </c>
      <c r="H1381">
        <v>0</v>
      </c>
      <c r="I1381" t="s">
        <v>2652</v>
      </c>
      <c r="J1381" s="4">
        <f t="shared" si="63"/>
        <v>357000</v>
      </c>
      <c r="K1381" s="4" t="str">
        <f t="shared" si="64"/>
        <v>2024-10</v>
      </c>
      <c r="L1381" s="4" t="str">
        <f t="shared" si="65"/>
        <v>금</v>
      </c>
      <c r="M1381" s="2" t="str">
        <f>VLOOKUP($C1381, 고객정보!$A$2:$E$151, 2, FALSE)</f>
        <v>광주</v>
      </c>
      <c r="N1381" t="str">
        <f>VLOOKUP(C1381,고객정보!$A$2:$D$151,4,FALSE)</f>
        <v>L4</v>
      </c>
      <c r="O1381" t="str">
        <f>VLOOKUP($C1381, 고객정보!$A$2:$E$151, 5, FALSE)</f>
        <v>10대</v>
      </c>
      <c r="P1381" t="str">
        <f>VLOOKUP(D1381,상품정보!$A$2:$E$61,2,FALSE)</f>
        <v>셔츠</v>
      </c>
      <c r="Q1381" t="str">
        <f>VLOOKUP(D1381,상품정보!$A$2:$D$151,3,FALSE)</f>
        <v>의류</v>
      </c>
      <c r="R1381" t="str">
        <f>VLOOKUP(D1381,상품정보!$A$2:$D$151,4,FALSE)</f>
        <v>브랜드A</v>
      </c>
    </row>
    <row r="1382" spans="1:18" x14ac:dyDescent="0.45">
      <c r="A1382" t="s">
        <v>233</v>
      </c>
      <c r="B1382" t="s">
        <v>1781</v>
      </c>
      <c r="C1382" t="s">
        <v>2536</v>
      </c>
      <c r="D1382" t="s">
        <v>2559</v>
      </c>
      <c r="E1382">
        <v>4</v>
      </c>
      <c r="F1382">
        <v>5400</v>
      </c>
      <c r="G1382">
        <v>0</v>
      </c>
      <c r="H1382">
        <v>0</v>
      </c>
      <c r="I1382" t="s">
        <v>2652</v>
      </c>
      <c r="J1382" s="4">
        <f t="shared" si="63"/>
        <v>21600</v>
      </c>
      <c r="K1382" s="4" t="str">
        <f t="shared" si="64"/>
        <v>2024-07</v>
      </c>
      <c r="L1382" s="4" t="str">
        <f t="shared" si="65"/>
        <v>토</v>
      </c>
      <c r="M1382" s="2" t="str">
        <f>VLOOKUP($C1382, 고객정보!$A$2:$E$151, 2, FALSE)</f>
        <v>서울</v>
      </c>
      <c r="N1382" t="str">
        <f>VLOOKUP(C1382,고객정보!$A$2:$D$151,4,FALSE)</f>
        <v>L5</v>
      </c>
      <c r="O1382" t="str">
        <f>VLOOKUP($C1382, 고객정보!$A$2:$E$151, 5, FALSE)</f>
        <v>20대</v>
      </c>
      <c r="P1382" t="str">
        <f>VLOOKUP(D1382,상품정보!$A$2:$E$61,2,FALSE)</f>
        <v>반지</v>
      </c>
      <c r="Q1382" t="str">
        <f>VLOOKUP(D1382,상품정보!$A$2:$D$151,3,FALSE)</f>
        <v>액세서리</v>
      </c>
      <c r="R1382" t="str">
        <f>VLOOKUP(D1382,상품정보!$A$2:$D$151,4,FALSE)</f>
        <v>브랜드D</v>
      </c>
    </row>
    <row r="1383" spans="1:18" x14ac:dyDescent="0.45">
      <c r="A1383" t="s">
        <v>277</v>
      </c>
      <c r="B1383" t="s">
        <v>1782</v>
      </c>
      <c r="C1383" t="s">
        <v>2532</v>
      </c>
      <c r="D1383" t="s">
        <v>2578</v>
      </c>
      <c r="E1383">
        <v>3</v>
      </c>
      <c r="F1383">
        <v>78000</v>
      </c>
      <c r="G1383">
        <v>0</v>
      </c>
      <c r="H1383">
        <v>0</v>
      </c>
      <c r="I1383" t="s">
        <v>2652</v>
      </c>
      <c r="J1383" s="4">
        <f t="shared" si="63"/>
        <v>234000</v>
      </c>
      <c r="K1383" s="4" t="str">
        <f t="shared" si="64"/>
        <v>2024-07</v>
      </c>
      <c r="L1383" s="4" t="str">
        <f t="shared" si="65"/>
        <v>목</v>
      </c>
      <c r="M1383" s="2" t="str">
        <f>VLOOKUP($C1383, 고객정보!$A$2:$E$151, 2, FALSE)</f>
        <v>서울</v>
      </c>
      <c r="N1383" t="str">
        <f>VLOOKUP(C1383,고객정보!$A$2:$D$151,4,FALSE)</f>
        <v>L2</v>
      </c>
      <c r="O1383" t="str">
        <f>VLOOKUP($C1383, 고객정보!$A$2:$E$151, 5, FALSE)</f>
        <v>50대 이상</v>
      </c>
      <c r="P1383" t="str">
        <f>VLOOKUP(D1383,상품정보!$A$2:$E$61,2,FALSE)</f>
        <v>귀걸이</v>
      </c>
      <c r="Q1383" t="str">
        <f>VLOOKUP(D1383,상품정보!$A$2:$D$151,3,FALSE)</f>
        <v>액세서리</v>
      </c>
      <c r="R1383" t="str">
        <f>VLOOKUP(D1383,상품정보!$A$2:$D$151,4,FALSE)</f>
        <v>브랜드B</v>
      </c>
    </row>
    <row r="1384" spans="1:18" x14ac:dyDescent="0.45">
      <c r="A1384" t="s">
        <v>289</v>
      </c>
      <c r="B1384" t="s">
        <v>1783</v>
      </c>
      <c r="C1384" t="s">
        <v>2402</v>
      </c>
      <c r="D1384" t="s">
        <v>2578</v>
      </c>
      <c r="E1384">
        <v>4</v>
      </c>
      <c r="F1384">
        <v>78000</v>
      </c>
      <c r="G1384">
        <v>0</v>
      </c>
      <c r="H1384">
        <v>1000</v>
      </c>
      <c r="I1384" t="s">
        <v>2614</v>
      </c>
      <c r="J1384" s="4">
        <f t="shared" si="63"/>
        <v>311000</v>
      </c>
      <c r="K1384" s="4" t="str">
        <f t="shared" si="64"/>
        <v>2024-06</v>
      </c>
      <c r="L1384" s="4" t="str">
        <f t="shared" si="65"/>
        <v>토</v>
      </c>
      <c r="M1384" s="2" t="str">
        <f>VLOOKUP($C1384, 고객정보!$A$2:$E$151, 2, FALSE)</f>
        <v>서울</v>
      </c>
      <c r="N1384" t="str">
        <f>VLOOKUP(C1384,고객정보!$A$2:$D$151,4,FALSE)</f>
        <v>L2</v>
      </c>
      <c r="O1384" t="str">
        <f>VLOOKUP($C1384, 고객정보!$A$2:$E$151, 5, FALSE)</f>
        <v>30대</v>
      </c>
      <c r="P1384" t="str">
        <f>VLOOKUP(D1384,상품정보!$A$2:$E$61,2,FALSE)</f>
        <v>귀걸이</v>
      </c>
      <c r="Q1384" t="str">
        <f>VLOOKUP(D1384,상품정보!$A$2:$D$151,3,FALSE)</f>
        <v>액세서리</v>
      </c>
      <c r="R1384" t="str">
        <f>VLOOKUP(D1384,상품정보!$A$2:$D$151,4,FALSE)</f>
        <v>브랜드B</v>
      </c>
    </row>
    <row r="1385" spans="1:18" x14ac:dyDescent="0.45">
      <c r="A1385" t="s">
        <v>299</v>
      </c>
      <c r="B1385" t="s">
        <v>1784</v>
      </c>
      <c r="C1385" t="s">
        <v>2412</v>
      </c>
      <c r="D1385" t="s">
        <v>2583</v>
      </c>
      <c r="E1385">
        <v>4</v>
      </c>
      <c r="F1385">
        <v>6600</v>
      </c>
      <c r="G1385">
        <v>500</v>
      </c>
      <c r="H1385">
        <v>0</v>
      </c>
      <c r="I1385" t="s">
        <v>2652</v>
      </c>
      <c r="J1385" s="4">
        <f t="shared" si="63"/>
        <v>26900</v>
      </c>
      <c r="K1385" s="4" t="str">
        <f t="shared" si="64"/>
        <v>2024-11</v>
      </c>
      <c r="L1385" s="4" t="str">
        <f t="shared" si="65"/>
        <v>화</v>
      </c>
      <c r="M1385" s="2" t="str">
        <f>VLOOKUP($C1385, 고객정보!$A$2:$E$151, 2, FALSE)</f>
        <v>대전</v>
      </c>
      <c r="N1385" t="str">
        <f>VLOOKUP(C1385,고객정보!$A$2:$D$151,4,FALSE)</f>
        <v>L4</v>
      </c>
      <c r="O1385" t="str">
        <f>VLOOKUP($C1385, 고객정보!$A$2:$E$151, 5, FALSE)</f>
        <v>30대</v>
      </c>
      <c r="P1385" t="str">
        <f>VLOOKUP(D1385,상품정보!$A$2:$E$61,2,FALSE)</f>
        <v>셔츠</v>
      </c>
      <c r="Q1385" t="str">
        <f>VLOOKUP(D1385,상품정보!$A$2:$D$151,3,FALSE)</f>
        <v>의류</v>
      </c>
      <c r="R1385" t="str">
        <f>VLOOKUP(D1385,상품정보!$A$2:$D$151,4,FALSE)</f>
        <v>브랜드E</v>
      </c>
    </row>
    <row r="1386" spans="1:18" x14ac:dyDescent="0.45">
      <c r="A1386" t="s">
        <v>281</v>
      </c>
      <c r="B1386" t="s">
        <v>1785</v>
      </c>
      <c r="C1386" t="s">
        <v>2408</v>
      </c>
      <c r="D1386" t="s">
        <v>2554</v>
      </c>
      <c r="E1386">
        <v>2</v>
      </c>
      <c r="F1386">
        <v>12100</v>
      </c>
      <c r="G1386">
        <v>1000</v>
      </c>
      <c r="H1386">
        <v>0</v>
      </c>
      <c r="I1386" t="s">
        <v>2652</v>
      </c>
      <c r="J1386" s="4">
        <f t="shared" si="63"/>
        <v>25200</v>
      </c>
      <c r="K1386" s="4" t="str">
        <f t="shared" si="64"/>
        <v>2024-08</v>
      </c>
      <c r="L1386" s="4" t="str">
        <f t="shared" si="65"/>
        <v>화</v>
      </c>
      <c r="M1386" s="2" t="str">
        <f>VLOOKUP($C1386, 고객정보!$A$2:$E$151, 2, FALSE)</f>
        <v>수원</v>
      </c>
      <c r="N1386" t="str">
        <f>VLOOKUP(C1386,고객정보!$A$2:$D$151,4,FALSE)</f>
        <v>L5</v>
      </c>
      <c r="O1386" t="str">
        <f>VLOOKUP($C1386, 고객정보!$A$2:$E$151, 5, FALSE)</f>
        <v>20대</v>
      </c>
      <c r="P1386" t="str">
        <f>VLOOKUP(D1386,상품정보!$A$2:$E$61,2,FALSE)</f>
        <v>귀걸이</v>
      </c>
      <c r="Q1386" t="str">
        <f>VLOOKUP(D1386,상품정보!$A$2:$D$151,3,FALSE)</f>
        <v>액세서리</v>
      </c>
      <c r="R1386" t="str">
        <f>VLOOKUP(D1386,상품정보!$A$2:$D$151,4,FALSE)</f>
        <v>브랜드D</v>
      </c>
    </row>
    <row r="1387" spans="1:18" x14ac:dyDescent="0.45">
      <c r="A1387" t="s">
        <v>206</v>
      </c>
      <c r="B1387" t="s">
        <v>1786</v>
      </c>
      <c r="C1387" t="s">
        <v>2499</v>
      </c>
      <c r="D1387" t="s">
        <v>2607</v>
      </c>
      <c r="E1387">
        <v>1</v>
      </c>
      <c r="F1387">
        <v>16000</v>
      </c>
      <c r="G1387">
        <v>0</v>
      </c>
      <c r="H1387">
        <v>0</v>
      </c>
      <c r="I1387" t="s">
        <v>2652</v>
      </c>
      <c r="J1387" s="4">
        <f t="shared" si="63"/>
        <v>16000</v>
      </c>
      <c r="K1387" s="4" t="str">
        <f t="shared" si="64"/>
        <v>2024-09</v>
      </c>
      <c r="L1387" s="4" t="str">
        <f t="shared" si="65"/>
        <v>금</v>
      </c>
      <c r="M1387" s="2" t="str">
        <f>VLOOKUP($C1387, 고객정보!$A$2:$E$151, 2, FALSE)</f>
        <v>서울</v>
      </c>
      <c r="N1387" t="str">
        <f>VLOOKUP(C1387,고객정보!$A$2:$D$151,4,FALSE)</f>
        <v>L2</v>
      </c>
      <c r="O1387" t="str">
        <f>VLOOKUP($C1387, 고객정보!$A$2:$E$151, 5, FALSE)</f>
        <v>40대</v>
      </c>
      <c r="P1387" t="str">
        <f>VLOOKUP(D1387,상품정보!$A$2:$E$61,2,FALSE)</f>
        <v>목걸이</v>
      </c>
      <c r="Q1387" t="str">
        <f>VLOOKUP(D1387,상품정보!$A$2:$D$151,3,FALSE)</f>
        <v>액세서리</v>
      </c>
      <c r="R1387" t="str">
        <f>VLOOKUP(D1387,상품정보!$A$2:$D$151,4,FALSE)</f>
        <v>브랜드E</v>
      </c>
    </row>
    <row r="1388" spans="1:18" x14ac:dyDescent="0.45">
      <c r="A1388" t="s">
        <v>80</v>
      </c>
      <c r="B1388" t="s">
        <v>1787</v>
      </c>
      <c r="C1388" t="s">
        <v>2458</v>
      </c>
      <c r="D1388" t="s">
        <v>2572</v>
      </c>
      <c r="E1388">
        <v>2</v>
      </c>
      <c r="F1388">
        <v>61700</v>
      </c>
      <c r="G1388">
        <v>0</v>
      </c>
      <c r="H1388">
        <v>1800</v>
      </c>
      <c r="I1388" t="s">
        <v>2611</v>
      </c>
      <c r="J1388" s="4">
        <f t="shared" si="63"/>
        <v>121600</v>
      </c>
      <c r="K1388" s="4" t="str">
        <f t="shared" si="64"/>
        <v>2024-04</v>
      </c>
      <c r="L1388" s="4" t="str">
        <f t="shared" si="65"/>
        <v>금</v>
      </c>
      <c r="M1388" s="2" t="str">
        <f>VLOOKUP($C1388, 고객정보!$A$2:$E$151, 2, FALSE)</f>
        <v>서울</v>
      </c>
      <c r="N1388" t="str">
        <f>VLOOKUP(C1388,고객정보!$A$2:$D$151,4,FALSE)</f>
        <v>L1</v>
      </c>
      <c r="O1388" t="str">
        <f>VLOOKUP($C1388, 고객정보!$A$2:$E$151, 5, FALSE)</f>
        <v>20대</v>
      </c>
      <c r="P1388" t="str">
        <f>VLOOKUP(D1388,상품정보!$A$2:$E$61,2,FALSE)</f>
        <v>반팔 티셔츠</v>
      </c>
      <c r="Q1388" t="str">
        <f>VLOOKUP(D1388,상품정보!$A$2:$D$151,3,FALSE)</f>
        <v>의류</v>
      </c>
      <c r="R1388" t="str">
        <f>VLOOKUP(D1388,상품정보!$A$2:$D$151,4,FALSE)</f>
        <v>브랜드F</v>
      </c>
    </row>
    <row r="1389" spans="1:18" x14ac:dyDescent="0.45">
      <c r="A1389" t="s">
        <v>321</v>
      </c>
      <c r="B1389" t="s">
        <v>1788</v>
      </c>
      <c r="C1389" t="s">
        <v>2432</v>
      </c>
      <c r="D1389" t="s">
        <v>2599</v>
      </c>
      <c r="E1389">
        <v>5</v>
      </c>
      <c r="F1389">
        <v>73800</v>
      </c>
      <c r="G1389">
        <v>500</v>
      </c>
      <c r="H1389">
        <v>0</v>
      </c>
      <c r="I1389" t="s">
        <v>2652</v>
      </c>
      <c r="J1389" s="4">
        <f t="shared" si="63"/>
        <v>369500</v>
      </c>
      <c r="K1389" s="4" t="str">
        <f t="shared" si="64"/>
        <v>2025-01</v>
      </c>
      <c r="L1389" s="4" t="str">
        <f t="shared" si="65"/>
        <v>목</v>
      </c>
      <c r="M1389" s="2" t="str">
        <f>VLOOKUP($C1389, 고객정보!$A$2:$E$151, 2, FALSE)</f>
        <v>서울</v>
      </c>
      <c r="N1389" t="str">
        <f>VLOOKUP(C1389,고객정보!$A$2:$D$151,4,FALSE)</f>
        <v>L5</v>
      </c>
      <c r="O1389" t="str">
        <f>VLOOKUP($C1389, 고객정보!$A$2:$E$151, 5, FALSE)</f>
        <v>20대</v>
      </c>
      <c r="P1389" t="str">
        <f>VLOOKUP(D1389,상품정보!$A$2:$E$61,2,FALSE)</f>
        <v>핸드폰케이스</v>
      </c>
      <c r="Q1389" t="str">
        <f>VLOOKUP(D1389,상품정보!$A$2:$D$151,3,FALSE)</f>
        <v>액세서리</v>
      </c>
      <c r="R1389" t="str">
        <f>VLOOKUP(D1389,상품정보!$A$2:$D$151,4,FALSE)</f>
        <v>브랜드F</v>
      </c>
    </row>
    <row r="1390" spans="1:18" x14ac:dyDescent="0.45">
      <c r="A1390" t="s">
        <v>141</v>
      </c>
      <c r="B1390" t="s">
        <v>1789</v>
      </c>
      <c r="C1390" t="s">
        <v>2449</v>
      </c>
      <c r="D1390" t="s">
        <v>2567</v>
      </c>
      <c r="E1390">
        <v>2</v>
      </c>
      <c r="F1390">
        <v>58600</v>
      </c>
      <c r="G1390">
        <v>0</v>
      </c>
      <c r="H1390">
        <v>1000</v>
      </c>
      <c r="I1390" t="s">
        <v>2611</v>
      </c>
      <c r="J1390" s="4">
        <f t="shared" si="63"/>
        <v>116200</v>
      </c>
      <c r="K1390" s="4" t="str">
        <f t="shared" si="64"/>
        <v>2024-07</v>
      </c>
      <c r="L1390" s="4" t="str">
        <f t="shared" si="65"/>
        <v>수</v>
      </c>
      <c r="M1390" s="2" t="str">
        <f>VLOOKUP($C1390, 고객정보!$A$2:$E$151, 2, FALSE)</f>
        <v>대구</v>
      </c>
      <c r="N1390" t="str">
        <f>VLOOKUP(C1390,고객정보!$A$2:$D$151,4,FALSE)</f>
        <v>L5</v>
      </c>
      <c r="O1390" t="str">
        <f>VLOOKUP($C1390, 고객정보!$A$2:$E$151, 5, FALSE)</f>
        <v>40대</v>
      </c>
      <c r="P1390" t="str">
        <f>VLOOKUP(D1390,상품정보!$A$2:$E$61,2,FALSE)</f>
        <v>귀걸이</v>
      </c>
      <c r="Q1390" t="str">
        <f>VLOOKUP(D1390,상품정보!$A$2:$D$151,3,FALSE)</f>
        <v>액세서리</v>
      </c>
      <c r="R1390" t="str">
        <f>VLOOKUP(D1390,상품정보!$A$2:$D$151,4,FALSE)</f>
        <v>브랜드B</v>
      </c>
    </row>
    <row r="1391" spans="1:18" x14ac:dyDescent="0.45">
      <c r="A1391" t="s">
        <v>375</v>
      </c>
      <c r="B1391" t="s">
        <v>1790</v>
      </c>
      <c r="C1391" t="s">
        <v>2481</v>
      </c>
      <c r="D1391" t="s">
        <v>2586</v>
      </c>
      <c r="E1391">
        <v>1</v>
      </c>
      <c r="F1391">
        <v>73000</v>
      </c>
      <c r="G1391">
        <v>500</v>
      </c>
      <c r="H1391">
        <v>0</v>
      </c>
      <c r="I1391" t="s">
        <v>2652</v>
      </c>
      <c r="J1391" s="4">
        <f t="shared" si="63"/>
        <v>73500</v>
      </c>
      <c r="K1391" s="4" t="str">
        <f t="shared" si="64"/>
        <v>2024-09</v>
      </c>
      <c r="L1391" s="4" t="str">
        <f t="shared" si="65"/>
        <v>화</v>
      </c>
      <c r="M1391" s="2" t="str">
        <f>VLOOKUP($C1391, 고객정보!$A$2:$E$151, 2, FALSE)</f>
        <v>부산</v>
      </c>
      <c r="N1391" t="str">
        <f>VLOOKUP(C1391,고객정보!$A$2:$D$151,4,FALSE)</f>
        <v>L5</v>
      </c>
      <c r="O1391" t="str">
        <f>VLOOKUP($C1391, 고객정보!$A$2:$E$151, 5, FALSE)</f>
        <v>20대</v>
      </c>
      <c r="P1391" t="str">
        <f>VLOOKUP(D1391,상품정보!$A$2:$E$61,2,FALSE)</f>
        <v>귀걸이</v>
      </c>
      <c r="Q1391" t="str">
        <f>VLOOKUP(D1391,상품정보!$A$2:$D$151,3,FALSE)</f>
        <v>액세서리</v>
      </c>
      <c r="R1391" t="str">
        <f>VLOOKUP(D1391,상품정보!$A$2:$D$151,4,FALSE)</f>
        <v>브랜드B</v>
      </c>
    </row>
    <row r="1392" spans="1:18" x14ac:dyDescent="0.45">
      <c r="A1392" t="s">
        <v>267</v>
      </c>
      <c r="B1392" t="s">
        <v>1791</v>
      </c>
      <c r="C1392" t="s">
        <v>2466</v>
      </c>
      <c r="D1392" t="s">
        <v>2608</v>
      </c>
      <c r="E1392">
        <v>2</v>
      </c>
      <c r="F1392">
        <v>10600</v>
      </c>
      <c r="G1392">
        <v>500</v>
      </c>
      <c r="H1392">
        <v>0</v>
      </c>
      <c r="I1392" t="s">
        <v>2652</v>
      </c>
      <c r="J1392" s="4">
        <f t="shared" si="63"/>
        <v>21700</v>
      </c>
      <c r="K1392" s="4" t="str">
        <f t="shared" si="64"/>
        <v>2024-10</v>
      </c>
      <c r="L1392" s="4" t="str">
        <f t="shared" si="65"/>
        <v>화</v>
      </c>
      <c r="M1392" s="2" t="str">
        <f>VLOOKUP($C1392, 고객정보!$A$2:$E$151, 2, FALSE)</f>
        <v>부산</v>
      </c>
      <c r="N1392" t="str">
        <f>VLOOKUP(C1392,고객정보!$A$2:$D$151,4,FALSE)</f>
        <v>L2</v>
      </c>
      <c r="O1392" t="str">
        <f>VLOOKUP($C1392, 고객정보!$A$2:$E$151, 5, FALSE)</f>
        <v>50대 이상</v>
      </c>
      <c r="P1392" t="str">
        <f>VLOOKUP(D1392,상품정보!$A$2:$E$61,2,FALSE)</f>
        <v>셔츠</v>
      </c>
      <c r="Q1392" t="str">
        <f>VLOOKUP(D1392,상품정보!$A$2:$D$151,3,FALSE)</f>
        <v>의류</v>
      </c>
      <c r="R1392" t="str">
        <f>VLOOKUP(D1392,상품정보!$A$2:$D$151,4,FALSE)</f>
        <v>브랜드D</v>
      </c>
    </row>
    <row r="1393" spans="1:18" x14ac:dyDescent="0.45">
      <c r="A1393" t="s">
        <v>392</v>
      </c>
      <c r="B1393" t="s">
        <v>1792</v>
      </c>
      <c r="C1393" t="s">
        <v>2541</v>
      </c>
      <c r="D1393" t="s">
        <v>2593</v>
      </c>
      <c r="E1393">
        <v>4</v>
      </c>
      <c r="F1393">
        <v>74600</v>
      </c>
      <c r="G1393">
        <v>0</v>
      </c>
      <c r="H1393">
        <v>0</v>
      </c>
      <c r="I1393" t="s">
        <v>2652</v>
      </c>
      <c r="J1393" s="4">
        <f t="shared" si="63"/>
        <v>298400</v>
      </c>
      <c r="K1393" s="4" t="str">
        <f t="shared" si="64"/>
        <v>2024-01</v>
      </c>
      <c r="L1393" s="4" t="str">
        <f t="shared" si="65"/>
        <v>금</v>
      </c>
      <c r="M1393" s="2" t="str">
        <f>VLOOKUP($C1393, 고객정보!$A$2:$E$151, 2, FALSE)</f>
        <v>대구</v>
      </c>
      <c r="N1393" t="str">
        <f>VLOOKUP(C1393,고객정보!$A$2:$D$151,4,FALSE)</f>
        <v>L5</v>
      </c>
      <c r="O1393" t="str">
        <f>VLOOKUP($C1393, 고객정보!$A$2:$E$151, 5, FALSE)</f>
        <v>30대</v>
      </c>
      <c r="P1393" t="str">
        <f>VLOOKUP(D1393,상품정보!$A$2:$E$61,2,FALSE)</f>
        <v>반팔 티셔츠</v>
      </c>
      <c r="Q1393" t="str">
        <f>VLOOKUP(D1393,상품정보!$A$2:$D$151,3,FALSE)</f>
        <v>의류</v>
      </c>
      <c r="R1393" t="str">
        <f>VLOOKUP(D1393,상품정보!$A$2:$D$151,4,FALSE)</f>
        <v>브랜드B</v>
      </c>
    </row>
    <row r="1394" spans="1:18" x14ac:dyDescent="0.45">
      <c r="A1394" t="s">
        <v>253</v>
      </c>
      <c r="B1394" t="s">
        <v>1793</v>
      </c>
      <c r="C1394" t="s">
        <v>2422</v>
      </c>
      <c r="D1394" t="s">
        <v>2564</v>
      </c>
      <c r="E1394">
        <v>2</v>
      </c>
      <c r="F1394">
        <v>66600</v>
      </c>
      <c r="G1394">
        <v>1000</v>
      </c>
      <c r="H1394">
        <v>0</v>
      </c>
      <c r="I1394" t="s">
        <v>2652</v>
      </c>
      <c r="J1394" s="4">
        <f t="shared" si="63"/>
        <v>134200</v>
      </c>
      <c r="K1394" s="4" t="str">
        <f t="shared" si="64"/>
        <v>2024-10</v>
      </c>
      <c r="L1394" s="4" t="str">
        <f t="shared" si="65"/>
        <v>일</v>
      </c>
      <c r="M1394" s="2" t="str">
        <f>VLOOKUP($C1394, 고객정보!$A$2:$E$151, 2, FALSE)</f>
        <v>광주</v>
      </c>
      <c r="N1394" t="str">
        <f>VLOOKUP(C1394,고객정보!$A$2:$D$151,4,FALSE)</f>
        <v>L5</v>
      </c>
      <c r="O1394" t="str">
        <f>VLOOKUP($C1394, 고객정보!$A$2:$E$151, 5, FALSE)</f>
        <v>30대</v>
      </c>
      <c r="P1394" t="str">
        <f>VLOOKUP(D1394,상품정보!$A$2:$E$61,2,FALSE)</f>
        <v>청바지</v>
      </c>
      <c r="Q1394" t="str">
        <f>VLOOKUP(D1394,상품정보!$A$2:$D$151,3,FALSE)</f>
        <v>의류</v>
      </c>
      <c r="R1394" t="str">
        <f>VLOOKUP(D1394,상품정보!$A$2:$D$151,4,FALSE)</f>
        <v>브랜드B</v>
      </c>
    </row>
    <row r="1395" spans="1:18" x14ac:dyDescent="0.45">
      <c r="A1395" t="s">
        <v>83</v>
      </c>
      <c r="B1395" t="s">
        <v>1794</v>
      </c>
      <c r="C1395" t="s">
        <v>2541</v>
      </c>
      <c r="D1395" t="s">
        <v>2552</v>
      </c>
      <c r="E1395">
        <v>5</v>
      </c>
      <c r="F1395">
        <v>13300</v>
      </c>
      <c r="G1395">
        <v>500</v>
      </c>
      <c r="H1395">
        <v>0</v>
      </c>
      <c r="I1395" t="s">
        <v>2652</v>
      </c>
      <c r="J1395" s="4">
        <f t="shared" si="63"/>
        <v>67000</v>
      </c>
      <c r="K1395" s="4" t="str">
        <f t="shared" si="64"/>
        <v>2024-01</v>
      </c>
      <c r="L1395" s="4" t="str">
        <f t="shared" si="65"/>
        <v>일</v>
      </c>
      <c r="M1395" s="2" t="str">
        <f>VLOOKUP($C1395, 고객정보!$A$2:$E$151, 2, FALSE)</f>
        <v>대구</v>
      </c>
      <c r="N1395" t="str">
        <f>VLOOKUP(C1395,고객정보!$A$2:$D$151,4,FALSE)</f>
        <v>L5</v>
      </c>
      <c r="O1395" t="str">
        <f>VLOOKUP($C1395, 고객정보!$A$2:$E$151, 5, FALSE)</f>
        <v>30대</v>
      </c>
      <c r="P1395" t="str">
        <f>VLOOKUP(D1395,상품정보!$A$2:$E$61,2,FALSE)</f>
        <v>셔츠</v>
      </c>
      <c r="Q1395" t="str">
        <f>VLOOKUP(D1395,상품정보!$A$2:$D$151,3,FALSE)</f>
        <v>의류</v>
      </c>
      <c r="R1395" t="str">
        <f>VLOOKUP(D1395,상품정보!$A$2:$D$151,4,FALSE)</f>
        <v>브랜드E</v>
      </c>
    </row>
    <row r="1396" spans="1:18" x14ac:dyDescent="0.45">
      <c r="A1396" t="s">
        <v>73</v>
      </c>
      <c r="B1396" t="s">
        <v>1795</v>
      </c>
      <c r="C1396" t="s">
        <v>2453</v>
      </c>
      <c r="D1396" t="s">
        <v>2573</v>
      </c>
      <c r="E1396">
        <v>1</v>
      </c>
      <c r="F1396">
        <v>6400</v>
      </c>
      <c r="G1396">
        <v>0</v>
      </c>
      <c r="H1396">
        <v>0</v>
      </c>
      <c r="I1396" t="s">
        <v>2652</v>
      </c>
      <c r="J1396" s="4">
        <f t="shared" si="63"/>
        <v>6400</v>
      </c>
      <c r="K1396" s="4" t="str">
        <f t="shared" si="64"/>
        <v>2024-03</v>
      </c>
      <c r="L1396" s="4" t="str">
        <f t="shared" si="65"/>
        <v>화</v>
      </c>
      <c r="M1396" s="2" t="str">
        <f>VLOOKUP($C1396, 고객정보!$A$2:$E$151, 2, FALSE)</f>
        <v>대구</v>
      </c>
      <c r="N1396" t="str">
        <f>VLOOKUP(C1396,고객정보!$A$2:$D$151,4,FALSE)</f>
        <v>L5</v>
      </c>
      <c r="O1396" t="str">
        <f>VLOOKUP($C1396, 고객정보!$A$2:$E$151, 5, FALSE)</f>
        <v>50대 이상</v>
      </c>
      <c r="P1396" t="str">
        <f>VLOOKUP(D1396,상품정보!$A$2:$E$61,2,FALSE)</f>
        <v>귀걸이</v>
      </c>
      <c r="Q1396" t="str">
        <f>VLOOKUP(D1396,상품정보!$A$2:$D$151,3,FALSE)</f>
        <v>액세서리</v>
      </c>
      <c r="R1396" t="str">
        <f>VLOOKUP(D1396,상품정보!$A$2:$D$151,4,FALSE)</f>
        <v>브랜드E</v>
      </c>
    </row>
    <row r="1397" spans="1:18" x14ac:dyDescent="0.45">
      <c r="A1397" t="s">
        <v>169</v>
      </c>
      <c r="B1397" t="s">
        <v>1796</v>
      </c>
      <c r="C1397" t="s">
        <v>2482</v>
      </c>
      <c r="D1397" t="s">
        <v>2568</v>
      </c>
      <c r="E1397">
        <v>2</v>
      </c>
      <c r="F1397">
        <v>16800</v>
      </c>
      <c r="G1397">
        <v>500</v>
      </c>
      <c r="H1397">
        <v>7600</v>
      </c>
      <c r="I1397" t="s">
        <v>2613</v>
      </c>
      <c r="J1397" s="4">
        <f t="shared" si="63"/>
        <v>26500</v>
      </c>
      <c r="K1397" s="4" t="str">
        <f t="shared" si="64"/>
        <v>2024-09</v>
      </c>
      <c r="L1397" s="4" t="str">
        <f t="shared" si="65"/>
        <v>토</v>
      </c>
      <c r="M1397" s="2" t="str">
        <f>VLOOKUP($C1397, 고객정보!$A$2:$E$151, 2, FALSE)</f>
        <v>서울</v>
      </c>
      <c r="N1397" t="str">
        <f>VLOOKUP(C1397,고객정보!$A$2:$D$151,4,FALSE)</f>
        <v>L2</v>
      </c>
      <c r="O1397" t="str">
        <f>VLOOKUP($C1397, 고객정보!$A$2:$E$151, 5, FALSE)</f>
        <v>30대</v>
      </c>
      <c r="P1397" t="str">
        <f>VLOOKUP(D1397,상품정보!$A$2:$E$61,2,FALSE)</f>
        <v>청바지</v>
      </c>
      <c r="Q1397" t="str">
        <f>VLOOKUP(D1397,상품정보!$A$2:$D$151,3,FALSE)</f>
        <v>의류</v>
      </c>
      <c r="R1397" t="str">
        <f>VLOOKUP(D1397,상품정보!$A$2:$D$151,4,FALSE)</f>
        <v>브랜드C</v>
      </c>
    </row>
    <row r="1398" spans="1:18" x14ac:dyDescent="0.45">
      <c r="A1398" t="s">
        <v>376</v>
      </c>
      <c r="B1398" t="s">
        <v>1797</v>
      </c>
      <c r="C1398" t="s">
        <v>2456</v>
      </c>
      <c r="D1398" t="s">
        <v>2560</v>
      </c>
      <c r="E1398">
        <v>5</v>
      </c>
      <c r="F1398">
        <v>60600</v>
      </c>
      <c r="G1398">
        <v>500</v>
      </c>
      <c r="H1398">
        <v>0</v>
      </c>
      <c r="I1398" t="s">
        <v>2652</v>
      </c>
      <c r="J1398" s="4">
        <f t="shared" si="63"/>
        <v>303500</v>
      </c>
      <c r="K1398" s="4" t="str">
        <f t="shared" si="64"/>
        <v>2024-11</v>
      </c>
      <c r="L1398" s="4" t="str">
        <f t="shared" si="65"/>
        <v>금</v>
      </c>
      <c r="M1398" s="2" t="str">
        <f>VLOOKUP($C1398, 고객정보!$A$2:$E$151, 2, FALSE)</f>
        <v>대구</v>
      </c>
      <c r="N1398" t="str">
        <f>VLOOKUP(C1398,고객정보!$A$2:$D$151,4,FALSE)</f>
        <v>L3</v>
      </c>
      <c r="O1398" t="str">
        <f>VLOOKUP($C1398, 고객정보!$A$2:$E$151, 5, FALSE)</f>
        <v>30대</v>
      </c>
      <c r="P1398" t="str">
        <f>VLOOKUP(D1398,상품정보!$A$2:$E$61,2,FALSE)</f>
        <v>반팔 티셔츠</v>
      </c>
      <c r="Q1398" t="str">
        <f>VLOOKUP(D1398,상품정보!$A$2:$D$151,3,FALSE)</f>
        <v>의류</v>
      </c>
      <c r="R1398" t="str">
        <f>VLOOKUP(D1398,상품정보!$A$2:$D$151,4,FALSE)</f>
        <v>브랜드F</v>
      </c>
    </row>
    <row r="1399" spans="1:18" x14ac:dyDescent="0.45">
      <c r="A1399" t="s">
        <v>391</v>
      </c>
      <c r="B1399" t="s">
        <v>1798</v>
      </c>
      <c r="C1399" t="s">
        <v>2539</v>
      </c>
      <c r="D1399" t="s">
        <v>2584</v>
      </c>
      <c r="E1399">
        <v>3</v>
      </c>
      <c r="F1399">
        <v>59700</v>
      </c>
      <c r="G1399">
        <v>1000</v>
      </c>
      <c r="H1399">
        <v>0</v>
      </c>
      <c r="I1399" t="s">
        <v>2652</v>
      </c>
      <c r="J1399" s="4">
        <f t="shared" si="63"/>
        <v>180100</v>
      </c>
      <c r="K1399" s="4" t="str">
        <f t="shared" si="64"/>
        <v>2024-02</v>
      </c>
      <c r="L1399" s="4" t="str">
        <f t="shared" si="65"/>
        <v>화</v>
      </c>
      <c r="M1399" s="2" t="str">
        <f>VLOOKUP($C1399, 고객정보!$A$2:$E$151, 2, FALSE)</f>
        <v>서울</v>
      </c>
      <c r="N1399" t="str">
        <f>VLOOKUP(C1399,고객정보!$A$2:$D$151,4,FALSE)</f>
        <v>L1</v>
      </c>
      <c r="O1399" t="str">
        <f>VLOOKUP($C1399, 고객정보!$A$2:$E$151, 5, FALSE)</f>
        <v>50대 이상</v>
      </c>
      <c r="P1399" t="str">
        <f>VLOOKUP(D1399,상품정보!$A$2:$E$61,2,FALSE)</f>
        <v>목걸이</v>
      </c>
      <c r="Q1399" t="str">
        <f>VLOOKUP(D1399,상품정보!$A$2:$D$151,3,FALSE)</f>
        <v>액세서리</v>
      </c>
      <c r="R1399" t="str">
        <f>VLOOKUP(D1399,상품정보!$A$2:$D$151,4,FALSE)</f>
        <v>브랜드B</v>
      </c>
    </row>
    <row r="1400" spans="1:18" x14ac:dyDescent="0.45">
      <c r="A1400" t="s">
        <v>211</v>
      </c>
      <c r="B1400" t="s">
        <v>1799</v>
      </c>
      <c r="C1400" t="s">
        <v>2410</v>
      </c>
      <c r="D1400" t="s">
        <v>2556</v>
      </c>
      <c r="E1400">
        <v>5</v>
      </c>
      <c r="F1400">
        <v>70100</v>
      </c>
      <c r="G1400">
        <v>2000</v>
      </c>
      <c r="H1400">
        <v>0</v>
      </c>
      <c r="I1400" t="s">
        <v>2652</v>
      </c>
      <c r="J1400" s="4">
        <f t="shared" si="63"/>
        <v>352500</v>
      </c>
      <c r="K1400" s="4" t="str">
        <f t="shared" si="64"/>
        <v>2024-08</v>
      </c>
      <c r="L1400" s="4" t="str">
        <f t="shared" si="65"/>
        <v>목</v>
      </c>
      <c r="M1400" s="2" t="str">
        <f>VLOOKUP($C1400, 고객정보!$A$2:$E$151, 2, FALSE)</f>
        <v>대전</v>
      </c>
      <c r="N1400" t="str">
        <f>VLOOKUP(C1400,고객정보!$A$2:$D$151,4,FALSE)</f>
        <v>L2</v>
      </c>
      <c r="O1400" t="str">
        <f>VLOOKUP($C1400, 고객정보!$A$2:$E$151, 5, FALSE)</f>
        <v>10대</v>
      </c>
      <c r="P1400" t="str">
        <f>VLOOKUP(D1400,상품정보!$A$2:$E$61,2,FALSE)</f>
        <v>핸드폰케이스</v>
      </c>
      <c r="Q1400" t="str">
        <f>VLOOKUP(D1400,상품정보!$A$2:$D$151,3,FALSE)</f>
        <v>액세서리</v>
      </c>
      <c r="R1400" t="str">
        <f>VLOOKUP(D1400,상품정보!$A$2:$D$151,4,FALSE)</f>
        <v>브랜드F</v>
      </c>
    </row>
    <row r="1401" spans="1:18" x14ac:dyDescent="0.45">
      <c r="A1401" t="s">
        <v>104</v>
      </c>
      <c r="B1401" t="s">
        <v>1800</v>
      </c>
      <c r="C1401" t="s">
        <v>2545</v>
      </c>
      <c r="D1401" t="s">
        <v>2566</v>
      </c>
      <c r="E1401">
        <v>2</v>
      </c>
      <c r="F1401">
        <v>60600</v>
      </c>
      <c r="G1401">
        <v>0</v>
      </c>
      <c r="H1401">
        <v>4500</v>
      </c>
      <c r="I1401" t="s">
        <v>2612</v>
      </c>
      <c r="J1401" s="4">
        <f t="shared" si="63"/>
        <v>116700</v>
      </c>
      <c r="K1401" s="4" t="str">
        <f t="shared" si="64"/>
        <v>2024-07</v>
      </c>
      <c r="L1401" s="4" t="str">
        <f t="shared" si="65"/>
        <v>월</v>
      </c>
      <c r="M1401" s="2" t="str">
        <f>VLOOKUP($C1401, 고객정보!$A$2:$E$151, 2, FALSE)</f>
        <v>서울</v>
      </c>
      <c r="N1401" t="str">
        <f>VLOOKUP(C1401,고객정보!$A$2:$D$151,4,FALSE)</f>
        <v>L4</v>
      </c>
      <c r="O1401" t="str">
        <f>VLOOKUP($C1401, 고객정보!$A$2:$E$151, 5, FALSE)</f>
        <v>30대</v>
      </c>
      <c r="P1401" t="str">
        <f>VLOOKUP(D1401,상품정보!$A$2:$E$61,2,FALSE)</f>
        <v>반팔 티셔츠</v>
      </c>
      <c r="Q1401" t="str">
        <f>VLOOKUP(D1401,상품정보!$A$2:$D$151,3,FALSE)</f>
        <v>의류</v>
      </c>
      <c r="R1401" t="str">
        <f>VLOOKUP(D1401,상품정보!$A$2:$D$151,4,FALSE)</f>
        <v>브랜드A</v>
      </c>
    </row>
    <row r="1402" spans="1:18" x14ac:dyDescent="0.45">
      <c r="A1402" t="s">
        <v>135</v>
      </c>
      <c r="B1402" t="s">
        <v>1801</v>
      </c>
      <c r="C1402" t="s">
        <v>2518</v>
      </c>
      <c r="D1402" t="s">
        <v>2577</v>
      </c>
      <c r="E1402">
        <v>5</v>
      </c>
      <c r="F1402">
        <v>10200</v>
      </c>
      <c r="G1402">
        <v>500</v>
      </c>
      <c r="H1402">
        <v>0</v>
      </c>
      <c r="I1402" t="s">
        <v>2652</v>
      </c>
      <c r="J1402" s="4">
        <f t="shared" si="63"/>
        <v>51500</v>
      </c>
      <c r="K1402" s="4" t="str">
        <f t="shared" si="64"/>
        <v>2025-01</v>
      </c>
      <c r="L1402" s="4" t="str">
        <f t="shared" si="65"/>
        <v>월</v>
      </c>
      <c r="M1402" s="2" t="str">
        <f>VLOOKUP($C1402, 고객정보!$A$2:$E$151, 2, FALSE)</f>
        <v>부산</v>
      </c>
      <c r="N1402" t="str">
        <f>VLOOKUP(C1402,고객정보!$A$2:$D$151,4,FALSE)</f>
        <v>L2</v>
      </c>
      <c r="O1402" t="str">
        <f>VLOOKUP($C1402, 고객정보!$A$2:$E$151, 5, FALSE)</f>
        <v>40대</v>
      </c>
      <c r="P1402" t="str">
        <f>VLOOKUP(D1402,상품정보!$A$2:$E$61,2,FALSE)</f>
        <v>셔츠</v>
      </c>
      <c r="Q1402" t="str">
        <f>VLOOKUP(D1402,상품정보!$A$2:$D$151,3,FALSE)</f>
        <v>의류</v>
      </c>
      <c r="R1402" t="str">
        <f>VLOOKUP(D1402,상품정보!$A$2:$D$151,4,FALSE)</f>
        <v>브랜드C</v>
      </c>
    </row>
    <row r="1403" spans="1:18" x14ac:dyDescent="0.45">
      <c r="A1403" t="s">
        <v>55</v>
      </c>
      <c r="B1403" t="s">
        <v>1802</v>
      </c>
      <c r="C1403" t="s">
        <v>2522</v>
      </c>
      <c r="D1403" t="s">
        <v>2598</v>
      </c>
      <c r="E1403">
        <v>5</v>
      </c>
      <c r="F1403">
        <v>77300</v>
      </c>
      <c r="G1403">
        <v>0</v>
      </c>
      <c r="H1403">
        <v>0</v>
      </c>
      <c r="I1403" t="s">
        <v>2652</v>
      </c>
      <c r="J1403" s="4">
        <f t="shared" si="63"/>
        <v>386500</v>
      </c>
      <c r="K1403" s="4" t="str">
        <f t="shared" si="64"/>
        <v>2024-05</v>
      </c>
      <c r="L1403" s="4" t="str">
        <f t="shared" si="65"/>
        <v>수</v>
      </c>
      <c r="M1403" s="2" t="str">
        <f>VLOOKUP($C1403, 고객정보!$A$2:$E$151, 2, FALSE)</f>
        <v>부산</v>
      </c>
      <c r="N1403" t="str">
        <f>VLOOKUP(C1403,고객정보!$A$2:$D$151,4,FALSE)</f>
        <v>L4</v>
      </c>
      <c r="O1403" t="str">
        <f>VLOOKUP($C1403, 고객정보!$A$2:$E$151, 5, FALSE)</f>
        <v>40대</v>
      </c>
      <c r="P1403" t="str">
        <f>VLOOKUP(D1403,상품정보!$A$2:$E$61,2,FALSE)</f>
        <v>청바지</v>
      </c>
      <c r="Q1403" t="str">
        <f>VLOOKUP(D1403,상품정보!$A$2:$D$151,3,FALSE)</f>
        <v>의류</v>
      </c>
      <c r="R1403" t="str">
        <f>VLOOKUP(D1403,상품정보!$A$2:$D$151,4,FALSE)</f>
        <v>브랜드F</v>
      </c>
    </row>
    <row r="1404" spans="1:18" x14ac:dyDescent="0.45">
      <c r="A1404" t="s">
        <v>234</v>
      </c>
      <c r="B1404" t="s">
        <v>1803</v>
      </c>
      <c r="C1404" t="s">
        <v>2499</v>
      </c>
      <c r="D1404" t="s">
        <v>2586</v>
      </c>
      <c r="E1404">
        <v>3</v>
      </c>
      <c r="F1404">
        <v>73000</v>
      </c>
      <c r="G1404">
        <v>0</v>
      </c>
      <c r="H1404">
        <v>0</v>
      </c>
      <c r="I1404" t="s">
        <v>2652</v>
      </c>
      <c r="J1404" s="4">
        <f t="shared" si="63"/>
        <v>219000</v>
      </c>
      <c r="K1404" s="4" t="str">
        <f t="shared" si="64"/>
        <v>2024-08</v>
      </c>
      <c r="L1404" s="4" t="str">
        <f t="shared" si="65"/>
        <v>화</v>
      </c>
      <c r="M1404" s="2" t="str">
        <f>VLOOKUP($C1404, 고객정보!$A$2:$E$151, 2, FALSE)</f>
        <v>서울</v>
      </c>
      <c r="N1404" t="str">
        <f>VLOOKUP(C1404,고객정보!$A$2:$D$151,4,FALSE)</f>
        <v>L2</v>
      </c>
      <c r="O1404" t="str">
        <f>VLOOKUP($C1404, 고객정보!$A$2:$E$151, 5, FALSE)</f>
        <v>40대</v>
      </c>
      <c r="P1404" t="str">
        <f>VLOOKUP(D1404,상품정보!$A$2:$E$61,2,FALSE)</f>
        <v>귀걸이</v>
      </c>
      <c r="Q1404" t="str">
        <f>VLOOKUP(D1404,상품정보!$A$2:$D$151,3,FALSE)</f>
        <v>액세서리</v>
      </c>
      <c r="R1404" t="str">
        <f>VLOOKUP(D1404,상품정보!$A$2:$D$151,4,FALSE)</f>
        <v>브랜드B</v>
      </c>
    </row>
    <row r="1405" spans="1:18" x14ac:dyDescent="0.45">
      <c r="A1405" t="s">
        <v>217</v>
      </c>
      <c r="B1405" t="s">
        <v>1804</v>
      </c>
      <c r="C1405" t="s">
        <v>2416</v>
      </c>
      <c r="D1405" t="s">
        <v>2607</v>
      </c>
      <c r="E1405">
        <v>4</v>
      </c>
      <c r="F1405">
        <v>16000</v>
      </c>
      <c r="G1405">
        <v>500</v>
      </c>
      <c r="H1405">
        <v>4400</v>
      </c>
      <c r="I1405" t="s">
        <v>2613</v>
      </c>
      <c r="J1405" s="4">
        <f t="shared" si="63"/>
        <v>60100</v>
      </c>
      <c r="K1405" s="4" t="str">
        <f t="shared" si="64"/>
        <v>2024-07</v>
      </c>
      <c r="L1405" s="4" t="str">
        <f t="shared" si="65"/>
        <v>화</v>
      </c>
      <c r="M1405" s="2" t="str">
        <f>VLOOKUP($C1405, 고객정보!$A$2:$E$151, 2, FALSE)</f>
        <v>대구</v>
      </c>
      <c r="N1405" t="str">
        <f>VLOOKUP(C1405,고객정보!$A$2:$D$151,4,FALSE)</f>
        <v>L3</v>
      </c>
      <c r="O1405" t="str">
        <f>VLOOKUP($C1405, 고객정보!$A$2:$E$151, 5, FALSE)</f>
        <v>40대</v>
      </c>
      <c r="P1405" t="str">
        <f>VLOOKUP(D1405,상품정보!$A$2:$E$61,2,FALSE)</f>
        <v>목걸이</v>
      </c>
      <c r="Q1405" t="str">
        <f>VLOOKUP(D1405,상품정보!$A$2:$D$151,3,FALSE)</f>
        <v>액세서리</v>
      </c>
      <c r="R1405" t="str">
        <f>VLOOKUP(D1405,상품정보!$A$2:$D$151,4,FALSE)</f>
        <v>브랜드E</v>
      </c>
    </row>
    <row r="1406" spans="1:18" x14ac:dyDescent="0.45">
      <c r="A1406" t="s">
        <v>293</v>
      </c>
      <c r="B1406" t="s">
        <v>1805</v>
      </c>
      <c r="C1406" t="s">
        <v>2469</v>
      </c>
      <c r="D1406" t="s">
        <v>2591</v>
      </c>
      <c r="E1406">
        <v>1</v>
      </c>
      <c r="F1406">
        <v>69200</v>
      </c>
      <c r="G1406">
        <v>0</v>
      </c>
      <c r="H1406">
        <v>0</v>
      </c>
      <c r="I1406" t="s">
        <v>2652</v>
      </c>
      <c r="J1406" s="4">
        <f t="shared" si="63"/>
        <v>69200</v>
      </c>
      <c r="K1406" s="4" t="str">
        <f t="shared" si="64"/>
        <v>2024-04</v>
      </c>
      <c r="L1406" s="4" t="str">
        <f t="shared" si="65"/>
        <v>토</v>
      </c>
      <c r="M1406" s="2" t="str">
        <f>VLOOKUP($C1406, 고객정보!$A$2:$E$151, 2, FALSE)</f>
        <v>수원</v>
      </c>
      <c r="N1406" t="str">
        <f>VLOOKUP(C1406,고객정보!$A$2:$D$151,4,FALSE)</f>
        <v>L5</v>
      </c>
      <c r="O1406" t="str">
        <f>VLOOKUP($C1406, 고객정보!$A$2:$E$151, 5, FALSE)</f>
        <v>20대</v>
      </c>
      <c r="P1406" t="str">
        <f>VLOOKUP(D1406,상품정보!$A$2:$E$61,2,FALSE)</f>
        <v>셔츠</v>
      </c>
      <c r="Q1406" t="str">
        <f>VLOOKUP(D1406,상품정보!$A$2:$D$151,3,FALSE)</f>
        <v>의류</v>
      </c>
      <c r="R1406" t="str">
        <f>VLOOKUP(D1406,상품정보!$A$2:$D$151,4,FALSE)</f>
        <v>브랜드F</v>
      </c>
    </row>
    <row r="1407" spans="1:18" x14ac:dyDescent="0.45">
      <c r="A1407" t="s">
        <v>157</v>
      </c>
      <c r="B1407" t="s">
        <v>1806</v>
      </c>
      <c r="C1407" t="s">
        <v>2468</v>
      </c>
      <c r="D1407" t="s">
        <v>2576</v>
      </c>
      <c r="E1407">
        <v>5</v>
      </c>
      <c r="F1407">
        <v>8800</v>
      </c>
      <c r="G1407">
        <v>0</v>
      </c>
      <c r="H1407">
        <v>0</v>
      </c>
      <c r="I1407" t="s">
        <v>2652</v>
      </c>
      <c r="J1407" s="4">
        <f t="shared" si="63"/>
        <v>44000</v>
      </c>
      <c r="K1407" s="4" t="str">
        <f t="shared" si="64"/>
        <v>2024-12</v>
      </c>
      <c r="L1407" s="4" t="str">
        <f t="shared" si="65"/>
        <v>월</v>
      </c>
      <c r="M1407" s="2" t="str">
        <f>VLOOKUP($C1407, 고객정보!$A$2:$E$151, 2, FALSE)</f>
        <v>부산</v>
      </c>
      <c r="N1407" t="str">
        <f>VLOOKUP(C1407,고객정보!$A$2:$D$151,4,FALSE)</f>
        <v>L5</v>
      </c>
      <c r="O1407" t="str">
        <f>VLOOKUP($C1407, 고객정보!$A$2:$E$151, 5, FALSE)</f>
        <v>20대</v>
      </c>
      <c r="P1407" t="str">
        <f>VLOOKUP(D1407,상품정보!$A$2:$E$61,2,FALSE)</f>
        <v>핸드폰케이스</v>
      </c>
      <c r="Q1407" t="str">
        <f>VLOOKUP(D1407,상품정보!$A$2:$D$151,3,FALSE)</f>
        <v>액세서리</v>
      </c>
      <c r="R1407" t="str">
        <f>VLOOKUP(D1407,상품정보!$A$2:$D$151,4,FALSE)</f>
        <v>브랜드D</v>
      </c>
    </row>
    <row r="1408" spans="1:18" x14ac:dyDescent="0.45">
      <c r="A1408" t="s">
        <v>117</v>
      </c>
      <c r="B1408" t="s">
        <v>1807</v>
      </c>
      <c r="C1408" t="s">
        <v>2537</v>
      </c>
      <c r="D1408" t="s">
        <v>2602</v>
      </c>
      <c r="E1408">
        <v>2</v>
      </c>
      <c r="F1408">
        <v>59900</v>
      </c>
      <c r="G1408">
        <v>0</v>
      </c>
      <c r="H1408">
        <v>0</v>
      </c>
      <c r="I1408" t="s">
        <v>2652</v>
      </c>
      <c r="J1408" s="4">
        <f t="shared" si="63"/>
        <v>119800</v>
      </c>
      <c r="K1408" s="4" t="str">
        <f t="shared" si="64"/>
        <v>2024-11</v>
      </c>
      <c r="L1408" s="4" t="str">
        <f t="shared" si="65"/>
        <v>수</v>
      </c>
      <c r="M1408" s="2" t="str">
        <f>VLOOKUP($C1408, 고객정보!$A$2:$E$151, 2, FALSE)</f>
        <v>광주</v>
      </c>
      <c r="N1408" t="str">
        <f>VLOOKUP(C1408,고객정보!$A$2:$D$151,4,FALSE)</f>
        <v>L2</v>
      </c>
      <c r="O1408" t="str">
        <f>VLOOKUP($C1408, 고객정보!$A$2:$E$151, 5, FALSE)</f>
        <v>40대</v>
      </c>
      <c r="P1408" t="str">
        <f>VLOOKUP(D1408,상품정보!$A$2:$E$61,2,FALSE)</f>
        <v>셔츠</v>
      </c>
      <c r="Q1408" t="str">
        <f>VLOOKUP(D1408,상품정보!$A$2:$D$151,3,FALSE)</f>
        <v>의류</v>
      </c>
      <c r="R1408" t="str">
        <f>VLOOKUP(D1408,상품정보!$A$2:$D$151,4,FALSE)</f>
        <v>브랜드A</v>
      </c>
    </row>
    <row r="1409" spans="1:18" x14ac:dyDescent="0.45">
      <c r="A1409" t="s">
        <v>297</v>
      </c>
      <c r="B1409" t="s">
        <v>1808</v>
      </c>
      <c r="C1409" t="s">
        <v>2454</v>
      </c>
      <c r="D1409" t="s">
        <v>2604</v>
      </c>
      <c r="E1409">
        <v>4</v>
      </c>
      <c r="F1409">
        <v>9700</v>
      </c>
      <c r="G1409">
        <v>0</v>
      </c>
      <c r="H1409">
        <v>16700</v>
      </c>
      <c r="I1409" t="s">
        <v>2612</v>
      </c>
      <c r="J1409" s="4">
        <f t="shared" si="63"/>
        <v>22100</v>
      </c>
      <c r="K1409" s="4" t="str">
        <f t="shared" si="64"/>
        <v>2024-11</v>
      </c>
      <c r="L1409" s="4" t="str">
        <f t="shared" si="65"/>
        <v>일</v>
      </c>
      <c r="M1409" s="2" t="str">
        <f>VLOOKUP($C1409, 고객정보!$A$2:$E$151, 2, FALSE)</f>
        <v>부산</v>
      </c>
      <c r="N1409" t="str">
        <f>VLOOKUP(C1409,고객정보!$A$2:$D$151,4,FALSE)</f>
        <v>L3</v>
      </c>
      <c r="O1409" t="str">
        <f>VLOOKUP($C1409, 고객정보!$A$2:$E$151, 5, FALSE)</f>
        <v>40대</v>
      </c>
      <c r="P1409" t="str">
        <f>VLOOKUP(D1409,상품정보!$A$2:$E$61,2,FALSE)</f>
        <v>반팔 티셔츠</v>
      </c>
      <c r="Q1409" t="str">
        <f>VLOOKUP(D1409,상품정보!$A$2:$D$151,3,FALSE)</f>
        <v>의류</v>
      </c>
      <c r="R1409" t="str">
        <f>VLOOKUP(D1409,상품정보!$A$2:$D$151,4,FALSE)</f>
        <v>브랜드E</v>
      </c>
    </row>
    <row r="1410" spans="1:18" x14ac:dyDescent="0.45">
      <c r="A1410" t="s">
        <v>371</v>
      </c>
      <c r="B1410" t="s">
        <v>1809</v>
      </c>
      <c r="C1410" t="s">
        <v>2483</v>
      </c>
      <c r="D1410" t="s">
        <v>2584</v>
      </c>
      <c r="E1410">
        <v>5</v>
      </c>
      <c r="F1410">
        <v>59700</v>
      </c>
      <c r="G1410">
        <v>500</v>
      </c>
      <c r="H1410">
        <v>0</v>
      </c>
      <c r="I1410" t="s">
        <v>2652</v>
      </c>
      <c r="J1410" s="4">
        <f t="shared" si="63"/>
        <v>299000</v>
      </c>
      <c r="K1410" s="4" t="str">
        <f t="shared" si="64"/>
        <v>2024-09</v>
      </c>
      <c r="L1410" s="4" t="str">
        <f t="shared" si="65"/>
        <v>토</v>
      </c>
      <c r="M1410" s="2" t="str">
        <f>VLOOKUP($C1410, 고객정보!$A$2:$E$151, 2, FALSE)</f>
        <v>인천</v>
      </c>
      <c r="N1410" t="str">
        <f>VLOOKUP(C1410,고객정보!$A$2:$D$151,4,FALSE)</f>
        <v>L1</v>
      </c>
      <c r="O1410" t="str">
        <f>VLOOKUP($C1410, 고객정보!$A$2:$E$151, 5, FALSE)</f>
        <v>30대</v>
      </c>
      <c r="P1410" t="str">
        <f>VLOOKUP(D1410,상품정보!$A$2:$E$61,2,FALSE)</f>
        <v>목걸이</v>
      </c>
      <c r="Q1410" t="str">
        <f>VLOOKUP(D1410,상품정보!$A$2:$D$151,3,FALSE)</f>
        <v>액세서리</v>
      </c>
      <c r="R1410" t="str">
        <f>VLOOKUP(D1410,상품정보!$A$2:$D$151,4,FALSE)</f>
        <v>브랜드B</v>
      </c>
    </row>
    <row r="1411" spans="1:18" x14ac:dyDescent="0.45">
      <c r="A1411" t="s">
        <v>360</v>
      </c>
      <c r="B1411" t="s">
        <v>1810</v>
      </c>
      <c r="C1411" t="s">
        <v>2449</v>
      </c>
      <c r="D1411" t="s">
        <v>2553</v>
      </c>
      <c r="E1411">
        <v>4</v>
      </c>
      <c r="F1411">
        <v>63400</v>
      </c>
      <c r="G1411">
        <v>0</v>
      </c>
      <c r="H1411">
        <v>1800</v>
      </c>
      <c r="I1411" t="s">
        <v>2611</v>
      </c>
      <c r="J1411" s="4">
        <f t="shared" ref="J1411:J1474" si="66">E1411*F1411+G1411-H1411</f>
        <v>251800</v>
      </c>
      <c r="K1411" s="4" t="str">
        <f t="shared" ref="K1411:K1474" si="67">LEFT(A1411,7)</f>
        <v>2024-12</v>
      </c>
      <c r="L1411" s="4" t="str">
        <f t="shared" ref="L1411:L1474" si="68">TEXT(WEEKDAY(A1411),"aaa")</f>
        <v>화</v>
      </c>
      <c r="M1411" s="2" t="str">
        <f>VLOOKUP($C1411, 고객정보!$A$2:$E$151, 2, FALSE)</f>
        <v>대구</v>
      </c>
      <c r="N1411" t="str">
        <f>VLOOKUP(C1411,고객정보!$A$2:$D$151,4,FALSE)</f>
        <v>L5</v>
      </c>
      <c r="O1411" t="str">
        <f>VLOOKUP($C1411, 고객정보!$A$2:$E$151, 5, FALSE)</f>
        <v>40대</v>
      </c>
      <c r="P1411" t="str">
        <f>VLOOKUP(D1411,상품정보!$A$2:$E$61,2,FALSE)</f>
        <v>귀걸이</v>
      </c>
      <c r="Q1411" t="str">
        <f>VLOOKUP(D1411,상품정보!$A$2:$D$151,3,FALSE)</f>
        <v>액세서리</v>
      </c>
      <c r="R1411" t="str">
        <f>VLOOKUP(D1411,상품정보!$A$2:$D$151,4,FALSE)</f>
        <v>브랜드F</v>
      </c>
    </row>
    <row r="1412" spans="1:18" x14ac:dyDescent="0.45">
      <c r="A1412" t="s">
        <v>48</v>
      </c>
      <c r="B1412" t="s">
        <v>1811</v>
      </c>
      <c r="C1412" t="s">
        <v>2469</v>
      </c>
      <c r="D1412" t="s">
        <v>2590</v>
      </c>
      <c r="E1412">
        <v>5</v>
      </c>
      <c r="F1412">
        <v>68900</v>
      </c>
      <c r="G1412">
        <v>500</v>
      </c>
      <c r="H1412">
        <v>0</v>
      </c>
      <c r="I1412" t="s">
        <v>2652</v>
      </c>
      <c r="J1412" s="4">
        <f t="shared" si="66"/>
        <v>345000</v>
      </c>
      <c r="K1412" s="4" t="str">
        <f t="shared" si="67"/>
        <v>2024-10</v>
      </c>
      <c r="L1412" s="4" t="str">
        <f t="shared" si="68"/>
        <v>목</v>
      </c>
      <c r="M1412" s="2" t="str">
        <f>VLOOKUP($C1412, 고객정보!$A$2:$E$151, 2, FALSE)</f>
        <v>수원</v>
      </c>
      <c r="N1412" t="str">
        <f>VLOOKUP(C1412,고객정보!$A$2:$D$151,4,FALSE)</f>
        <v>L5</v>
      </c>
      <c r="O1412" t="str">
        <f>VLOOKUP($C1412, 고객정보!$A$2:$E$151, 5, FALSE)</f>
        <v>20대</v>
      </c>
      <c r="P1412" t="str">
        <f>VLOOKUP(D1412,상품정보!$A$2:$E$61,2,FALSE)</f>
        <v>반팔 티셔츠</v>
      </c>
      <c r="Q1412" t="str">
        <f>VLOOKUP(D1412,상품정보!$A$2:$D$151,3,FALSE)</f>
        <v>의류</v>
      </c>
      <c r="R1412" t="str">
        <f>VLOOKUP(D1412,상품정보!$A$2:$D$151,4,FALSE)</f>
        <v>브랜드A</v>
      </c>
    </row>
    <row r="1413" spans="1:18" x14ac:dyDescent="0.45">
      <c r="A1413" t="s">
        <v>370</v>
      </c>
      <c r="B1413" t="s">
        <v>1812</v>
      </c>
      <c r="C1413" t="s">
        <v>2490</v>
      </c>
      <c r="D1413" t="s">
        <v>2590</v>
      </c>
      <c r="E1413">
        <v>4</v>
      </c>
      <c r="F1413">
        <v>68900</v>
      </c>
      <c r="G1413">
        <v>500</v>
      </c>
      <c r="H1413">
        <v>0</v>
      </c>
      <c r="I1413" t="s">
        <v>2652</v>
      </c>
      <c r="J1413" s="4">
        <f t="shared" si="66"/>
        <v>276100</v>
      </c>
      <c r="K1413" s="4" t="str">
        <f t="shared" si="67"/>
        <v>2024-09</v>
      </c>
      <c r="L1413" s="4" t="str">
        <f t="shared" si="68"/>
        <v>화</v>
      </c>
      <c r="M1413" s="2" t="str">
        <f>VLOOKUP($C1413, 고객정보!$A$2:$E$151, 2, FALSE)</f>
        <v>부산</v>
      </c>
      <c r="N1413" t="str">
        <f>VLOOKUP(C1413,고객정보!$A$2:$D$151,4,FALSE)</f>
        <v>L3</v>
      </c>
      <c r="O1413" t="str">
        <f>VLOOKUP($C1413, 고객정보!$A$2:$E$151, 5, FALSE)</f>
        <v>20대</v>
      </c>
      <c r="P1413" t="str">
        <f>VLOOKUP(D1413,상품정보!$A$2:$E$61,2,FALSE)</f>
        <v>반팔 티셔츠</v>
      </c>
      <c r="Q1413" t="str">
        <f>VLOOKUP(D1413,상품정보!$A$2:$D$151,3,FALSE)</f>
        <v>의류</v>
      </c>
      <c r="R1413" t="str">
        <f>VLOOKUP(D1413,상품정보!$A$2:$D$151,4,FALSE)</f>
        <v>브랜드A</v>
      </c>
    </row>
    <row r="1414" spans="1:18" x14ac:dyDescent="0.45">
      <c r="A1414" t="s">
        <v>15</v>
      </c>
      <c r="B1414" t="s">
        <v>1813</v>
      </c>
      <c r="C1414" t="s">
        <v>2537</v>
      </c>
      <c r="D1414" t="s">
        <v>2599</v>
      </c>
      <c r="E1414">
        <v>1</v>
      </c>
      <c r="F1414">
        <v>73800</v>
      </c>
      <c r="G1414">
        <v>500</v>
      </c>
      <c r="H1414">
        <v>0</v>
      </c>
      <c r="I1414" t="s">
        <v>2652</v>
      </c>
      <c r="J1414" s="4">
        <f t="shared" si="66"/>
        <v>74300</v>
      </c>
      <c r="K1414" s="4" t="str">
        <f t="shared" si="67"/>
        <v>2024-12</v>
      </c>
      <c r="L1414" s="4" t="str">
        <f t="shared" si="68"/>
        <v>월</v>
      </c>
      <c r="M1414" s="2" t="str">
        <f>VLOOKUP($C1414, 고객정보!$A$2:$E$151, 2, FALSE)</f>
        <v>광주</v>
      </c>
      <c r="N1414" t="str">
        <f>VLOOKUP(C1414,고객정보!$A$2:$D$151,4,FALSE)</f>
        <v>L2</v>
      </c>
      <c r="O1414" t="str">
        <f>VLOOKUP($C1414, 고객정보!$A$2:$E$151, 5, FALSE)</f>
        <v>40대</v>
      </c>
      <c r="P1414" t="str">
        <f>VLOOKUP(D1414,상품정보!$A$2:$E$61,2,FALSE)</f>
        <v>핸드폰케이스</v>
      </c>
      <c r="Q1414" t="str">
        <f>VLOOKUP(D1414,상품정보!$A$2:$D$151,3,FALSE)</f>
        <v>액세서리</v>
      </c>
      <c r="R1414" t="str">
        <f>VLOOKUP(D1414,상품정보!$A$2:$D$151,4,FALSE)</f>
        <v>브랜드F</v>
      </c>
    </row>
    <row r="1415" spans="1:18" x14ac:dyDescent="0.45">
      <c r="A1415" t="s">
        <v>375</v>
      </c>
      <c r="B1415" t="s">
        <v>1814</v>
      </c>
      <c r="C1415" t="s">
        <v>2441</v>
      </c>
      <c r="D1415" t="s">
        <v>2609</v>
      </c>
      <c r="E1415">
        <v>2</v>
      </c>
      <c r="F1415">
        <v>58600</v>
      </c>
      <c r="G1415">
        <v>0</v>
      </c>
      <c r="H1415">
        <v>0</v>
      </c>
      <c r="I1415" t="s">
        <v>2652</v>
      </c>
      <c r="J1415" s="4">
        <f t="shared" si="66"/>
        <v>117200</v>
      </c>
      <c r="K1415" s="4" t="str">
        <f t="shared" si="67"/>
        <v>2024-09</v>
      </c>
      <c r="L1415" s="4" t="str">
        <f t="shared" si="68"/>
        <v>화</v>
      </c>
      <c r="M1415" s="2" t="str">
        <f>VLOOKUP($C1415, 고객정보!$A$2:$E$151, 2, FALSE)</f>
        <v>부산</v>
      </c>
      <c r="N1415" t="str">
        <f>VLOOKUP(C1415,고객정보!$A$2:$D$151,4,FALSE)</f>
        <v>L2</v>
      </c>
      <c r="O1415" t="str">
        <f>VLOOKUP($C1415, 고객정보!$A$2:$E$151, 5, FALSE)</f>
        <v>20대</v>
      </c>
      <c r="P1415" t="str">
        <f>VLOOKUP(D1415,상품정보!$A$2:$E$61,2,FALSE)</f>
        <v>목걸이</v>
      </c>
      <c r="Q1415" t="str">
        <f>VLOOKUP(D1415,상품정보!$A$2:$D$151,3,FALSE)</f>
        <v>액세서리</v>
      </c>
      <c r="R1415" t="str">
        <f>VLOOKUP(D1415,상품정보!$A$2:$D$151,4,FALSE)</f>
        <v>브랜드F</v>
      </c>
    </row>
    <row r="1416" spans="1:18" x14ac:dyDescent="0.45">
      <c r="A1416" t="s">
        <v>255</v>
      </c>
      <c r="B1416" t="s">
        <v>1815</v>
      </c>
      <c r="C1416" t="s">
        <v>2418</v>
      </c>
      <c r="D1416" t="s">
        <v>2603</v>
      </c>
      <c r="E1416">
        <v>5</v>
      </c>
      <c r="F1416">
        <v>8200</v>
      </c>
      <c r="G1416">
        <v>0</v>
      </c>
      <c r="H1416">
        <v>0</v>
      </c>
      <c r="I1416" t="s">
        <v>2652</v>
      </c>
      <c r="J1416" s="4">
        <f t="shared" si="66"/>
        <v>41000</v>
      </c>
      <c r="K1416" s="4" t="str">
        <f t="shared" si="67"/>
        <v>2025-01</v>
      </c>
      <c r="L1416" s="4" t="str">
        <f t="shared" si="68"/>
        <v>화</v>
      </c>
      <c r="M1416" s="2" t="str">
        <f>VLOOKUP($C1416, 고객정보!$A$2:$E$151, 2, FALSE)</f>
        <v>부산</v>
      </c>
      <c r="N1416" t="str">
        <f>VLOOKUP(C1416,고객정보!$A$2:$D$151,4,FALSE)</f>
        <v>L5</v>
      </c>
      <c r="O1416" t="str">
        <f>VLOOKUP($C1416, 고객정보!$A$2:$E$151, 5, FALSE)</f>
        <v>30대</v>
      </c>
      <c r="P1416" t="str">
        <f>VLOOKUP(D1416,상품정보!$A$2:$E$61,2,FALSE)</f>
        <v>목걸이</v>
      </c>
      <c r="Q1416" t="str">
        <f>VLOOKUP(D1416,상품정보!$A$2:$D$151,3,FALSE)</f>
        <v>액세서리</v>
      </c>
      <c r="R1416" t="str">
        <f>VLOOKUP(D1416,상품정보!$A$2:$D$151,4,FALSE)</f>
        <v>브랜드E</v>
      </c>
    </row>
    <row r="1417" spans="1:18" x14ac:dyDescent="0.45">
      <c r="A1417" t="s">
        <v>88</v>
      </c>
      <c r="B1417" t="s">
        <v>1816</v>
      </c>
      <c r="C1417" t="s">
        <v>2494</v>
      </c>
      <c r="D1417" t="s">
        <v>2591</v>
      </c>
      <c r="E1417">
        <v>4</v>
      </c>
      <c r="F1417">
        <v>69200</v>
      </c>
      <c r="G1417">
        <v>0</v>
      </c>
      <c r="H1417">
        <v>7100</v>
      </c>
      <c r="I1417" t="s">
        <v>2613</v>
      </c>
      <c r="J1417" s="4">
        <f t="shared" si="66"/>
        <v>269700</v>
      </c>
      <c r="K1417" s="4" t="str">
        <f t="shared" si="67"/>
        <v>2024-03</v>
      </c>
      <c r="L1417" s="4" t="str">
        <f t="shared" si="68"/>
        <v>토</v>
      </c>
      <c r="M1417" s="2" t="str">
        <f>VLOOKUP($C1417, 고객정보!$A$2:$E$151, 2, FALSE)</f>
        <v>대구</v>
      </c>
      <c r="N1417" t="str">
        <f>VLOOKUP(C1417,고객정보!$A$2:$D$151,4,FALSE)</f>
        <v>L4</v>
      </c>
      <c r="O1417" t="str">
        <f>VLOOKUP($C1417, 고객정보!$A$2:$E$151, 5, FALSE)</f>
        <v>40대</v>
      </c>
      <c r="P1417" t="str">
        <f>VLOOKUP(D1417,상품정보!$A$2:$E$61,2,FALSE)</f>
        <v>셔츠</v>
      </c>
      <c r="Q1417" t="str">
        <f>VLOOKUP(D1417,상품정보!$A$2:$D$151,3,FALSE)</f>
        <v>의류</v>
      </c>
      <c r="R1417" t="str">
        <f>VLOOKUP(D1417,상품정보!$A$2:$D$151,4,FALSE)</f>
        <v>브랜드F</v>
      </c>
    </row>
    <row r="1418" spans="1:18" x14ac:dyDescent="0.45">
      <c r="A1418" t="s">
        <v>148</v>
      </c>
      <c r="B1418" t="s">
        <v>1817</v>
      </c>
      <c r="C1418" t="s">
        <v>2505</v>
      </c>
      <c r="D1418" t="s">
        <v>2608</v>
      </c>
      <c r="E1418">
        <v>2</v>
      </c>
      <c r="F1418">
        <v>10600</v>
      </c>
      <c r="G1418">
        <v>500</v>
      </c>
      <c r="H1418">
        <v>0</v>
      </c>
      <c r="I1418" t="s">
        <v>2652</v>
      </c>
      <c r="J1418" s="4">
        <f t="shared" si="66"/>
        <v>21700</v>
      </c>
      <c r="K1418" s="4" t="str">
        <f t="shared" si="67"/>
        <v>2024-02</v>
      </c>
      <c r="L1418" s="4" t="str">
        <f t="shared" si="68"/>
        <v>월</v>
      </c>
      <c r="M1418" s="2" t="str">
        <f>VLOOKUP($C1418, 고객정보!$A$2:$E$151, 2, FALSE)</f>
        <v>대구</v>
      </c>
      <c r="N1418" t="str">
        <f>VLOOKUP(C1418,고객정보!$A$2:$D$151,4,FALSE)</f>
        <v>L4</v>
      </c>
      <c r="O1418" t="str">
        <f>VLOOKUP($C1418, 고객정보!$A$2:$E$151, 5, FALSE)</f>
        <v>40대</v>
      </c>
      <c r="P1418" t="str">
        <f>VLOOKUP(D1418,상품정보!$A$2:$E$61,2,FALSE)</f>
        <v>셔츠</v>
      </c>
      <c r="Q1418" t="str">
        <f>VLOOKUP(D1418,상품정보!$A$2:$D$151,3,FALSE)</f>
        <v>의류</v>
      </c>
      <c r="R1418" t="str">
        <f>VLOOKUP(D1418,상품정보!$A$2:$D$151,4,FALSE)</f>
        <v>브랜드D</v>
      </c>
    </row>
    <row r="1419" spans="1:18" x14ac:dyDescent="0.45">
      <c r="A1419" t="s">
        <v>220</v>
      </c>
      <c r="B1419" t="s">
        <v>1818</v>
      </c>
      <c r="C1419" t="s">
        <v>2517</v>
      </c>
      <c r="D1419" t="s">
        <v>2560</v>
      </c>
      <c r="E1419">
        <v>5</v>
      </c>
      <c r="F1419">
        <v>60600</v>
      </c>
      <c r="G1419">
        <v>1000</v>
      </c>
      <c r="H1419">
        <v>0</v>
      </c>
      <c r="I1419" t="s">
        <v>2652</v>
      </c>
      <c r="J1419" s="4">
        <f t="shared" si="66"/>
        <v>304000</v>
      </c>
      <c r="K1419" s="4" t="str">
        <f t="shared" si="67"/>
        <v>2024-07</v>
      </c>
      <c r="L1419" s="4" t="str">
        <f t="shared" si="68"/>
        <v>일</v>
      </c>
      <c r="M1419" s="2" t="str">
        <f>VLOOKUP($C1419, 고객정보!$A$2:$E$151, 2, FALSE)</f>
        <v>서울</v>
      </c>
      <c r="N1419" t="str">
        <f>VLOOKUP(C1419,고객정보!$A$2:$D$151,4,FALSE)</f>
        <v>L4</v>
      </c>
      <c r="O1419" t="str">
        <f>VLOOKUP($C1419, 고객정보!$A$2:$E$151, 5, FALSE)</f>
        <v>20대</v>
      </c>
      <c r="P1419" t="str">
        <f>VLOOKUP(D1419,상품정보!$A$2:$E$61,2,FALSE)</f>
        <v>반팔 티셔츠</v>
      </c>
      <c r="Q1419" t="str">
        <f>VLOOKUP(D1419,상품정보!$A$2:$D$151,3,FALSE)</f>
        <v>의류</v>
      </c>
      <c r="R1419" t="str">
        <f>VLOOKUP(D1419,상품정보!$A$2:$D$151,4,FALSE)</f>
        <v>브랜드F</v>
      </c>
    </row>
    <row r="1420" spans="1:18" x14ac:dyDescent="0.45">
      <c r="A1420" t="s">
        <v>351</v>
      </c>
      <c r="B1420" t="s">
        <v>1819</v>
      </c>
      <c r="C1420" t="s">
        <v>2505</v>
      </c>
      <c r="D1420" t="s">
        <v>2555</v>
      </c>
      <c r="E1420">
        <v>1</v>
      </c>
      <c r="F1420">
        <v>8300</v>
      </c>
      <c r="G1420">
        <v>0</v>
      </c>
      <c r="H1420">
        <v>0</v>
      </c>
      <c r="I1420" t="s">
        <v>2652</v>
      </c>
      <c r="J1420" s="4">
        <f t="shared" si="66"/>
        <v>8300</v>
      </c>
      <c r="K1420" s="4" t="str">
        <f t="shared" si="67"/>
        <v>2024-12</v>
      </c>
      <c r="L1420" s="4" t="str">
        <f t="shared" si="68"/>
        <v>일</v>
      </c>
      <c r="M1420" s="2" t="str">
        <f>VLOOKUP($C1420, 고객정보!$A$2:$E$151, 2, FALSE)</f>
        <v>대구</v>
      </c>
      <c r="N1420" t="str">
        <f>VLOOKUP(C1420,고객정보!$A$2:$D$151,4,FALSE)</f>
        <v>L4</v>
      </c>
      <c r="O1420" t="str">
        <f>VLOOKUP($C1420, 고객정보!$A$2:$E$151, 5, FALSE)</f>
        <v>40대</v>
      </c>
      <c r="P1420" t="str">
        <f>VLOOKUP(D1420,상품정보!$A$2:$E$61,2,FALSE)</f>
        <v>청바지</v>
      </c>
      <c r="Q1420" t="str">
        <f>VLOOKUP(D1420,상품정보!$A$2:$D$151,3,FALSE)</f>
        <v>의류</v>
      </c>
      <c r="R1420" t="str">
        <f>VLOOKUP(D1420,상품정보!$A$2:$D$151,4,FALSE)</f>
        <v>브랜드E</v>
      </c>
    </row>
    <row r="1421" spans="1:18" x14ac:dyDescent="0.45">
      <c r="A1421" t="s">
        <v>302</v>
      </c>
      <c r="B1421" t="s">
        <v>1820</v>
      </c>
      <c r="C1421" t="s">
        <v>2408</v>
      </c>
      <c r="D1421" t="s">
        <v>2563</v>
      </c>
      <c r="E1421">
        <v>5</v>
      </c>
      <c r="F1421">
        <v>6900</v>
      </c>
      <c r="G1421">
        <v>0</v>
      </c>
      <c r="H1421">
        <v>700</v>
      </c>
      <c r="I1421" t="s">
        <v>2614</v>
      </c>
      <c r="J1421" s="4">
        <f t="shared" si="66"/>
        <v>33800</v>
      </c>
      <c r="K1421" s="4" t="str">
        <f t="shared" si="67"/>
        <v>2024-03</v>
      </c>
      <c r="L1421" s="4" t="str">
        <f t="shared" si="68"/>
        <v>금</v>
      </c>
      <c r="M1421" s="2" t="str">
        <f>VLOOKUP($C1421, 고객정보!$A$2:$E$151, 2, FALSE)</f>
        <v>수원</v>
      </c>
      <c r="N1421" t="str">
        <f>VLOOKUP(C1421,고객정보!$A$2:$D$151,4,FALSE)</f>
        <v>L5</v>
      </c>
      <c r="O1421" t="str">
        <f>VLOOKUP($C1421, 고객정보!$A$2:$E$151, 5, FALSE)</f>
        <v>20대</v>
      </c>
      <c r="P1421" t="str">
        <f>VLOOKUP(D1421,상품정보!$A$2:$E$61,2,FALSE)</f>
        <v>귀걸이</v>
      </c>
      <c r="Q1421" t="str">
        <f>VLOOKUP(D1421,상품정보!$A$2:$D$151,3,FALSE)</f>
        <v>액세서리</v>
      </c>
      <c r="R1421" t="str">
        <f>VLOOKUP(D1421,상품정보!$A$2:$D$151,4,FALSE)</f>
        <v>브랜드D</v>
      </c>
    </row>
    <row r="1422" spans="1:18" x14ac:dyDescent="0.45">
      <c r="A1422" t="s">
        <v>127</v>
      </c>
      <c r="B1422" t="s">
        <v>1821</v>
      </c>
      <c r="C1422" t="s">
        <v>2468</v>
      </c>
      <c r="D1422" t="s">
        <v>2594</v>
      </c>
      <c r="E1422">
        <v>4</v>
      </c>
      <c r="F1422">
        <v>73000</v>
      </c>
      <c r="G1422">
        <v>1000</v>
      </c>
      <c r="H1422">
        <v>0</v>
      </c>
      <c r="I1422" t="s">
        <v>2652</v>
      </c>
      <c r="J1422" s="4">
        <f t="shared" si="66"/>
        <v>293000</v>
      </c>
      <c r="K1422" s="4" t="str">
        <f t="shared" si="67"/>
        <v>2024-12</v>
      </c>
      <c r="L1422" s="4" t="str">
        <f t="shared" si="68"/>
        <v>일</v>
      </c>
      <c r="M1422" s="2" t="str">
        <f>VLOOKUP($C1422, 고객정보!$A$2:$E$151, 2, FALSE)</f>
        <v>부산</v>
      </c>
      <c r="N1422" t="str">
        <f>VLOOKUP(C1422,고객정보!$A$2:$D$151,4,FALSE)</f>
        <v>L5</v>
      </c>
      <c r="O1422" t="str">
        <f>VLOOKUP($C1422, 고객정보!$A$2:$E$151, 5, FALSE)</f>
        <v>20대</v>
      </c>
      <c r="P1422" t="str">
        <f>VLOOKUP(D1422,상품정보!$A$2:$E$61,2,FALSE)</f>
        <v>자켓</v>
      </c>
      <c r="Q1422" t="str">
        <f>VLOOKUP(D1422,상품정보!$A$2:$D$151,3,FALSE)</f>
        <v>의류</v>
      </c>
      <c r="R1422" t="str">
        <f>VLOOKUP(D1422,상품정보!$A$2:$D$151,4,FALSE)</f>
        <v>브랜드A</v>
      </c>
    </row>
    <row r="1423" spans="1:18" x14ac:dyDescent="0.45">
      <c r="A1423" t="s">
        <v>220</v>
      </c>
      <c r="B1423" t="s">
        <v>1822</v>
      </c>
      <c r="C1423" t="s">
        <v>2548</v>
      </c>
      <c r="D1423" t="s">
        <v>2606</v>
      </c>
      <c r="E1423">
        <v>3</v>
      </c>
      <c r="F1423">
        <v>15000</v>
      </c>
      <c r="G1423">
        <v>500</v>
      </c>
      <c r="H1423">
        <v>0</v>
      </c>
      <c r="I1423" t="s">
        <v>2652</v>
      </c>
      <c r="J1423" s="4">
        <f t="shared" si="66"/>
        <v>45500</v>
      </c>
      <c r="K1423" s="4" t="str">
        <f t="shared" si="67"/>
        <v>2024-07</v>
      </c>
      <c r="L1423" s="4" t="str">
        <f t="shared" si="68"/>
        <v>일</v>
      </c>
      <c r="M1423" s="2" t="str">
        <f>VLOOKUP($C1423, 고객정보!$A$2:$E$151, 2, FALSE)</f>
        <v>수원</v>
      </c>
      <c r="N1423" t="str">
        <f>VLOOKUP(C1423,고객정보!$A$2:$D$151,4,FALSE)</f>
        <v>L2</v>
      </c>
      <c r="O1423" t="str">
        <f>VLOOKUP($C1423, 고객정보!$A$2:$E$151, 5, FALSE)</f>
        <v>50대 이상</v>
      </c>
      <c r="P1423" t="str">
        <f>VLOOKUP(D1423,상품정보!$A$2:$E$61,2,FALSE)</f>
        <v>귀걸이</v>
      </c>
      <c r="Q1423" t="str">
        <f>VLOOKUP(D1423,상품정보!$A$2:$D$151,3,FALSE)</f>
        <v>액세서리</v>
      </c>
      <c r="R1423" t="str">
        <f>VLOOKUP(D1423,상품정보!$A$2:$D$151,4,FALSE)</f>
        <v>브랜드E</v>
      </c>
    </row>
    <row r="1424" spans="1:18" x14ac:dyDescent="0.45">
      <c r="A1424" t="s">
        <v>133</v>
      </c>
      <c r="B1424" t="s">
        <v>1823</v>
      </c>
      <c r="C1424" t="s">
        <v>2415</v>
      </c>
      <c r="D1424" t="s">
        <v>2591</v>
      </c>
      <c r="E1424">
        <v>2</v>
      </c>
      <c r="F1424">
        <v>69200</v>
      </c>
      <c r="G1424">
        <v>0</v>
      </c>
      <c r="H1424">
        <v>0</v>
      </c>
      <c r="I1424" t="s">
        <v>2652</v>
      </c>
      <c r="J1424" s="4">
        <f t="shared" si="66"/>
        <v>138400</v>
      </c>
      <c r="K1424" s="4" t="str">
        <f t="shared" si="67"/>
        <v>2024-08</v>
      </c>
      <c r="L1424" s="4" t="str">
        <f t="shared" si="68"/>
        <v>화</v>
      </c>
      <c r="M1424" s="2" t="str">
        <f>VLOOKUP($C1424, 고객정보!$A$2:$E$151, 2, FALSE)</f>
        <v>광주</v>
      </c>
      <c r="N1424" t="str">
        <f>VLOOKUP(C1424,고객정보!$A$2:$D$151,4,FALSE)</f>
        <v>L3</v>
      </c>
      <c r="O1424" t="str">
        <f>VLOOKUP($C1424, 고객정보!$A$2:$E$151, 5, FALSE)</f>
        <v>30대</v>
      </c>
      <c r="P1424" t="str">
        <f>VLOOKUP(D1424,상품정보!$A$2:$E$61,2,FALSE)</f>
        <v>셔츠</v>
      </c>
      <c r="Q1424" t="str">
        <f>VLOOKUP(D1424,상품정보!$A$2:$D$151,3,FALSE)</f>
        <v>의류</v>
      </c>
      <c r="R1424" t="str">
        <f>VLOOKUP(D1424,상품정보!$A$2:$D$151,4,FALSE)</f>
        <v>브랜드F</v>
      </c>
    </row>
    <row r="1425" spans="1:18" x14ac:dyDescent="0.45">
      <c r="A1425" t="s">
        <v>68</v>
      </c>
      <c r="B1425" t="s">
        <v>1824</v>
      </c>
      <c r="C1425" t="s">
        <v>2429</v>
      </c>
      <c r="D1425" t="s">
        <v>2605</v>
      </c>
      <c r="E1425">
        <v>3</v>
      </c>
      <c r="F1425">
        <v>6800</v>
      </c>
      <c r="G1425">
        <v>1000</v>
      </c>
      <c r="H1425">
        <v>0</v>
      </c>
      <c r="I1425" t="s">
        <v>2652</v>
      </c>
      <c r="J1425" s="4">
        <f t="shared" si="66"/>
        <v>21400</v>
      </c>
      <c r="K1425" s="4" t="str">
        <f t="shared" si="67"/>
        <v>2024-10</v>
      </c>
      <c r="L1425" s="4" t="str">
        <f t="shared" si="68"/>
        <v>화</v>
      </c>
      <c r="M1425" s="2" t="str">
        <f>VLOOKUP($C1425, 고객정보!$A$2:$E$151, 2, FALSE)</f>
        <v>서울</v>
      </c>
      <c r="N1425" t="str">
        <f>VLOOKUP(C1425,고객정보!$A$2:$D$151,4,FALSE)</f>
        <v>L1</v>
      </c>
      <c r="O1425" t="str">
        <f>VLOOKUP($C1425, 고객정보!$A$2:$E$151, 5, FALSE)</f>
        <v>10대</v>
      </c>
      <c r="P1425" t="str">
        <f>VLOOKUP(D1425,상품정보!$A$2:$E$61,2,FALSE)</f>
        <v>핸드폰케이스</v>
      </c>
      <c r="Q1425" t="str">
        <f>VLOOKUP(D1425,상품정보!$A$2:$D$151,3,FALSE)</f>
        <v>액세서리</v>
      </c>
      <c r="R1425" t="str">
        <f>VLOOKUP(D1425,상품정보!$A$2:$D$151,4,FALSE)</f>
        <v>브랜드D</v>
      </c>
    </row>
    <row r="1426" spans="1:18" x14ac:dyDescent="0.45">
      <c r="A1426" t="s">
        <v>361</v>
      </c>
      <c r="B1426" t="s">
        <v>1825</v>
      </c>
      <c r="C1426" t="s">
        <v>2409</v>
      </c>
      <c r="D1426" t="s">
        <v>2563</v>
      </c>
      <c r="E1426">
        <v>3</v>
      </c>
      <c r="F1426">
        <v>6900</v>
      </c>
      <c r="G1426">
        <v>1000</v>
      </c>
      <c r="H1426">
        <v>2800</v>
      </c>
      <c r="I1426" t="s">
        <v>2613</v>
      </c>
      <c r="J1426" s="4">
        <f t="shared" si="66"/>
        <v>18900</v>
      </c>
      <c r="K1426" s="4" t="str">
        <f t="shared" si="67"/>
        <v>2024-11</v>
      </c>
      <c r="L1426" s="4" t="str">
        <f t="shared" si="68"/>
        <v>토</v>
      </c>
      <c r="M1426" s="2" t="str">
        <f>VLOOKUP($C1426, 고객정보!$A$2:$E$151, 2, FALSE)</f>
        <v>서울</v>
      </c>
      <c r="N1426" t="str">
        <f>VLOOKUP(C1426,고객정보!$A$2:$D$151,4,FALSE)</f>
        <v>L3</v>
      </c>
      <c r="O1426" t="str">
        <f>VLOOKUP($C1426, 고객정보!$A$2:$E$151, 5, FALSE)</f>
        <v>50대 이상</v>
      </c>
      <c r="P1426" t="str">
        <f>VLOOKUP(D1426,상품정보!$A$2:$E$61,2,FALSE)</f>
        <v>귀걸이</v>
      </c>
      <c r="Q1426" t="str">
        <f>VLOOKUP(D1426,상품정보!$A$2:$D$151,3,FALSE)</f>
        <v>액세서리</v>
      </c>
      <c r="R1426" t="str">
        <f>VLOOKUP(D1426,상품정보!$A$2:$D$151,4,FALSE)</f>
        <v>브랜드D</v>
      </c>
    </row>
    <row r="1427" spans="1:18" x14ac:dyDescent="0.45">
      <c r="A1427" t="s">
        <v>56</v>
      </c>
      <c r="B1427" t="s">
        <v>1826</v>
      </c>
      <c r="C1427" t="s">
        <v>2508</v>
      </c>
      <c r="D1427" t="s">
        <v>2579</v>
      </c>
      <c r="E1427">
        <v>4</v>
      </c>
      <c r="F1427">
        <v>51000</v>
      </c>
      <c r="G1427">
        <v>0</v>
      </c>
      <c r="H1427">
        <v>10800</v>
      </c>
      <c r="I1427" t="s">
        <v>2611</v>
      </c>
      <c r="J1427" s="4">
        <f t="shared" si="66"/>
        <v>193200</v>
      </c>
      <c r="K1427" s="4" t="str">
        <f t="shared" si="67"/>
        <v>2025-01</v>
      </c>
      <c r="L1427" s="4" t="str">
        <f t="shared" si="68"/>
        <v>화</v>
      </c>
      <c r="M1427" s="2" t="str">
        <f>VLOOKUP($C1427, 고객정보!$A$2:$E$151, 2, FALSE)</f>
        <v>광주</v>
      </c>
      <c r="N1427" t="str">
        <f>VLOOKUP(C1427,고객정보!$A$2:$D$151,4,FALSE)</f>
        <v>L1</v>
      </c>
      <c r="O1427" t="str">
        <f>VLOOKUP($C1427, 고객정보!$A$2:$E$151, 5, FALSE)</f>
        <v>50대 이상</v>
      </c>
      <c r="P1427" t="str">
        <f>VLOOKUP(D1427,상품정보!$A$2:$E$61,2,FALSE)</f>
        <v>핸드폰케이스</v>
      </c>
      <c r="Q1427" t="str">
        <f>VLOOKUP(D1427,상품정보!$A$2:$D$151,3,FALSE)</f>
        <v>액세서리</v>
      </c>
      <c r="R1427" t="str">
        <f>VLOOKUP(D1427,상품정보!$A$2:$D$151,4,FALSE)</f>
        <v>브랜드F</v>
      </c>
    </row>
    <row r="1428" spans="1:18" x14ac:dyDescent="0.45">
      <c r="A1428" t="s">
        <v>187</v>
      </c>
      <c r="B1428" t="s">
        <v>1827</v>
      </c>
      <c r="C1428" t="s">
        <v>2548</v>
      </c>
      <c r="D1428" t="s">
        <v>2592</v>
      </c>
      <c r="E1428">
        <v>5</v>
      </c>
      <c r="F1428">
        <v>72700</v>
      </c>
      <c r="G1428">
        <v>0</v>
      </c>
      <c r="H1428">
        <v>0</v>
      </c>
      <c r="I1428" t="s">
        <v>2652</v>
      </c>
      <c r="J1428" s="4">
        <f t="shared" si="66"/>
        <v>363500</v>
      </c>
      <c r="K1428" s="4" t="str">
        <f t="shared" si="67"/>
        <v>2024-10</v>
      </c>
      <c r="L1428" s="4" t="str">
        <f t="shared" si="68"/>
        <v>토</v>
      </c>
      <c r="M1428" s="2" t="str">
        <f>VLOOKUP($C1428, 고객정보!$A$2:$E$151, 2, FALSE)</f>
        <v>수원</v>
      </c>
      <c r="N1428" t="str">
        <f>VLOOKUP(C1428,고객정보!$A$2:$D$151,4,FALSE)</f>
        <v>L2</v>
      </c>
      <c r="O1428" t="str">
        <f>VLOOKUP($C1428, 고객정보!$A$2:$E$151, 5, FALSE)</f>
        <v>50대 이상</v>
      </c>
      <c r="P1428" t="str">
        <f>VLOOKUP(D1428,상품정보!$A$2:$E$61,2,FALSE)</f>
        <v>귀걸이</v>
      </c>
      <c r="Q1428" t="str">
        <f>VLOOKUP(D1428,상품정보!$A$2:$D$151,3,FALSE)</f>
        <v>액세서리</v>
      </c>
      <c r="R1428" t="str">
        <f>VLOOKUP(D1428,상품정보!$A$2:$D$151,4,FALSE)</f>
        <v>브랜드A</v>
      </c>
    </row>
    <row r="1429" spans="1:18" x14ac:dyDescent="0.45">
      <c r="A1429" t="s">
        <v>393</v>
      </c>
      <c r="B1429" t="s">
        <v>1828</v>
      </c>
      <c r="C1429" t="s">
        <v>2545</v>
      </c>
      <c r="D1429" t="s">
        <v>2604</v>
      </c>
      <c r="E1429">
        <v>3</v>
      </c>
      <c r="F1429">
        <v>9700</v>
      </c>
      <c r="G1429">
        <v>1000</v>
      </c>
      <c r="H1429">
        <v>1100</v>
      </c>
      <c r="I1429" t="s">
        <v>2614</v>
      </c>
      <c r="J1429" s="4">
        <f t="shared" si="66"/>
        <v>29000</v>
      </c>
      <c r="K1429" s="4" t="str">
        <f t="shared" si="67"/>
        <v>2024-10</v>
      </c>
      <c r="L1429" s="4" t="str">
        <f t="shared" si="68"/>
        <v>일</v>
      </c>
      <c r="M1429" s="2" t="str">
        <f>VLOOKUP($C1429, 고객정보!$A$2:$E$151, 2, FALSE)</f>
        <v>서울</v>
      </c>
      <c r="N1429" t="str">
        <f>VLOOKUP(C1429,고객정보!$A$2:$D$151,4,FALSE)</f>
        <v>L4</v>
      </c>
      <c r="O1429" t="str">
        <f>VLOOKUP($C1429, 고객정보!$A$2:$E$151, 5, FALSE)</f>
        <v>30대</v>
      </c>
      <c r="P1429" t="str">
        <f>VLOOKUP(D1429,상품정보!$A$2:$E$61,2,FALSE)</f>
        <v>반팔 티셔츠</v>
      </c>
      <c r="Q1429" t="str">
        <f>VLOOKUP(D1429,상품정보!$A$2:$D$151,3,FALSE)</f>
        <v>의류</v>
      </c>
      <c r="R1429" t="str">
        <f>VLOOKUP(D1429,상품정보!$A$2:$D$151,4,FALSE)</f>
        <v>브랜드E</v>
      </c>
    </row>
    <row r="1430" spans="1:18" x14ac:dyDescent="0.45">
      <c r="A1430" t="s">
        <v>336</v>
      </c>
      <c r="B1430" t="s">
        <v>1829</v>
      </c>
      <c r="C1430" t="s">
        <v>2463</v>
      </c>
      <c r="D1430" t="s">
        <v>2608</v>
      </c>
      <c r="E1430">
        <v>3</v>
      </c>
      <c r="F1430">
        <v>10600</v>
      </c>
      <c r="G1430">
        <v>1000</v>
      </c>
      <c r="H1430">
        <v>0</v>
      </c>
      <c r="I1430" t="s">
        <v>2652</v>
      </c>
      <c r="J1430" s="4">
        <f t="shared" si="66"/>
        <v>32800</v>
      </c>
      <c r="K1430" s="4" t="str">
        <f t="shared" si="67"/>
        <v>2024-06</v>
      </c>
      <c r="L1430" s="4" t="str">
        <f t="shared" si="68"/>
        <v>목</v>
      </c>
      <c r="M1430" s="2" t="str">
        <f>VLOOKUP($C1430, 고객정보!$A$2:$E$151, 2, FALSE)</f>
        <v>대구</v>
      </c>
      <c r="N1430" t="str">
        <f>VLOOKUP(C1430,고객정보!$A$2:$D$151,4,FALSE)</f>
        <v>L4</v>
      </c>
      <c r="O1430" t="str">
        <f>VLOOKUP($C1430, 고객정보!$A$2:$E$151, 5, FALSE)</f>
        <v>20대</v>
      </c>
      <c r="P1430" t="str">
        <f>VLOOKUP(D1430,상품정보!$A$2:$E$61,2,FALSE)</f>
        <v>셔츠</v>
      </c>
      <c r="Q1430" t="str">
        <f>VLOOKUP(D1430,상품정보!$A$2:$D$151,3,FALSE)</f>
        <v>의류</v>
      </c>
      <c r="R1430" t="str">
        <f>VLOOKUP(D1430,상품정보!$A$2:$D$151,4,FALSE)</f>
        <v>브랜드D</v>
      </c>
    </row>
    <row r="1431" spans="1:18" x14ac:dyDescent="0.45">
      <c r="A1431" t="s">
        <v>119</v>
      </c>
      <c r="B1431" t="s">
        <v>1830</v>
      </c>
      <c r="C1431" t="s">
        <v>2494</v>
      </c>
      <c r="D1431" t="s">
        <v>2603</v>
      </c>
      <c r="E1431">
        <v>4</v>
      </c>
      <c r="F1431">
        <v>8200</v>
      </c>
      <c r="G1431">
        <v>1500</v>
      </c>
      <c r="H1431">
        <v>3200</v>
      </c>
      <c r="I1431" t="s">
        <v>2614</v>
      </c>
      <c r="J1431" s="4">
        <f t="shared" si="66"/>
        <v>31100</v>
      </c>
      <c r="K1431" s="4" t="str">
        <f t="shared" si="67"/>
        <v>2025-01</v>
      </c>
      <c r="L1431" s="4" t="str">
        <f t="shared" si="68"/>
        <v>토</v>
      </c>
      <c r="M1431" s="2" t="str">
        <f>VLOOKUP($C1431, 고객정보!$A$2:$E$151, 2, FALSE)</f>
        <v>대구</v>
      </c>
      <c r="N1431" t="str">
        <f>VLOOKUP(C1431,고객정보!$A$2:$D$151,4,FALSE)</f>
        <v>L4</v>
      </c>
      <c r="O1431" t="str">
        <f>VLOOKUP($C1431, 고객정보!$A$2:$E$151, 5, FALSE)</f>
        <v>40대</v>
      </c>
      <c r="P1431" t="str">
        <f>VLOOKUP(D1431,상품정보!$A$2:$E$61,2,FALSE)</f>
        <v>목걸이</v>
      </c>
      <c r="Q1431" t="str">
        <f>VLOOKUP(D1431,상품정보!$A$2:$D$151,3,FALSE)</f>
        <v>액세서리</v>
      </c>
      <c r="R1431" t="str">
        <f>VLOOKUP(D1431,상품정보!$A$2:$D$151,4,FALSE)</f>
        <v>브랜드E</v>
      </c>
    </row>
    <row r="1432" spans="1:18" x14ac:dyDescent="0.45">
      <c r="A1432" t="s">
        <v>334</v>
      </c>
      <c r="B1432" t="s">
        <v>1831</v>
      </c>
      <c r="C1432" t="s">
        <v>2430</v>
      </c>
      <c r="D1432" t="s">
        <v>2610</v>
      </c>
      <c r="E1432">
        <v>1</v>
      </c>
      <c r="F1432">
        <v>18800</v>
      </c>
      <c r="G1432">
        <v>0</v>
      </c>
      <c r="H1432">
        <v>0</v>
      </c>
      <c r="I1432" t="s">
        <v>2652</v>
      </c>
      <c r="J1432" s="4">
        <f t="shared" si="66"/>
        <v>18800</v>
      </c>
      <c r="K1432" s="4" t="str">
        <f t="shared" si="67"/>
        <v>2025-01</v>
      </c>
      <c r="L1432" s="4" t="str">
        <f t="shared" si="68"/>
        <v>금</v>
      </c>
      <c r="M1432" s="2" t="str">
        <f>VLOOKUP($C1432, 고객정보!$A$2:$E$151, 2, FALSE)</f>
        <v>광주</v>
      </c>
      <c r="N1432" t="str">
        <f>VLOOKUP(C1432,고객정보!$A$2:$D$151,4,FALSE)</f>
        <v>L4</v>
      </c>
      <c r="O1432" t="str">
        <f>VLOOKUP($C1432, 고객정보!$A$2:$E$151, 5, FALSE)</f>
        <v>30대</v>
      </c>
      <c r="P1432" t="str">
        <f>VLOOKUP(D1432,상품정보!$A$2:$E$61,2,FALSE)</f>
        <v>자켓</v>
      </c>
      <c r="Q1432" t="str">
        <f>VLOOKUP(D1432,상품정보!$A$2:$D$151,3,FALSE)</f>
        <v>의류</v>
      </c>
      <c r="R1432" t="str">
        <f>VLOOKUP(D1432,상품정보!$A$2:$D$151,4,FALSE)</f>
        <v>브랜드E</v>
      </c>
    </row>
    <row r="1433" spans="1:18" x14ac:dyDescent="0.45">
      <c r="A1433" t="s">
        <v>24</v>
      </c>
      <c r="B1433" t="s">
        <v>1832</v>
      </c>
      <c r="C1433" t="s">
        <v>2451</v>
      </c>
      <c r="D1433" t="s">
        <v>2556</v>
      </c>
      <c r="E1433">
        <v>2</v>
      </c>
      <c r="F1433">
        <v>70100</v>
      </c>
      <c r="G1433">
        <v>500</v>
      </c>
      <c r="H1433">
        <v>0</v>
      </c>
      <c r="I1433" t="s">
        <v>2652</v>
      </c>
      <c r="J1433" s="4">
        <f t="shared" si="66"/>
        <v>140700</v>
      </c>
      <c r="K1433" s="4" t="str">
        <f t="shared" si="67"/>
        <v>2024-02</v>
      </c>
      <c r="L1433" s="4" t="str">
        <f t="shared" si="68"/>
        <v>수</v>
      </c>
      <c r="M1433" s="2" t="str">
        <f>VLOOKUP($C1433, 고객정보!$A$2:$E$151, 2, FALSE)</f>
        <v>서울</v>
      </c>
      <c r="N1433" t="str">
        <f>VLOOKUP(C1433,고객정보!$A$2:$D$151,4,FALSE)</f>
        <v>L1</v>
      </c>
      <c r="O1433" t="str">
        <f>VLOOKUP($C1433, 고객정보!$A$2:$E$151, 5, FALSE)</f>
        <v>30대</v>
      </c>
      <c r="P1433" t="str">
        <f>VLOOKUP(D1433,상품정보!$A$2:$E$61,2,FALSE)</f>
        <v>핸드폰케이스</v>
      </c>
      <c r="Q1433" t="str">
        <f>VLOOKUP(D1433,상품정보!$A$2:$D$151,3,FALSE)</f>
        <v>액세서리</v>
      </c>
      <c r="R1433" t="str">
        <f>VLOOKUP(D1433,상품정보!$A$2:$D$151,4,FALSE)</f>
        <v>브랜드F</v>
      </c>
    </row>
    <row r="1434" spans="1:18" x14ac:dyDescent="0.45">
      <c r="A1434" t="s">
        <v>295</v>
      </c>
      <c r="B1434" t="s">
        <v>1833</v>
      </c>
      <c r="C1434" t="s">
        <v>2447</v>
      </c>
      <c r="D1434" t="s">
        <v>2554</v>
      </c>
      <c r="E1434">
        <v>4</v>
      </c>
      <c r="F1434">
        <v>12100</v>
      </c>
      <c r="G1434">
        <v>0</v>
      </c>
      <c r="H1434">
        <v>0</v>
      </c>
      <c r="I1434" t="s">
        <v>2652</v>
      </c>
      <c r="J1434" s="4">
        <f t="shared" si="66"/>
        <v>48400</v>
      </c>
      <c r="K1434" s="4" t="str">
        <f t="shared" si="67"/>
        <v>2024-06</v>
      </c>
      <c r="L1434" s="4" t="str">
        <f t="shared" si="68"/>
        <v>토</v>
      </c>
      <c r="M1434" s="2" t="str">
        <f>VLOOKUP($C1434, 고객정보!$A$2:$E$151, 2, FALSE)</f>
        <v>대구</v>
      </c>
      <c r="N1434" t="str">
        <f>VLOOKUP(C1434,고객정보!$A$2:$D$151,4,FALSE)</f>
        <v>L1</v>
      </c>
      <c r="O1434" t="str">
        <f>VLOOKUP($C1434, 고객정보!$A$2:$E$151, 5, FALSE)</f>
        <v>10대</v>
      </c>
      <c r="P1434" t="str">
        <f>VLOOKUP(D1434,상품정보!$A$2:$E$61,2,FALSE)</f>
        <v>귀걸이</v>
      </c>
      <c r="Q1434" t="str">
        <f>VLOOKUP(D1434,상품정보!$A$2:$D$151,3,FALSE)</f>
        <v>액세서리</v>
      </c>
      <c r="R1434" t="str">
        <f>VLOOKUP(D1434,상품정보!$A$2:$D$151,4,FALSE)</f>
        <v>브랜드D</v>
      </c>
    </row>
    <row r="1435" spans="1:18" x14ac:dyDescent="0.45">
      <c r="A1435" t="s">
        <v>94</v>
      </c>
      <c r="B1435" t="s">
        <v>1834</v>
      </c>
      <c r="C1435" t="s">
        <v>2495</v>
      </c>
      <c r="D1435" t="s">
        <v>2598</v>
      </c>
      <c r="E1435">
        <v>1</v>
      </c>
      <c r="F1435">
        <v>77300</v>
      </c>
      <c r="G1435">
        <v>500</v>
      </c>
      <c r="H1435">
        <v>0</v>
      </c>
      <c r="I1435" t="s">
        <v>2652</v>
      </c>
      <c r="J1435" s="4">
        <f t="shared" si="66"/>
        <v>77800</v>
      </c>
      <c r="K1435" s="4" t="str">
        <f t="shared" si="67"/>
        <v>2024-03</v>
      </c>
      <c r="L1435" s="4" t="str">
        <f t="shared" si="68"/>
        <v>토</v>
      </c>
      <c r="M1435" s="2" t="str">
        <f>VLOOKUP($C1435, 고객정보!$A$2:$E$151, 2, FALSE)</f>
        <v>N/A</v>
      </c>
      <c r="N1435" t="str">
        <f>VLOOKUP(C1435,고객정보!$A$2:$D$151,4,FALSE)</f>
        <v>L1</v>
      </c>
      <c r="O1435" t="str">
        <f>VLOOKUP($C1435, 고객정보!$A$2:$E$151, 5, FALSE)</f>
        <v>50대 이상</v>
      </c>
      <c r="P1435" t="str">
        <f>VLOOKUP(D1435,상품정보!$A$2:$E$61,2,FALSE)</f>
        <v>청바지</v>
      </c>
      <c r="Q1435" t="str">
        <f>VLOOKUP(D1435,상품정보!$A$2:$D$151,3,FALSE)</f>
        <v>의류</v>
      </c>
      <c r="R1435" t="str">
        <f>VLOOKUP(D1435,상품정보!$A$2:$D$151,4,FALSE)</f>
        <v>브랜드F</v>
      </c>
    </row>
    <row r="1436" spans="1:18" x14ac:dyDescent="0.45">
      <c r="A1436" t="s">
        <v>38</v>
      </c>
      <c r="B1436" t="s">
        <v>1835</v>
      </c>
      <c r="C1436" t="s">
        <v>2549</v>
      </c>
      <c r="D1436" t="s">
        <v>2601</v>
      </c>
      <c r="E1436">
        <v>1</v>
      </c>
      <c r="F1436">
        <v>17000</v>
      </c>
      <c r="G1436">
        <v>1000</v>
      </c>
      <c r="H1436">
        <v>0</v>
      </c>
      <c r="I1436" t="s">
        <v>2652</v>
      </c>
      <c r="J1436" s="4">
        <f t="shared" si="66"/>
        <v>18000</v>
      </c>
      <c r="K1436" s="4" t="str">
        <f t="shared" si="67"/>
        <v>2024-02</v>
      </c>
      <c r="L1436" s="4" t="str">
        <f t="shared" si="68"/>
        <v>금</v>
      </c>
      <c r="M1436" s="2" t="str">
        <f>VLOOKUP($C1436, 고객정보!$A$2:$E$151, 2, FALSE)</f>
        <v>서울</v>
      </c>
      <c r="N1436" t="str">
        <f>VLOOKUP(C1436,고객정보!$A$2:$D$151,4,FALSE)</f>
        <v>L2</v>
      </c>
      <c r="O1436" t="str">
        <f>VLOOKUP($C1436, 고객정보!$A$2:$E$151, 5, FALSE)</f>
        <v>40대</v>
      </c>
      <c r="P1436" t="str">
        <f>VLOOKUP(D1436,상품정보!$A$2:$E$61,2,FALSE)</f>
        <v>자켓</v>
      </c>
      <c r="Q1436" t="str">
        <f>VLOOKUP(D1436,상품정보!$A$2:$D$151,3,FALSE)</f>
        <v>의류</v>
      </c>
      <c r="R1436" t="str">
        <f>VLOOKUP(D1436,상품정보!$A$2:$D$151,4,FALSE)</f>
        <v>브랜드E</v>
      </c>
    </row>
    <row r="1437" spans="1:18" x14ac:dyDescent="0.45">
      <c r="A1437" t="s">
        <v>44</v>
      </c>
      <c r="B1437" t="s">
        <v>1836</v>
      </c>
      <c r="C1437" t="s">
        <v>2535</v>
      </c>
      <c r="D1437" t="s">
        <v>2608</v>
      </c>
      <c r="E1437">
        <v>5</v>
      </c>
      <c r="F1437">
        <v>10600</v>
      </c>
      <c r="G1437">
        <v>1000</v>
      </c>
      <c r="H1437">
        <v>0</v>
      </c>
      <c r="I1437" t="s">
        <v>2652</v>
      </c>
      <c r="J1437" s="4">
        <f t="shared" si="66"/>
        <v>54000</v>
      </c>
      <c r="K1437" s="4" t="str">
        <f t="shared" si="67"/>
        <v>2024-08</v>
      </c>
      <c r="L1437" s="4" t="str">
        <f t="shared" si="68"/>
        <v>토</v>
      </c>
      <c r="M1437" s="2" t="str">
        <f>VLOOKUP($C1437, 고객정보!$A$2:$E$151, 2, FALSE)</f>
        <v>서울</v>
      </c>
      <c r="N1437" t="str">
        <f>VLOOKUP(C1437,고객정보!$A$2:$D$151,4,FALSE)</f>
        <v>L2</v>
      </c>
      <c r="O1437" t="str">
        <f>VLOOKUP($C1437, 고객정보!$A$2:$E$151, 5, FALSE)</f>
        <v>10대</v>
      </c>
      <c r="P1437" t="str">
        <f>VLOOKUP(D1437,상품정보!$A$2:$E$61,2,FALSE)</f>
        <v>셔츠</v>
      </c>
      <c r="Q1437" t="str">
        <f>VLOOKUP(D1437,상품정보!$A$2:$D$151,3,FALSE)</f>
        <v>의류</v>
      </c>
      <c r="R1437" t="str">
        <f>VLOOKUP(D1437,상품정보!$A$2:$D$151,4,FALSE)</f>
        <v>브랜드D</v>
      </c>
    </row>
    <row r="1438" spans="1:18" x14ac:dyDescent="0.45">
      <c r="A1438" t="s">
        <v>235</v>
      </c>
      <c r="B1438" t="s">
        <v>1837</v>
      </c>
      <c r="C1438" t="s">
        <v>2544</v>
      </c>
      <c r="D1438" t="s">
        <v>2571</v>
      </c>
      <c r="E1438">
        <v>3</v>
      </c>
      <c r="F1438">
        <v>55600</v>
      </c>
      <c r="G1438">
        <v>1000</v>
      </c>
      <c r="H1438">
        <v>0</v>
      </c>
      <c r="I1438" t="s">
        <v>2652</v>
      </c>
      <c r="J1438" s="4">
        <f t="shared" si="66"/>
        <v>167800</v>
      </c>
      <c r="K1438" s="4" t="str">
        <f t="shared" si="67"/>
        <v>2024-04</v>
      </c>
      <c r="L1438" s="4" t="str">
        <f t="shared" si="68"/>
        <v>화</v>
      </c>
      <c r="M1438" s="2" t="str">
        <f>VLOOKUP($C1438, 고객정보!$A$2:$E$151, 2, FALSE)</f>
        <v>서울</v>
      </c>
      <c r="N1438" t="str">
        <f>VLOOKUP(C1438,고객정보!$A$2:$D$151,4,FALSE)</f>
        <v>L5</v>
      </c>
      <c r="O1438" t="str">
        <f>VLOOKUP($C1438, 고객정보!$A$2:$E$151, 5, FALSE)</f>
        <v>40대</v>
      </c>
      <c r="P1438" t="str">
        <f>VLOOKUP(D1438,상품정보!$A$2:$E$61,2,FALSE)</f>
        <v>자켓</v>
      </c>
      <c r="Q1438" t="str">
        <f>VLOOKUP(D1438,상품정보!$A$2:$D$151,3,FALSE)</f>
        <v>의류</v>
      </c>
      <c r="R1438" t="str">
        <f>VLOOKUP(D1438,상품정보!$A$2:$D$151,4,FALSE)</f>
        <v>브랜드B</v>
      </c>
    </row>
    <row r="1439" spans="1:18" x14ac:dyDescent="0.45">
      <c r="A1439" t="s">
        <v>268</v>
      </c>
      <c r="B1439" t="s">
        <v>1838</v>
      </c>
      <c r="C1439" t="s">
        <v>2506</v>
      </c>
      <c r="D1439" t="s">
        <v>2553</v>
      </c>
      <c r="E1439">
        <v>5</v>
      </c>
      <c r="F1439">
        <v>63400</v>
      </c>
      <c r="G1439">
        <v>0</v>
      </c>
      <c r="H1439">
        <v>4400</v>
      </c>
      <c r="I1439" t="s">
        <v>2612</v>
      </c>
      <c r="J1439" s="4">
        <f t="shared" si="66"/>
        <v>312600</v>
      </c>
      <c r="K1439" s="4" t="str">
        <f t="shared" si="67"/>
        <v>2024-01</v>
      </c>
      <c r="L1439" s="4" t="str">
        <f t="shared" si="68"/>
        <v>토</v>
      </c>
      <c r="M1439" s="2" t="str">
        <f>VLOOKUP($C1439, 고객정보!$A$2:$E$151, 2, FALSE)</f>
        <v>광주</v>
      </c>
      <c r="N1439" t="str">
        <f>VLOOKUP(C1439,고객정보!$A$2:$D$151,4,FALSE)</f>
        <v>L2</v>
      </c>
      <c r="O1439" t="str">
        <f>VLOOKUP($C1439, 고객정보!$A$2:$E$151, 5, FALSE)</f>
        <v>50대 이상</v>
      </c>
      <c r="P1439" t="str">
        <f>VLOOKUP(D1439,상품정보!$A$2:$E$61,2,FALSE)</f>
        <v>귀걸이</v>
      </c>
      <c r="Q1439" t="str">
        <f>VLOOKUP(D1439,상품정보!$A$2:$D$151,3,FALSE)</f>
        <v>액세서리</v>
      </c>
      <c r="R1439" t="str">
        <f>VLOOKUP(D1439,상품정보!$A$2:$D$151,4,FALSE)</f>
        <v>브랜드F</v>
      </c>
    </row>
    <row r="1440" spans="1:18" x14ac:dyDescent="0.45">
      <c r="A1440" t="s">
        <v>297</v>
      </c>
      <c r="B1440" t="s">
        <v>1839</v>
      </c>
      <c r="C1440" t="s">
        <v>2496</v>
      </c>
      <c r="D1440" t="s">
        <v>2568</v>
      </c>
      <c r="E1440">
        <v>4</v>
      </c>
      <c r="F1440">
        <v>16800</v>
      </c>
      <c r="G1440">
        <v>1500</v>
      </c>
      <c r="H1440">
        <v>0</v>
      </c>
      <c r="I1440" t="s">
        <v>2652</v>
      </c>
      <c r="J1440" s="4">
        <f t="shared" si="66"/>
        <v>68700</v>
      </c>
      <c r="K1440" s="4" t="str">
        <f t="shared" si="67"/>
        <v>2024-11</v>
      </c>
      <c r="L1440" s="4" t="str">
        <f t="shared" si="68"/>
        <v>일</v>
      </c>
      <c r="M1440" s="2" t="str">
        <f>VLOOKUP($C1440, 고객정보!$A$2:$E$151, 2, FALSE)</f>
        <v>서울</v>
      </c>
      <c r="N1440" t="str">
        <f>VLOOKUP(C1440,고객정보!$A$2:$D$151,4,FALSE)</f>
        <v>L3</v>
      </c>
      <c r="O1440" t="str">
        <f>VLOOKUP($C1440, 고객정보!$A$2:$E$151, 5, FALSE)</f>
        <v>50대 이상</v>
      </c>
      <c r="P1440" t="str">
        <f>VLOOKUP(D1440,상품정보!$A$2:$E$61,2,FALSE)</f>
        <v>청바지</v>
      </c>
      <c r="Q1440" t="str">
        <f>VLOOKUP(D1440,상품정보!$A$2:$D$151,3,FALSE)</f>
        <v>의류</v>
      </c>
      <c r="R1440" t="str">
        <f>VLOOKUP(D1440,상품정보!$A$2:$D$151,4,FALSE)</f>
        <v>브랜드C</v>
      </c>
    </row>
    <row r="1441" spans="1:18" x14ac:dyDescent="0.45">
      <c r="A1441" t="s">
        <v>77</v>
      </c>
      <c r="B1441" t="s">
        <v>1840</v>
      </c>
      <c r="C1441" t="s">
        <v>2468</v>
      </c>
      <c r="D1441" t="s">
        <v>2595</v>
      </c>
      <c r="E1441">
        <v>5</v>
      </c>
      <c r="F1441">
        <v>12700</v>
      </c>
      <c r="G1441">
        <v>1500</v>
      </c>
      <c r="H1441">
        <v>0</v>
      </c>
      <c r="I1441" t="s">
        <v>2652</v>
      </c>
      <c r="J1441" s="4">
        <f t="shared" si="66"/>
        <v>65000</v>
      </c>
      <c r="K1441" s="4" t="str">
        <f t="shared" si="67"/>
        <v>2024-01</v>
      </c>
      <c r="L1441" s="4" t="str">
        <f t="shared" si="68"/>
        <v>화</v>
      </c>
      <c r="M1441" s="2" t="str">
        <f>VLOOKUP($C1441, 고객정보!$A$2:$E$151, 2, FALSE)</f>
        <v>부산</v>
      </c>
      <c r="N1441" t="str">
        <f>VLOOKUP(C1441,고객정보!$A$2:$D$151,4,FALSE)</f>
        <v>L5</v>
      </c>
      <c r="O1441" t="str">
        <f>VLOOKUP($C1441, 고객정보!$A$2:$E$151, 5, FALSE)</f>
        <v>20대</v>
      </c>
      <c r="P1441" t="str">
        <f>VLOOKUP(D1441,상품정보!$A$2:$E$61,2,FALSE)</f>
        <v>반지</v>
      </c>
      <c r="Q1441" t="str">
        <f>VLOOKUP(D1441,상품정보!$A$2:$D$151,3,FALSE)</f>
        <v>액세서리</v>
      </c>
      <c r="R1441" t="str">
        <f>VLOOKUP(D1441,상품정보!$A$2:$D$151,4,FALSE)</f>
        <v>브랜드C</v>
      </c>
    </row>
    <row r="1442" spans="1:18" x14ac:dyDescent="0.45">
      <c r="A1442" t="s">
        <v>199</v>
      </c>
      <c r="B1442" t="s">
        <v>1841</v>
      </c>
      <c r="C1442" t="s">
        <v>2536</v>
      </c>
      <c r="D1442" t="s">
        <v>2601</v>
      </c>
      <c r="E1442">
        <v>4</v>
      </c>
      <c r="F1442">
        <v>17000</v>
      </c>
      <c r="G1442">
        <v>500</v>
      </c>
      <c r="H1442">
        <v>8900</v>
      </c>
      <c r="I1442" t="s">
        <v>2614</v>
      </c>
      <c r="J1442" s="4">
        <f t="shared" si="66"/>
        <v>59600</v>
      </c>
      <c r="K1442" s="4" t="str">
        <f t="shared" si="67"/>
        <v>2024-08</v>
      </c>
      <c r="L1442" s="4" t="str">
        <f t="shared" si="68"/>
        <v>월</v>
      </c>
      <c r="M1442" s="2" t="str">
        <f>VLOOKUP($C1442, 고객정보!$A$2:$E$151, 2, FALSE)</f>
        <v>서울</v>
      </c>
      <c r="N1442" t="str">
        <f>VLOOKUP(C1442,고객정보!$A$2:$D$151,4,FALSE)</f>
        <v>L5</v>
      </c>
      <c r="O1442" t="str">
        <f>VLOOKUP($C1442, 고객정보!$A$2:$E$151, 5, FALSE)</f>
        <v>20대</v>
      </c>
      <c r="P1442" t="str">
        <f>VLOOKUP(D1442,상품정보!$A$2:$E$61,2,FALSE)</f>
        <v>자켓</v>
      </c>
      <c r="Q1442" t="str">
        <f>VLOOKUP(D1442,상품정보!$A$2:$D$151,3,FALSE)</f>
        <v>의류</v>
      </c>
      <c r="R1442" t="str">
        <f>VLOOKUP(D1442,상품정보!$A$2:$D$151,4,FALSE)</f>
        <v>브랜드E</v>
      </c>
    </row>
    <row r="1443" spans="1:18" x14ac:dyDescent="0.45">
      <c r="A1443" t="s">
        <v>294</v>
      </c>
      <c r="B1443" t="s">
        <v>1842</v>
      </c>
      <c r="C1443" t="s">
        <v>2435</v>
      </c>
      <c r="D1443" t="s">
        <v>2555</v>
      </c>
      <c r="E1443">
        <v>5</v>
      </c>
      <c r="F1443">
        <v>8300</v>
      </c>
      <c r="G1443">
        <v>0</v>
      </c>
      <c r="H1443">
        <v>0</v>
      </c>
      <c r="I1443" t="s">
        <v>2652</v>
      </c>
      <c r="J1443" s="4">
        <f t="shared" si="66"/>
        <v>41500</v>
      </c>
      <c r="K1443" s="4" t="str">
        <f t="shared" si="67"/>
        <v>2024-05</v>
      </c>
      <c r="L1443" s="4" t="str">
        <f t="shared" si="68"/>
        <v>일</v>
      </c>
      <c r="M1443" s="2" t="str">
        <f>VLOOKUP($C1443, 고객정보!$A$2:$E$151, 2, FALSE)</f>
        <v>인천</v>
      </c>
      <c r="N1443" t="str">
        <f>VLOOKUP(C1443,고객정보!$A$2:$D$151,4,FALSE)</f>
        <v>L5</v>
      </c>
      <c r="O1443" t="str">
        <f>VLOOKUP($C1443, 고객정보!$A$2:$E$151, 5, FALSE)</f>
        <v>30대</v>
      </c>
      <c r="P1443" t="str">
        <f>VLOOKUP(D1443,상품정보!$A$2:$E$61,2,FALSE)</f>
        <v>청바지</v>
      </c>
      <c r="Q1443" t="str">
        <f>VLOOKUP(D1443,상품정보!$A$2:$D$151,3,FALSE)</f>
        <v>의류</v>
      </c>
      <c r="R1443" t="str">
        <f>VLOOKUP(D1443,상품정보!$A$2:$D$151,4,FALSE)</f>
        <v>브랜드E</v>
      </c>
    </row>
    <row r="1444" spans="1:18" x14ac:dyDescent="0.45">
      <c r="A1444" t="s">
        <v>325</v>
      </c>
      <c r="B1444" t="s">
        <v>1843</v>
      </c>
      <c r="C1444" t="s">
        <v>2512</v>
      </c>
      <c r="D1444" t="s">
        <v>2564</v>
      </c>
      <c r="E1444">
        <v>5</v>
      </c>
      <c r="F1444">
        <v>66600</v>
      </c>
      <c r="G1444">
        <v>0</v>
      </c>
      <c r="H1444">
        <v>0</v>
      </c>
      <c r="I1444" t="s">
        <v>2652</v>
      </c>
      <c r="J1444" s="4">
        <f t="shared" si="66"/>
        <v>333000</v>
      </c>
      <c r="K1444" s="4" t="str">
        <f t="shared" si="67"/>
        <v>2024-09</v>
      </c>
      <c r="L1444" s="4" t="str">
        <f t="shared" si="68"/>
        <v>수</v>
      </c>
      <c r="M1444" s="2" t="str">
        <f>VLOOKUP($C1444, 고객정보!$A$2:$E$151, 2, FALSE)</f>
        <v>서울</v>
      </c>
      <c r="N1444" t="str">
        <f>VLOOKUP(C1444,고객정보!$A$2:$D$151,4,FALSE)</f>
        <v>L1</v>
      </c>
      <c r="O1444" t="str">
        <f>VLOOKUP($C1444, 고객정보!$A$2:$E$151, 5, FALSE)</f>
        <v>10대</v>
      </c>
      <c r="P1444" t="str">
        <f>VLOOKUP(D1444,상품정보!$A$2:$E$61,2,FALSE)</f>
        <v>청바지</v>
      </c>
      <c r="Q1444" t="str">
        <f>VLOOKUP(D1444,상품정보!$A$2:$D$151,3,FALSE)</f>
        <v>의류</v>
      </c>
      <c r="R1444" t="str">
        <f>VLOOKUP(D1444,상품정보!$A$2:$D$151,4,FALSE)</f>
        <v>브랜드B</v>
      </c>
    </row>
    <row r="1445" spans="1:18" x14ac:dyDescent="0.45">
      <c r="A1445" t="s">
        <v>297</v>
      </c>
      <c r="B1445" t="s">
        <v>1844</v>
      </c>
      <c r="C1445" t="s">
        <v>2521</v>
      </c>
      <c r="D1445" t="s">
        <v>2606</v>
      </c>
      <c r="E1445">
        <v>2</v>
      </c>
      <c r="F1445">
        <v>15000</v>
      </c>
      <c r="G1445">
        <v>500</v>
      </c>
      <c r="H1445">
        <v>0</v>
      </c>
      <c r="I1445" t="s">
        <v>2652</v>
      </c>
      <c r="J1445" s="4">
        <f t="shared" si="66"/>
        <v>30500</v>
      </c>
      <c r="K1445" s="4" t="str">
        <f t="shared" si="67"/>
        <v>2024-11</v>
      </c>
      <c r="L1445" s="4" t="str">
        <f t="shared" si="68"/>
        <v>일</v>
      </c>
      <c r="M1445" s="2" t="str">
        <f>VLOOKUP($C1445, 고객정보!$A$2:$E$151, 2, FALSE)</f>
        <v>서울</v>
      </c>
      <c r="N1445" t="str">
        <f>VLOOKUP(C1445,고객정보!$A$2:$D$151,4,FALSE)</f>
        <v>L1</v>
      </c>
      <c r="O1445" t="str">
        <f>VLOOKUP($C1445, 고객정보!$A$2:$E$151, 5, FALSE)</f>
        <v>30대</v>
      </c>
      <c r="P1445" t="str">
        <f>VLOOKUP(D1445,상품정보!$A$2:$E$61,2,FALSE)</f>
        <v>귀걸이</v>
      </c>
      <c r="Q1445" t="str">
        <f>VLOOKUP(D1445,상품정보!$A$2:$D$151,3,FALSE)</f>
        <v>액세서리</v>
      </c>
      <c r="R1445" t="str">
        <f>VLOOKUP(D1445,상품정보!$A$2:$D$151,4,FALSE)</f>
        <v>브랜드E</v>
      </c>
    </row>
    <row r="1446" spans="1:18" x14ac:dyDescent="0.45">
      <c r="A1446" t="s">
        <v>180</v>
      </c>
      <c r="B1446" t="s">
        <v>1845</v>
      </c>
      <c r="C1446" t="s">
        <v>2492</v>
      </c>
      <c r="D1446" t="s">
        <v>2579</v>
      </c>
      <c r="E1446">
        <v>1</v>
      </c>
      <c r="F1446">
        <v>51000</v>
      </c>
      <c r="G1446">
        <v>0</v>
      </c>
      <c r="H1446">
        <v>600</v>
      </c>
      <c r="I1446" t="s">
        <v>2614</v>
      </c>
      <c r="J1446" s="4">
        <f t="shared" si="66"/>
        <v>50400</v>
      </c>
      <c r="K1446" s="4" t="str">
        <f t="shared" si="67"/>
        <v>2024-07</v>
      </c>
      <c r="L1446" s="4" t="str">
        <f t="shared" si="68"/>
        <v>수</v>
      </c>
      <c r="M1446" s="2" t="str">
        <f>VLOOKUP($C1446, 고객정보!$A$2:$E$151, 2, FALSE)</f>
        <v>N/A</v>
      </c>
      <c r="N1446" t="str">
        <f>VLOOKUP(C1446,고객정보!$A$2:$D$151,4,FALSE)</f>
        <v>L1</v>
      </c>
      <c r="O1446" t="str">
        <f>VLOOKUP($C1446, 고객정보!$A$2:$E$151, 5, FALSE)</f>
        <v>20대</v>
      </c>
      <c r="P1446" t="str">
        <f>VLOOKUP(D1446,상품정보!$A$2:$E$61,2,FALSE)</f>
        <v>핸드폰케이스</v>
      </c>
      <c r="Q1446" t="str">
        <f>VLOOKUP(D1446,상품정보!$A$2:$D$151,3,FALSE)</f>
        <v>액세서리</v>
      </c>
      <c r="R1446" t="str">
        <f>VLOOKUP(D1446,상품정보!$A$2:$D$151,4,FALSE)</f>
        <v>브랜드F</v>
      </c>
    </row>
    <row r="1447" spans="1:18" x14ac:dyDescent="0.45">
      <c r="A1447" t="s">
        <v>79</v>
      </c>
      <c r="B1447" t="s">
        <v>1846</v>
      </c>
      <c r="C1447" t="s">
        <v>2509</v>
      </c>
      <c r="D1447" t="s">
        <v>2593</v>
      </c>
      <c r="E1447">
        <v>1</v>
      </c>
      <c r="F1447">
        <v>74600</v>
      </c>
      <c r="G1447">
        <v>500</v>
      </c>
      <c r="H1447">
        <v>0</v>
      </c>
      <c r="I1447" t="s">
        <v>2652</v>
      </c>
      <c r="J1447" s="4">
        <f t="shared" si="66"/>
        <v>75100</v>
      </c>
      <c r="K1447" s="4" t="str">
        <f t="shared" si="67"/>
        <v>2024-03</v>
      </c>
      <c r="L1447" s="4" t="str">
        <f t="shared" si="68"/>
        <v>목</v>
      </c>
      <c r="M1447" s="2" t="str">
        <f>VLOOKUP($C1447, 고객정보!$A$2:$E$151, 2, FALSE)</f>
        <v>서울</v>
      </c>
      <c r="N1447" t="str">
        <f>VLOOKUP(C1447,고객정보!$A$2:$D$151,4,FALSE)</f>
        <v>L4</v>
      </c>
      <c r="O1447" t="str">
        <f>VLOOKUP($C1447, 고객정보!$A$2:$E$151, 5, FALSE)</f>
        <v>40대</v>
      </c>
      <c r="P1447" t="str">
        <f>VLOOKUP(D1447,상품정보!$A$2:$E$61,2,FALSE)</f>
        <v>반팔 티셔츠</v>
      </c>
      <c r="Q1447" t="str">
        <f>VLOOKUP(D1447,상품정보!$A$2:$D$151,3,FALSE)</f>
        <v>의류</v>
      </c>
      <c r="R1447" t="str">
        <f>VLOOKUP(D1447,상품정보!$A$2:$D$151,4,FALSE)</f>
        <v>브랜드B</v>
      </c>
    </row>
    <row r="1448" spans="1:18" x14ac:dyDescent="0.45">
      <c r="A1448" t="s">
        <v>289</v>
      </c>
      <c r="B1448" t="s">
        <v>1847</v>
      </c>
      <c r="C1448" t="s">
        <v>2544</v>
      </c>
      <c r="D1448" t="s">
        <v>2565</v>
      </c>
      <c r="E1448">
        <v>4</v>
      </c>
      <c r="F1448">
        <v>50000</v>
      </c>
      <c r="G1448">
        <v>1000</v>
      </c>
      <c r="H1448">
        <v>0</v>
      </c>
      <c r="I1448" t="s">
        <v>2652</v>
      </c>
      <c r="J1448" s="4">
        <f t="shared" si="66"/>
        <v>201000</v>
      </c>
      <c r="K1448" s="4" t="str">
        <f t="shared" si="67"/>
        <v>2024-06</v>
      </c>
      <c r="L1448" s="4" t="str">
        <f t="shared" si="68"/>
        <v>토</v>
      </c>
      <c r="M1448" s="2" t="str">
        <f>VLOOKUP($C1448, 고객정보!$A$2:$E$151, 2, FALSE)</f>
        <v>서울</v>
      </c>
      <c r="N1448" t="str">
        <f>VLOOKUP(C1448,고객정보!$A$2:$D$151,4,FALSE)</f>
        <v>L5</v>
      </c>
      <c r="O1448" t="str">
        <f>VLOOKUP($C1448, 고객정보!$A$2:$E$151, 5, FALSE)</f>
        <v>40대</v>
      </c>
      <c r="P1448" t="str">
        <f>VLOOKUP(D1448,상품정보!$A$2:$E$61,2,FALSE)</f>
        <v>핸드폰케이스</v>
      </c>
      <c r="Q1448" t="str">
        <f>VLOOKUP(D1448,상품정보!$A$2:$D$151,3,FALSE)</f>
        <v>액세서리</v>
      </c>
      <c r="R1448" t="str">
        <f>VLOOKUP(D1448,상품정보!$A$2:$D$151,4,FALSE)</f>
        <v>브랜드B</v>
      </c>
    </row>
    <row r="1449" spans="1:18" x14ac:dyDescent="0.45">
      <c r="A1449" t="s">
        <v>348</v>
      </c>
      <c r="B1449" t="s">
        <v>1848</v>
      </c>
      <c r="C1449" t="s">
        <v>2533</v>
      </c>
      <c r="D1449" t="s">
        <v>2575</v>
      </c>
      <c r="E1449">
        <v>5</v>
      </c>
      <c r="F1449">
        <v>7200</v>
      </c>
      <c r="G1449">
        <v>0</v>
      </c>
      <c r="H1449">
        <v>700</v>
      </c>
      <c r="I1449" t="s">
        <v>2613</v>
      </c>
      <c r="J1449" s="4">
        <f t="shared" si="66"/>
        <v>35300</v>
      </c>
      <c r="K1449" s="4" t="str">
        <f t="shared" si="67"/>
        <v>2024-04</v>
      </c>
      <c r="L1449" s="4" t="str">
        <f t="shared" si="68"/>
        <v>금</v>
      </c>
      <c r="M1449" s="2" t="str">
        <f>VLOOKUP($C1449, 고객정보!$A$2:$E$151, 2, FALSE)</f>
        <v>인천</v>
      </c>
      <c r="N1449" t="str">
        <f>VLOOKUP(C1449,고객정보!$A$2:$D$151,4,FALSE)</f>
        <v>L5</v>
      </c>
      <c r="O1449" t="str">
        <f>VLOOKUP($C1449, 고객정보!$A$2:$E$151, 5, FALSE)</f>
        <v>30대</v>
      </c>
      <c r="P1449" t="str">
        <f>VLOOKUP(D1449,상품정보!$A$2:$E$61,2,FALSE)</f>
        <v>반지</v>
      </c>
      <c r="Q1449" t="str">
        <f>VLOOKUP(D1449,상품정보!$A$2:$D$151,3,FALSE)</f>
        <v>액세서리</v>
      </c>
      <c r="R1449" t="str">
        <f>VLOOKUP(D1449,상품정보!$A$2:$D$151,4,FALSE)</f>
        <v>브랜드E</v>
      </c>
    </row>
    <row r="1450" spans="1:18" x14ac:dyDescent="0.45">
      <c r="A1450" t="s">
        <v>38</v>
      </c>
      <c r="B1450" t="s">
        <v>1849</v>
      </c>
      <c r="C1450" t="s">
        <v>2521</v>
      </c>
      <c r="D1450" t="s">
        <v>2594</v>
      </c>
      <c r="E1450">
        <v>1</v>
      </c>
      <c r="F1450">
        <v>73000</v>
      </c>
      <c r="G1450">
        <v>1000</v>
      </c>
      <c r="H1450">
        <v>2400</v>
      </c>
      <c r="I1450" t="s">
        <v>2611</v>
      </c>
      <c r="J1450" s="4">
        <f t="shared" si="66"/>
        <v>71600</v>
      </c>
      <c r="K1450" s="4" t="str">
        <f t="shared" si="67"/>
        <v>2024-02</v>
      </c>
      <c r="L1450" s="4" t="str">
        <f t="shared" si="68"/>
        <v>금</v>
      </c>
      <c r="M1450" s="2" t="str">
        <f>VLOOKUP($C1450, 고객정보!$A$2:$E$151, 2, FALSE)</f>
        <v>서울</v>
      </c>
      <c r="N1450" t="str">
        <f>VLOOKUP(C1450,고객정보!$A$2:$D$151,4,FALSE)</f>
        <v>L1</v>
      </c>
      <c r="O1450" t="str">
        <f>VLOOKUP($C1450, 고객정보!$A$2:$E$151, 5, FALSE)</f>
        <v>30대</v>
      </c>
      <c r="P1450" t="str">
        <f>VLOOKUP(D1450,상품정보!$A$2:$E$61,2,FALSE)</f>
        <v>자켓</v>
      </c>
      <c r="Q1450" t="str">
        <f>VLOOKUP(D1450,상품정보!$A$2:$D$151,3,FALSE)</f>
        <v>의류</v>
      </c>
      <c r="R1450" t="str">
        <f>VLOOKUP(D1450,상품정보!$A$2:$D$151,4,FALSE)</f>
        <v>브랜드A</v>
      </c>
    </row>
    <row r="1451" spans="1:18" x14ac:dyDescent="0.45">
      <c r="A1451" t="s">
        <v>276</v>
      </c>
      <c r="B1451" t="s">
        <v>1850</v>
      </c>
      <c r="C1451" t="s">
        <v>2495</v>
      </c>
      <c r="D1451" t="s">
        <v>2595</v>
      </c>
      <c r="E1451">
        <v>5</v>
      </c>
      <c r="F1451">
        <v>12700</v>
      </c>
      <c r="G1451">
        <v>0</v>
      </c>
      <c r="H1451">
        <v>0</v>
      </c>
      <c r="I1451" t="s">
        <v>2652</v>
      </c>
      <c r="J1451" s="4">
        <f t="shared" si="66"/>
        <v>63500</v>
      </c>
      <c r="K1451" s="4" t="str">
        <f t="shared" si="67"/>
        <v>2024-10</v>
      </c>
      <c r="L1451" s="4" t="str">
        <f t="shared" si="68"/>
        <v>금</v>
      </c>
      <c r="M1451" s="2" t="str">
        <f>VLOOKUP($C1451, 고객정보!$A$2:$E$151, 2, FALSE)</f>
        <v>N/A</v>
      </c>
      <c r="N1451" t="str">
        <f>VLOOKUP(C1451,고객정보!$A$2:$D$151,4,FALSE)</f>
        <v>L1</v>
      </c>
      <c r="O1451" t="str">
        <f>VLOOKUP($C1451, 고객정보!$A$2:$E$151, 5, FALSE)</f>
        <v>50대 이상</v>
      </c>
      <c r="P1451" t="str">
        <f>VLOOKUP(D1451,상품정보!$A$2:$E$61,2,FALSE)</f>
        <v>반지</v>
      </c>
      <c r="Q1451" t="str">
        <f>VLOOKUP(D1451,상품정보!$A$2:$D$151,3,FALSE)</f>
        <v>액세서리</v>
      </c>
      <c r="R1451" t="str">
        <f>VLOOKUP(D1451,상품정보!$A$2:$D$151,4,FALSE)</f>
        <v>브랜드C</v>
      </c>
    </row>
    <row r="1452" spans="1:18" x14ac:dyDescent="0.45">
      <c r="A1452" t="s">
        <v>209</v>
      </c>
      <c r="B1452" t="s">
        <v>1851</v>
      </c>
      <c r="C1452" t="s">
        <v>2542</v>
      </c>
      <c r="D1452" t="s">
        <v>2603</v>
      </c>
      <c r="E1452">
        <v>3</v>
      </c>
      <c r="F1452">
        <v>8200</v>
      </c>
      <c r="G1452">
        <v>0</v>
      </c>
      <c r="H1452">
        <v>0</v>
      </c>
      <c r="I1452" t="s">
        <v>2652</v>
      </c>
      <c r="J1452" s="4">
        <f t="shared" si="66"/>
        <v>24600</v>
      </c>
      <c r="K1452" s="4" t="str">
        <f t="shared" si="67"/>
        <v>2024-04</v>
      </c>
      <c r="L1452" s="4" t="str">
        <f t="shared" si="68"/>
        <v>목</v>
      </c>
      <c r="M1452" s="2" t="str">
        <f>VLOOKUP($C1452, 고객정보!$A$2:$E$151, 2, FALSE)</f>
        <v>부산</v>
      </c>
      <c r="N1452" t="str">
        <f>VLOOKUP(C1452,고객정보!$A$2:$D$151,4,FALSE)</f>
        <v>L1</v>
      </c>
      <c r="O1452" t="str">
        <f>VLOOKUP($C1452, 고객정보!$A$2:$E$151, 5, FALSE)</f>
        <v>50대 이상</v>
      </c>
      <c r="P1452" t="str">
        <f>VLOOKUP(D1452,상품정보!$A$2:$E$61,2,FALSE)</f>
        <v>목걸이</v>
      </c>
      <c r="Q1452" t="str">
        <f>VLOOKUP(D1452,상품정보!$A$2:$D$151,3,FALSE)</f>
        <v>액세서리</v>
      </c>
      <c r="R1452" t="str">
        <f>VLOOKUP(D1452,상품정보!$A$2:$D$151,4,FALSE)</f>
        <v>브랜드E</v>
      </c>
    </row>
    <row r="1453" spans="1:18" x14ac:dyDescent="0.45">
      <c r="A1453" t="s">
        <v>287</v>
      </c>
      <c r="B1453" t="s">
        <v>1852</v>
      </c>
      <c r="C1453" t="s">
        <v>2512</v>
      </c>
      <c r="D1453" t="s">
        <v>2581</v>
      </c>
      <c r="E1453">
        <v>4</v>
      </c>
      <c r="F1453">
        <v>72900</v>
      </c>
      <c r="G1453">
        <v>0</v>
      </c>
      <c r="H1453">
        <v>0</v>
      </c>
      <c r="I1453" t="s">
        <v>2652</v>
      </c>
      <c r="J1453" s="4">
        <f t="shared" si="66"/>
        <v>291600</v>
      </c>
      <c r="K1453" s="4" t="str">
        <f t="shared" si="67"/>
        <v>2024-10</v>
      </c>
      <c r="L1453" s="4" t="str">
        <f t="shared" si="68"/>
        <v>월</v>
      </c>
      <c r="M1453" s="2" t="str">
        <f>VLOOKUP($C1453, 고객정보!$A$2:$E$151, 2, FALSE)</f>
        <v>서울</v>
      </c>
      <c r="N1453" t="str">
        <f>VLOOKUP(C1453,고객정보!$A$2:$D$151,4,FALSE)</f>
        <v>L1</v>
      </c>
      <c r="O1453" t="str">
        <f>VLOOKUP($C1453, 고객정보!$A$2:$E$151, 5, FALSE)</f>
        <v>10대</v>
      </c>
      <c r="P1453" t="str">
        <f>VLOOKUP(D1453,상품정보!$A$2:$E$61,2,FALSE)</f>
        <v>귀걸이</v>
      </c>
      <c r="Q1453" t="str">
        <f>VLOOKUP(D1453,상품정보!$A$2:$D$151,3,FALSE)</f>
        <v>액세서리</v>
      </c>
      <c r="R1453" t="str">
        <f>VLOOKUP(D1453,상품정보!$A$2:$D$151,4,FALSE)</f>
        <v>브랜드F</v>
      </c>
    </row>
    <row r="1454" spans="1:18" x14ac:dyDescent="0.45">
      <c r="A1454" t="s">
        <v>140</v>
      </c>
      <c r="B1454" t="s">
        <v>1853</v>
      </c>
      <c r="C1454" t="s">
        <v>2408</v>
      </c>
      <c r="D1454" t="s">
        <v>2605</v>
      </c>
      <c r="E1454">
        <v>2</v>
      </c>
      <c r="F1454">
        <v>6800</v>
      </c>
      <c r="G1454">
        <v>0</v>
      </c>
      <c r="H1454">
        <v>1300</v>
      </c>
      <c r="I1454" t="s">
        <v>2612</v>
      </c>
      <c r="J1454" s="4">
        <f t="shared" si="66"/>
        <v>12300</v>
      </c>
      <c r="K1454" s="4" t="str">
        <f t="shared" si="67"/>
        <v>2024-07</v>
      </c>
      <c r="L1454" s="4" t="str">
        <f t="shared" si="68"/>
        <v>토</v>
      </c>
      <c r="M1454" s="2" t="str">
        <f>VLOOKUP($C1454, 고객정보!$A$2:$E$151, 2, FALSE)</f>
        <v>수원</v>
      </c>
      <c r="N1454" t="str">
        <f>VLOOKUP(C1454,고객정보!$A$2:$D$151,4,FALSE)</f>
        <v>L5</v>
      </c>
      <c r="O1454" t="str">
        <f>VLOOKUP($C1454, 고객정보!$A$2:$E$151, 5, FALSE)</f>
        <v>20대</v>
      </c>
      <c r="P1454" t="str">
        <f>VLOOKUP(D1454,상품정보!$A$2:$E$61,2,FALSE)</f>
        <v>핸드폰케이스</v>
      </c>
      <c r="Q1454" t="str">
        <f>VLOOKUP(D1454,상품정보!$A$2:$D$151,3,FALSE)</f>
        <v>액세서리</v>
      </c>
      <c r="R1454" t="str">
        <f>VLOOKUP(D1454,상품정보!$A$2:$D$151,4,FALSE)</f>
        <v>브랜드D</v>
      </c>
    </row>
    <row r="1455" spans="1:18" x14ac:dyDescent="0.45">
      <c r="A1455" t="s">
        <v>184</v>
      </c>
      <c r="B1455" t="s">
        <v>1854</v>
      </c>
      <c r="C1455" t="s">
        <v>2439</v>
      </c>
      <c r="D1455" t="s">
        <v>2591</v>
      </c>
      <c r="E1455">
        <v>5</v>
      </c>
      <c r="F1455">
        <v>69200</v>
      </c>
      <c r="G1455">
        <v>0</v>
      </c>
      <c r="H1455">
        <v>0</v>
      </c>
      <c r="I1455" t="s">
        <v>2652</v>
      </c>
      <c r="J1455" s="4">
        <f t="shared" si="66"/>
        <v>346000</v>
      </c>
      <c r="K1455" s="4" t="str">
        <f t="shared" si="67"/>
        <v>2024-02</v>
      </c>
      <c r="L1455" s="4" t="str">
        <f t="shared" si="68"/>
        <v>수</v>
      </c>
      <c r="M1455" s="2" t="str">
        <f>VLOOKUP($C1455, 고객정보!$A$2:$E$151, 2, FALSE)</f>
        <v>대구</v>
      </c>
      <c r="N1455" t="str">
        <f>VLOOKUP(C1455,고객정보!$A$2:$D$151,4,FALSE)</f>
        <v>L3</v>
      </c>
      <c r="O1455" t="str">
        <f>VLOOKUP($C1455, 고객정보!$A$2:$E$151, 5, FALSE)</f>
        <v>30대</v>
      </c>
      <c r="P1455" t="str">
        <f>VLOOKUP(D1455,상품정보!$A$2:$E$61,2,FALSE)</f>
        <v>셔츠</v>
      </c>
      <c r="Q1455" t="str">
        <f>VLOOKUP(D1455,상품정보!$A$2:$D$151,3,FALSE)</f>
        <v>의류</v>
      </c>
      <c r="R1455" t="str">
        <f>VLOOKUP(D1455,상품정보!$A$2:$D$151,4,FALSE)</f>
        <v>브랜드F</v>
      </c>
    </row>
    <row r="1456" spans="1:18" x14ac:dyDescent="0.45">
      <c r="A1456" t="s">
        <v>108</v>
      </c>
      <c r="B1456" t="s">
        <v>1855</v>
      </c>
      <c r="C1456" t="s">
        <v>2519</v>
      </c>
      <c r="D1456" t="s">
        <v>2595</v>
      </c>
      <c r="E1456">
        <v>3</v>
      </c>
      <c r="F1456">
        <v>12700</v>
      </c>
      <c r="G1456">
        <v>500</v>
      </c>
      <c r="H1456">
        <v>0</v>
      </c>
      <c r="I1456" t="s">
        <v>2652</v>
      </c>
      <c r="J1456" s="4">
        <f t="shared" si="66"/>
        <v>38600</v>
      </c>
      <c r="K1456" s="4" t="str">
        <f t="shared" si="67"/>
        <v>2024-02</v>
      </c>
      <c r="L1456" s="4" t="str">
        <f t="shared" si="68"/>
        <v>목</v>
      </c>
      <c r="M1456" s="2" t="str">
        <f>VLOOKUP($C1456, 고객정보!$A$2:$E$151, 2, FALSE)</f>
        <v>서울</v>
      </c>
      <c r="N1456" t="str">
        <f>VLOOKUP(C1456,고객정보!$A$2:$D$151,4,FALSE)</f>
        <v>L4</v>
      </c>
      <c r="O1456" t="str">
        <f>VLOOKUP($C1456, 고객정보!$A$2:$E$151, 5, FALSE)</f>
        <v>20대</v>
      </c>
      <c r="P1456" t="str">
        <f>VLOOKUP(D1456,상품정보!$A$2:$E$61,2,FALSE)</f>
        <v>반지</v>
      </c>
      <c r="Q1456" t="str">
        <f>VLOOKUP(D1456,상품정보!$A$2:$D$151,3,FALSE)</f>
        <v>액세서리</v>
      </c>
      <c r="R1456" t="str">
        <f>VLOOKUP(D1456,상품정보!$A$2:$D$151,4,FALSE)</f>
        <v>브랜드C</v>
      </c>
    </row>
    <row r="1457" spans="1:18" x14ac:dyDescent="0.45">
      <c r="A1457" t="s">
        <v>287</v>
      </c>
      <c r="B1457" t="s">
        <v>1856</v>
      </c>
      <c r="C1457" t="s">
        <v>2493</v>
      </c>
      <c r="D1457" t="s">
        <v>2605</v>
      </c>
      <c r="E1457">
        <v>5</v>
      </c>
      <c r="F1457">
        <v>6800</v>
      </c>
      <c r="G1457">
        <v>500</v>
      </c>
      <c r="H1457">
        <v>2200</v>
      </c>
      <c r="I1457" t="s">
        <v>2613</v>
      </c>
      <c r="J1457" s="4">
        <f t="shared" si="66"/>
        <v>32300</v>
      </c>
      <c r="K1457" s="4" t="str">
        <f t="shared" si="67"/>
        <v>2024-10</v>
      </c>
      <c r="L1457" s="4" t="str">
        <f t="shared" si="68"/>
        <v>월</v>
      </c>
      <c r="M1457" s="2" t="str">
        <f>VLOOKUP($C1457, 고객정보!$A$2:$E$151, 2, FALSE)</f>
        <v>서울</v>
      </c>
      <c r="N1457" t="str">
        <f>VLOOKUP(C1457,고객정보!$A$2:$D$151,4,FALSE)</f>
        <v>L1</v>
      </c>
      <c r="O1457" t="str">
        <f>VLOOKUP($C1457, 고객정보!$A$2:$E$151, 5, FALSE)</f>
        <v>20대</v>
      </c>
      <c r="P1457" t="str">
        <f>VLOOKUP(D1457,상품정보!$A$2:$E$61,2,FALSE)</f>
        <v>핸드폰케이스</v>
      </c>
      <c r="Q1457" t="str">
        <f>VLOOKUP(D1457,상품정보!$A$2:$D$151,3,FALSE)</f>
        <v>액세서리</v>
      </c>
      <c r="R1457" t="str">
        <f>VLOOKUP(D1457,상품정보!$A$2:$D$151,4,FALSE)</f>
        <v>브랜드D</v>
      </c>
    </row>
    <row r="1458" spans="1:18" x14ac:dyDescent="0.45">
      <c r="A1458" t="s">
        <v>20</v>
      </c>
      <c r="B1458" t="s">
        <v>1857</v>
      </c>
      <c r="C1458" t="s">
        <v>2531</v>
      </c>
      <c r="D1458" t="s">
        <v>2606</v>
      </c>
      <c r="E1458">
        <v>4</v>
      </c>
      <c r="F1458">
        <v>15000</v>
      </c>
      <c r="G1458">
        <v>1000</v>
      </c>
      <c r="H1458">
        <v>0</v>
      </c>
      <c r="I1458" t="s">
        <v>2652</v>
      </c>
      <c r="J1458" s="4">
        <f t="shared" si="66"/>
        <v>61000</v>
      </c>
      <c r="K1458" s="4" t="str">
        <f t="shared" si="67"/>
        <v>2024-07</v>
      </c>
      <c r="L1458" s="4" t="str">
        <f t="shared" si="68"/>
        <v>금</v>
      </c>
      <c r="M1458" s="2" t="str">
        <f>VLOOKUP($C1458, 고객정보!$A$2:$E$151, 2, FALSE)</f>
        <v>서울</v>
      </c>
      <c r="N1458" t="str">
        <f>VLOOKUP(C1458,고객정보!$A$2:$D$151,4,FALSE)</f>
        <v>L4</v>
      </c>
      <c r="O1458" t="str">
        <f>VLOOKUP($C1458, 고객정보!$A$2:$E$151, 5, FALSE)</f>
        <v>40대</v>
      </c>
      <c r="P1458" t="str">
        <f>VLOOKUP(D1458,상품정보!$A$2:$E$61,2,FALSE)</f>
        <v>귀걸이</v>
      </c>
      <c r="Q1458" t="str">
        <f>VLOOKUP(D1458,상품정보!$A$2:$D$151,3,FALSE)</f>
        <v>액세서리</v>
      </c>
      <c r="R1458" t="str">
        <f>VLOOKUP(D1458,상품정보!$A$2:$D$151,4,FALSE)</f>
        <v>브랜드E</v>
      </c>
    </row>
    <row r="1459" spans="1:18" x14ac:dyDescent="0.45">
      <c r="A1459" t="s">
        <v>328</v>
      </c>
      <c r="B1459" t="s">
        <v>1858</v>
      </c>
      <c r="C1459" t="s">
        <v>2500</v>
      </c>
      <c r="D1459" t="s">
        <v>2608</v>
      </c>
      <c r="E1459">
        <v>2</v>
      </c>
      <c r="F1459">
        <v>10600</v>
      </c>
      <c r="G1459">
        <v>0</v>
      </c>
      <c r="H1459">
        <v>0</v>
      </c>
      <c r="I1459" t="s">
        <v>2652</v>
      </c>
      <c r="J1459" s="4">
        <f t="shared" si="66"/>
        <v>21200</v>
      </c>
      <c r="K1459" s="4" t="str">
        <f t="shared" si="67"/>
        <v>2025-01</v>
      </c>
      <c r="L1459" s="4" t="str">
        <f t="shared" si="68"/>
        <v>수</v>
      </c>
      <c r="M1459" s="2" t="str">
        <f>VLOOKUP($C1459, 고객정보!$A$2:$E$151, 2, FALSE)</f>
        <v>서울</v>
      </c>
      <c r="N1459" t="str">
        <f>VLOOKUP(C1459,고객정보!$A$2:$D$151,4,FALSE)</f>
        <v>L3</v>
      </c>
      <c r="O1459" t="str">
        <f>VLOOKUP($C1459, 고객정보!$A$2:$E$151, 5, FALSE)</f>
        <v>20대</v>
      </c>
      <c r="P1459" t="str">
        <f>VLOOKUP(D1459,상품정보!$A$2:$E$61,2,FALSE)</f>
        <v>셔츠</v>
      </c>
      <c r="Q1459" t="str">
        <f>VLOOKUP(D1459,상품정보!$A$2:$D$151,3,FALSE)</f>
        <v>의류</v>
      </c>
      <c r="R1459" t="str">
        <f>VLOOKUP(D1459,상품정보!$A$2:$D$151,4,FALSE)</f>
        <v>브랜드D</v>
      </c>
    </row>
    <row r="1460" spans="1:18" x14ac:dyDescent="0.45">
      <c r="A1460" t="s">
        <v>373</v>
      </c>
      <c r="B1460" t="s">
        <v>1859</v>
      </c>
      <c r="C1460" t="s">
        <v>2450</v>
      </c>
      <c r="D1460" t="s">
        <v>2587</v>
      </c>
      <c r="E1460">
        <v>4</v>
      </c>
      <c r="F1460">
        <v>50200</v>
      </c>
      <c r="G1460">
        <v>0</v>
      </c>
      <c r="H1460">
        <v>0</v>
      </c>
      <c r="I1460" t="s">
        <v>2652</v>
      </c>
      <c r="J1460" s="4">
        <f t="shared" si="66"/>
        <v>200800</v>
      </c>
      <c r="K1460" s="4" t="str">
        <f t="shared" si="67"/>
        <v>2024-12</v>
      </c>
      <c r="L1460" s="4" t="str">
        <f t="shared" si="68"/>
        <v>토</v>
      </c>
      <c r="M1460" s="2" t="str">
        <f>VLOOKUP($C1460, 고객정보!$A$2:$E$151, 2, FALSE)</f>
        <v>인천</v>
      </c>
      <c r="N1460" t="str">
        <f>VLOOKUP(C1460,고객정보!$A$2:$D$151,4,FALSE)</f>
        <v>L5</v>
      </c>
      <c r="O1460" t="str">
        <f>VLOOKUP($C1460, 고객정보!$A$2:$E$151, 5, FALSE)</f>
        <v>40대</v>
      </c>
      <c r="P1460" t="str">
        <f>VLOOKUP(D1460,상품정보!$A$2:$E$61,2,FALSE)</f>
        <v>반지</v>
      </c>
      <c r="Q1460" t="str">
        <f>VLOOKUP(D1460,상품정보!$A$2:$D$151,3,FALSE)</f>
        <v>액세서리</v>
      </c>
      <c r="R1460" t="str">
        <f>VLOOKUP(D1460,상품정보!$A$2:$D$151,4,FALSE)</f>
        <v>브랜드B</v>
      </c>
    </row>
    <row r="1461" spans="1:18" x14ac:dyDescent="0.45">
      <c r="A1461" t="s">
        <v>394</v>
      </c>
      <c r="B1461" t="s">
        <v>1860</v>
      </c>
      <c r="C1461" t="s">
        <v>2413</v>
      </c>
      <c r="D1461" t="s">
        <v>2590</v>
      </c>
      <c r="E1461">
        <v>5</v>
      </c>
      <c r="F1461">
        <v>68900</v>
      </c>
      <c r="G1461">
        <v>0</v>
      </c>
      <c r="H1461">
        <v>0</v>
      </c>
      <c r="I1461" t="s">
        <v>2652</v>
      </c>
      <c r="J1461" s="4">
        <f t="shared" si="66"/>
        <v>344500</v>
      </c>
      <c r="K1461" s="4" t="str">
        <f t="shared" si="67"/>
        <v>2024-01</v>
      </c>
      <c r="L1461" s="4" t="str">
        <f t="shared" si="68"/>
        <v>월</v>
      </c>
      <c r="M1461" s="2" t="str">
        <f>VLOOKUP($C1461, 고객정보!$A$2:$E$151, 2, FALSE)</f>
        <v>서울</v>
      </c>
      <c r="N1461" t="str">
        <f>VLOOKUP(C1461,고객정보!$A$2:$D$151,4,FALSE)</f>
        <v>L5</v>
      </c>
      <c r="O1461" t="str">
        <f>VLOOKUP($C1461, 고객정보!$A$2:$E$151, 5, FALSE)</f>
        <v>30대</v>
      </c>
      <c r="P1461" t="str">
        <f>VLOOKUP(D1461,상품정보!$A$2:$E$61,2,FALSE)</f>
        <v>반팔 티셔츠</v>
      </c>
      <c r="Q1461" t="str">
        <f>VLOOKUP(D1461,상품정보!$A$2:$D$151,3,FALSE)</f>
        <v>의류</v>
      </c>
      <c r="R1461" t="str">
        <f>VLOOKUP(D1461,상품정보!$A$2:$D$151,4,FALSE)</f>
        <v>브랜드A</v>
      </c>
    </row>
    <row r="1462" spans="1:18" x14ac:dyDescent="0.45">
      <c r="A1462" t="s">
        <v>252</v>
      </c>
      <c r="B1462" t="s">
        <v>1861</v>
      </c>
      <c r="C1462" t="s">
        <v>2545</v>
      </c>
      <c r="D1462" t="s">
        <v>2580</v>
      </c>
      <c r="E1462">
        <v>3</v>
      </c>
      <c r="F1462">
        <v>77800</v>
      </c>
      <c r="G1462">
        <v>500</v>
      </c>
      <c r="H1462">
        <v>0</v>
      </c>
      <c r="I1462" t="s">
        <v>2652</v>
      </c>
      <c r="J1462" s="4">
        <f t="shared" si="66"/>
        <v>233900</v>
      </c>
      <c r="K1462" s="4" t="str">
        <f t="shared" si="67"/>
        <v>2024-02</v>
      </c>
      <c r="L1462" s="4" t="str">
        <f t="shared" si="68"/>
        <v>일</v>
      </c>
      <c r="M1462" s="2" t="str">
        <f>VLOOKUP($C1462, 고객정보!$A$2:$E$151, 2, FALSE)</f>
        <v>서울</v>
      </c>
      <c r="N1462" t="str">
        <f>VLOOKUP(C1462,고객정보!$A$2:$D$151,4,FALSE)</f>
        <v>L4</v>
      </c>
      <c r="O1462" t="str">
        <f>VLOOKUP($C1462, 고객정보!$A$2:$E$151, 5, FALSE)</f>
        <v>30대</v>
      </c>
      <c r="P1462" t="str">
        <f>VLOOKUP(D1462,상품정보!$A$2:$E$61,2,FALSE)</f>
        <v>청바지</v>
      </c>
      <c r="Q1462" t="str">
        <f>VLOOKUP(D1462,상품정보!$A$2:$D$151,3,FALSE)</f>
        <v>의류</v>
      </c>
      <c r="R1462" t="str">
        <f>VLOOKUP(D1462,상품정보!$A$2:$D$151,4,FALSE)</f>
        <v>브랜드A</v>
      </c>
    </row>
    <row r="1463" spans="1:18" x14ac:dyDescent="0.45">
      <c r="A1463" t="s">
        <v>9</v>
      </c>
      <c r="B1463" t="s">
        <v>1862</v>
      </c>
      <c r="C1463" t="s">
        <v>2418</v>
      </c>
      <c r="D1463" t="s">
        <v>2601</v>
      </c>
      <c r="E1463">
        <v>2</v>
      </c>
      <c r="F1463">
        <v>17000</v>
      </c>
      <c r="G1463">
        <v>0</v>
      </c>
      <c r="H1463">
        <v>0</v>
      </c>
      <c r="I1463" t="s">
        <v>2652</v>
      </c>
      <c r="J1463" s="4">
        <f t="shared" si="66"/>
        <v>34000</v>
      </c>
      <c r="K1463" s="4" t="str">
        <f t="shared" si="67"/>
        <v>2024-12</v>
      </c>
      <c r="L1463" s="4" t="str">
        <f t="shared" si="68"/>
        <v>목</v>
      </c>
      <c r="M1463" s="2" t="str">
        <f>VLOOKUP($C1463, 고객정보!$A$2:$E$151, 2, FALSE)</f>
        <v>부산</v>
      </c>
      <c r="N1463" t="str">
        <f>VLOOKUP(C1463,고객정보!$A$2:$D$151,4,FALSE)</f>
        <v>L5</v>
      </c>
      <c r="O1463" t="str">
        <f>VLOOKUP($C1463, 고객정보!$A$2:$E$151, 5, FALSE)</f>
        <v>30대</v>
      </c>
      <c r="P1463" t="str">
        <f>VLOOKUP(D1463,상품정보!$A$2:$E$61,2,FALSE)</f>
        <v>자켓</v>
      </c>
      <c r="Q1463" t="str">
        <f>VLOOKUP(D1463,상품정보!$A$2:$D$151,3,FALSE)</f>
        <v>의류</v>
      </c>
      <c r="R1463" t="str">
        <f>VLOOKUP(D1463,상품정보!$A$2:$D$151,4,FALSE)</f>
        <v>브랜드E</v>
      </c>
    </row>
    <row r="1464" spans="1:18" x14ac:dyDescent="0.45">
      <c r="A1464" t="s">
        <v>249</v>
      </c>
      <c r="B1464" t="s">
        <v>1863</v>
      </c>
      <c r="C1464" t="s">
        <v>2451</v>
      </c>
      <c r="D1464" t="s">
        <v>2570</v>
      </c>
      <c r="E1464">
        <v>3</v>
      </c>
      <c r="F1464">
        <v>73900</v>
      </c>
      <c r="G1464">
        <v>1500</v>
      </c>
      <c r="H1464">
        <v>0</v>
      </c>
      <c r="I1464" t="s">
        <v>2652</v>
      </c>
      <c r="J1464" s="4">
        <f t="shared" si="66"/>
        <v>223200</v>
      </c>
      <c r="K1464" s="4" t="str">
        <f t="shared" si="67"/>
        <v>2024-07</v>
      </c>
      <c r="L1464" s="4" t="str">
        <f t="shared" si="68"/>
        <v>화</v>
      </c>
      <c r="M1464" s="2" t="str">
        <f>VLOOKUP($C1464, 고객정보!$A$2:$E$151, 2, FALSE)</f>
        <v>서울</v>
      </c>
      <c r="N1464" t="str">
        <f>VLOOKUP(C1464,고객정보!$A$2:$D$151,4,FALSE)</f>
        <v>L1</v>
      </c>
      <c r="O1464" t="str">
        <f>VLOOKUP($C1464, 고객정보!$A$2:$E$151, 5, FALSE)</f>
        <v>30대</v>
      </c>
      <c r="P1464" t="str">
        <f>VLOOKUP(D1464,상품정보!$A$2:$E$61,2,FALSE)</f>
        <v>반지</v>
      </c>
      <c r="Q1464" t="str">
        <f>VLOOKUP(D1464,상품정보!$A$2:$D$151,3,FALSE)</f>
        <v>액세서리</v>
      </c>
      <c r="R1464" t="str">
        <f>VLOOKUP(D1464,상품정보!$A$2:$D$151,4,FALSE)</f>
        <v>브랜드B</v>
      </c>
    </row>
    <row r="1465" spans="1:18" x14ac:dyDescent="0.45">
      <c r="A1465" t="s">
        <v>87</v>
      </c>
      <c r="B1465" t="s">
        <v>1864</v>
      </c>
      <c r="C1465" t="s">
        <v>2498</v>
      </c>
      <c r="D1465" t="s">
        <v>2578</v>
      </c>
      <c r="E1465">
        <v>5</v>
      </c>
      <c r="F1465">
        <v>78000</v>
      </c>
      <c r="G1465">
        <v>1500</v>
      </c>
      <c r="H1465">
        <v>0</v>
      </c>
      <c r="I1465" t="s">
        <v>2652</v>
      </c>
      <c r="J1465" s="4">
        <f t="shared" si="66"/>
        <v>391500</v>
      </c>
      <c r="K1465" s="4" t="str">
        <f t="shared" si="67"/>
        <v>2024-01</v>
      </c>
      <c r="L1465" s="4" t="str">
        <f t="shared" si="68"/>
        <v>금</v>
      </c>
      <c r="M1465" s="2" t="str">
        <f>VLOOKUP($C1465, 고객정보!$A$2:$E$151, 2, FALSE)</f>
        <v>서울</v>
      </c>
      <c r="N1465" t="str">
        <f>VLOOKUP(C1465,고객정보!$A$2:$D$151,4,FALSE)</f>
        <v>L3</v>
      </c>
      <c r="O1465" t="str">
        <f>VLOOKUP($C1465, 고객정보!$A$2:$E$151, 5, FALSE)</f>
        <v>30대</v>
      </c>
      <c r="P1465" t="str">
        <f>VLOOKUP(D1465,상품정보!$A$2:$E$61,2,FALSE)</f>
        <v>귀걸이</v>
      </c>
      <c r="Q1465" t="str">
        <f>VLOOKUP(D1465,상품정보!$A$2:$D$151,3,FALSE)</f>
        <v>액세서리</v>
      </c>
      <c r="R1465" t="str">
        <f>VLOOKUP(D1465,상품정보!$A$2:$D$151,4,FALSE)</f>
        <v>브랜드B</v>
      </c>
    </row>
    <row r="1466" spans="1:18" x14ac:dyDescent="0.45">
      <c r="A1466" t="s">
        <v>173</v>
      </c>
      <c r="B1466" t="s">
        <v>1865</v>
      </c>
      <c r="C1466" t="s">
        <v>2428</v>
      </c>
      <c r="D1466" t="s">
        <v>2585</v>
      </c>
      <c r="E1466">
        <v>3</v>
      </c>
      <c r="F1466">
        <v>14900</v>
      </c>
      <c r="G1466">
        <v>0</v>
      </c>
      <c r="H1466">
        <v>15700</v>
      </c>
      <c r="I1466" t="s">
        <v>2614</v>
      </c>
      <c r="J1466" s="4">
        <f t="shared" si="66"/>
        <v>29000</v>
      </c>
      <c r="K1466" s="4" t="str">
        <f t="shared" si="67"/>
        <v>2024-02</v>
      </c>
      <c r="L1466" s="4" t="str">
        <f t="shared" si="68"/>
        <v>토</v>
      </c>
      <c r="M1466" s="2" t="str">
        <f>VLOOKUP($C1466, 고객정보!$A$2:$E$151, 2, FALSE)</f>
        <v>광주</v>
      </c>
      <c r="N1466" t="str">
        <f>VLOOKUP(C1466,고객정보!$A$2:$D$151,4,FALSE)</f>
        <v>L4</v>
      </c>
      <c r="O1466" t="str">
        <f>VLOOKUP($C1466, 고객정보!$A$2:$E$151, 5, FALSE)</f>
        <v>10대</v>
      </c>
      <c r="P1466" t="str">
        <f>VLOOKUP(D1466,상품정보!$A$2:$E$61,2,FALSE)</f>
        <v>반팔 티셔츠</v>
      </c>
      <c r="Q1466" t="str">
        <f>VLOOKUP(D1466,상품정보!$A$2:$D$151,3,FALSE)</f>
        <v>의류</v>
      </c>
      <c r="R1466" t="str">
        <f>VLOOKUP(D1466,상품정보!$A$2:$D$151,4,FALSE)</f>
        <v>브랜드C</v>
      </c>
    </row>
    <row r="1467" spans="1:18" x14ac:dyDescent="0.45">
      <c r="A1467" t="s">
        <v>70</v>
      </c>
      <c r="B1467" t="s">
        <v>1866</v>
      </c>
      <c r="C1467" t="s">
        <v>2461</v>
      </c>
      <c r="D1467" t="s">
        <v>2579</v>
      </c>
      <c r="E1467">
        <v>3</v>
      </c>
      <c r="F1467">
        <v>51000</v>
      </c>
      <c r="G1467">
        <v>0</v>
      </c>
      <c r="H1467">
        <v>0</v>
      </c>
      <c r="I1467" t="s">
        <v>2652</v>
      </c>
      <c r="J1467" s="4">
        <f t="shared" si="66"/>
        <v>153000</v>
      </c>
      <c r="K1467" s="4" t="str">
        <f t="shared" si="67"/>
        <v>2024-02</v>
      </c>
      <c r="L1467" s="4" t="str">
        <f t="shared" si="68"/>
        <v>목</v>
      </c>
      <c r="M1467" s="2" t="str">
        <f>VLOOKUP($C1467, 고객정보!$A$2:$E$151, 2, FALSE)</f>
        <v>부산</v>
      </c>
      <c r="N1467" t="str">
        <f>VLOOKUP(C1467,고객정보!$A$2:$D$151,4,FALSE)</f>
        <v>L2</v>
      </c>
      <c r="O1467" t="str">
        <f>VLOOKUP($C1467, 고객정보!$A$2:$E$151, 5, FALSE)</f>
        <v>40대</v>
      </c>
      <c r="P1467" t="str">
        <f>VLOOKUP(D1467,상품정보!$A$2:$E$61,2,FALSE)</f>
        <v>핸드폰케이스</v>
      </c>
      <c r="Q1467" t="str">
        <f>VLOOKUP(D1467,상품정보!$A$2:$D$151,3,FALSE)</f>
        <v>액세서리</v>
      </c>
      <c r="R1467" t="str">
        <f>VLOOKUP(D1467,상품정보!$A$2:$D$151,4,FALSE)</f>
        <v>브랜드F</v>
      </c>
    </row>
    <row r="1468" spans="1:18" x14ac:dyDescent="0.45">
      <c r="A1468" t="s">
        <v>124</v>
      </c>
      <c r="B1468" t="s">
        <v>1867</v>
      </c>
      <c r="C1468" t="s">
        <v>2472</v>
      </c>
      <c r="D1468" t="s">
        <v>2568</v>
      </c>
      <c r="E1468">
        <v>2</v>
      </c>
      <c r="F1468">
        <v>16800</v>
      </c>
      <c r="G1468">
        <v>0</v>
      </c>
      <c r="H1468">
        <v>4600</v>
      </c>
      <c r="I1468" t="s">
        <v>2614</v>
      </c>
      <c r="J1468" s="4">
        <f t="shared" si="66"/>
        <v>29000</v>
      </c>
      <c r="K1468" s="4" t="str">
        <f t="shared" si="67"/>
        <v>2024-08</v>
      </c>
      <c r="L1468" s="4" t="str">
        <f t="shared" si="68"/>
        <v>토</v>
      </c>
      <c r="M1468" s="2" t="str">
        <f>VLOOKUP($C1468, 고객정보!$A$2:$E$151, 2, FALSE)</f>
        <v>서울</v>
      </c>
      <c r="N1468" t="str">
        <f>VLOOKUP(C1468,고객정보!$A$2:$D$151,4,FALSE)</f>
        <v>L1</v>
      </c>
      <c r="O1468" t="str">
        <f>VLOOKUP($C1468, 고객정보!$A$2:$E$151, 5, FALSE)</f>
        <v>20대</v>
      </c>
      <c r="P1468" t="str">
        <f>VLOOKUP(D1468,상품정보!$A$2:$E$61,2,FALSE)</f>
        <v>청바지</v>
      </c>
      <c r="Q1468" t="str">
        <f>VLOOKUP(D1468,상품정보!$A$2:$D$151,3,FALSE)</f>
        <v>의류</v>
      </c>
      <c r="R1468" t="str">
        <f>VLOOKUP(D1468,상품정보!$A$2:$D$151,4,FALSE)</f>
        <v>브랜드C</v>
      </c>
    </row>
    <row r="1469" spans="1:18" x14ac:dyDescent="0.45">
      <c r="A1469" t="s">
        <v>253</v>
      </c>
      <c r="B1469" t="s">
        <v>1868</v>
      </c>
      <c r="C1469" t="s">
        <v>2426</v>
      </c>
      <c r="D1469" t="s">
        <v>2603</v>
      </c>
      <c r="E1469">
        <v>2</v>
      </c>
      <c r="F1469">
        <v>8200</v>
      </c>
      <c r="G1469">
        <v>1000</v>
      </c>
      <c r="H1469">
        <v>0</v>
      </c>
      <c r="I1469" t="s">
        <v>2652</v>
      </c>
      <c r="J1469" s="4">
        <f t="shared" si="66"/>
        <v>17400</v>
      </c>
      <c r="K1469" s="4" t="str">
        <f t="shared" si="67"/>
        <v>2024-10</v>
      </c>
      <c r="L1469" s="4" t="str">
        <f t="shared" si="68"/>
        <v>일</v>
      </c>
      <c r="M1469" s="2" t="str">
        <f>VLOOKUP($C1469, 고객정보!$A$2:$E$151, 2, FALSE)</f>
        <v>대전</v>
      </c>
      <c r="N1469" t="str">
        <f>VLOOKUP(C1469,고객정보!$A$2:$D$151,4,FALSE)</f>
        <v>L5</v>
      </c>
      <c r="O1469" t="str">
        <f>VLOOKUP($C1469, 고객정보!$A$2:$E$151, 5, FALSE)</f>
        <v>30대</v>
      </c>
      <c r="P1469" t="str">
        <f>VLOOKUP(D1469,상품정보!$A$2:$E$61,2,FALSE)</f>
        <v>목걸이</v>
      </c>
      <c r="Q1469" t="str">
        <f>VLOOKUP(D1469,상품정보!$A$2:$D$151,3,FALSE)</f>
        <v>액세서리</v>
      </c>
      <c r="R1469" t="str">
        <f>VLOOKUP(D1469,상품정보!$A$2:$D$151,4,FALSE)</f>
        <v>브랜드E</v>
      </c>
    </row>
    <row r="1470" spans="1:18" x14ac:dyDescent="0.45">
      <c r="A1470" t="s">
        <v>301</v>
      </c>
      <c r="B1470" t="s">
        <v>1869</v>
      </c>
      <c r="C1470" t="s">
        <v>2425</v>
      </c>
      <c r="D1470" t="s">
        <v>2604</v>
      </c>
      <c r="E1470">
        <v>2</v>
      </c>
      <c r="F1470">
        <v>9700</v>
      </c>
      <c r="G1470">
        <v>500</v>
      </c>
      <c r="H1470">
        <v>8300</v>
      </c>
      <c r="I1470" t="s">
        <v>2612</v>
      </c>
      <c r="J1470" s="4">
        <f t="shared" si="66"/>
        <v>11600</v>
      </c>
      <c r="K1470" s="4" t="str">
        <f t="shared" si="67"/>
        <v>2024-09</v>
      </c>
      <c r="L1470" s="4" t="str">
        <f t="shared" si="68"/>
        <v>목</v>
      </c>
      <c r="M1470" s="2" t="str">
        <f>VLOOKUP($C1470, 고객정보!$A$2:$E$151, 2, FALSE)</f>
        <v>서울</v>
      </c>
      <c r="N1470" t="str">
        <f>VLOOKUP(C1470,고객정보!$A$2:$D$151,4,FALSE)</f>
        <v>L4</v>
      </c>
      <c r="O1470" t="str">
        <f>VLOOKUP($C1470, 고객정보!$A$2:$E$151, 5, FALSE)</f>
        <v>30대</v>
      </c>
      <c r="P1470" t="str">
        <f>VLOOKUP(D1470,상품정보!$A$2:$E$61,2,FALSE)</f>
        <v>반팔 티셔츠</v>
      </c>
      <c r="Q1470" t="str">
        <f>VLOOKUP(D1470,상품정보!$A$2:$D$151,3,FALSE)</f>
        <v>의류</v>
      </c>
      <c r="R1470" t="str">
        <f>VLOOKUP(D1470,상품정보!$A$2:$D$151,4,FALSE)</f>
        <v>브랜드E</v>
      </c>
    </row>
    <row r="1471" spans="1:18" x14ac:dyDescent="0.45">
      <c r="A1471" t="s">
        <v>55</v>
      </c>
      <c r="B1471" t="s">
        <v>1870</v>
      </c>
      <c r="C1471" t="s">
        <v>2448</v>
      </c>
      <c r="D1471" t="s">
        <v>2585</v>
      </c>
      <c r="E1471">
        <v>2</v>
      </c>
      <c r="F1471">
        <v>14900</v>
      </c>
      <c r="G1471">
        <v>0</v>
      </c>
      <c r="H1471">
        <v>8100</v>
      </c>
      <c r="I1471" t="s">
        <v>2611</v>
      </c>
      <c r="J1471" s="4">
        <f t="shared" si="66"/>
        <v>21700</v>
      </c>
      <c r="K1471" s="4" t="str">
        <f t="shared" si="67"/>
        <v>2024-05</v>
      </c>
      <c r="L1471" s="4" t="str">
        <f t="shared" si="68"/>
        <v>수</v>
      </c>
      <c r="M1471" s="2" t="str">
        <f>VLOOKUP($C1471, 고객정보!$A$2:$E$151, 2, FALSE)</f>
        <v>광주</v>
      </c>
      <c r="N1471" t="str">
        <f>VLOOKUP(C1471,고객정보!$A$2:$D$151,4,FALSE)</f>
        <v>L3</v>
      </c>
      <c r="O1471" t="str">
        <f>VLOOKUP($C1471, 고객정보!$A$2:$E$151, 5, FALSE)</f>
        <v>50대 이상</v>
      </c>
      <c r="P1471" t="str">
        <f>VLOOKUP(D1471,상품정보!$A$2:$E$61,2,FALSE)</f>
        <v>반팔 티셔츠</v>
      </c>
      <c r="Q1471" t="str">
        <f>VLOOKUP(D1471,상품정보!$A$2:$D$151,3,FALSE)</f>
        <v>의류</v>
      </c>
      <c r="R1471" t="str">
        <f>VLOOKUP(D1471,상품정보!$A$2:$D$151,4,FALSE)</f>
        <v>브랜드C</v>
      </c>
    </row>
    <row r="1472" spans="1:18" x14ac:dyDescent="0.45">
      <c r="A1472" t="s">
        <v>300</v>
      </c>
      <c r="B1472" t="s">
        <v>1871</v>
      </c>
      <c r="C1472" t="s">
        <v>2548</v>
      </c>
      <c r="D1472" t="s">
        <v>2607</v>
      </c>
      <c r="E1472">
        <v>2</v>
      </c>
      <c r="F1472">
        <v>16000</v>
      </c>
      <c r="G1472">
        <v>1000</v>
      </c>
      <c r="H1472">
        <v>0</v>
      </c>
      <c r="I1472" t="s">
        <v>2652</v>
      </c>
      <c r="J1472" s="4">
        <f t="shared" si="66"/>
        <v>33000</v>
      </c>
      <c r="K1472" s="4" t="str">
        <f t="shared" si="67"/>
        <v>2024-05</v>
      </c>
      <c r="L1472" s="4" t="str">
        <f t="shared" si="68"/>
        <v>화</v>
      </c>
      <c r="M1472" s="2" t="str">
        <f>VLOOKUP($C1472, 고객정보!$A$2:$E$151, 2, FALSE)</f>
        <v>수원</v>
      </c>
      <c r="N1472" t="str">
        <f>VLOOKUP(C1472,고객정보!$A$2:$D$151,4,FALSE)</f>
        <v>L2</v>
      </c>
      <c r="O1472" t="str">
        <f>VLOOKUP($C1472, 고객정보!$A$2:$E$151, 5, FALSE)</f>
        <v>50대 이상</v>
      </c>
      <c r="P1472" t="str">
        <f>VLOOKUP(D1472,상품정보!$A$2:$E$61,2,FALSE)</f>
        <v>목걸이</v>
      </c>
      <c r="Q1472" t="str">
        <f>VLOOKUP(D1472,상품정보!$A$2:$D$151,3,FALSE)</f>
        <v>액세서리</v>
      </c>
      <c r="R1472" t="str">
        <f>VLOOKUP(D1472,상품정보!$A$2:$D$151,4,FALSE)</f>
        <v>브랜드E</v>
      </c>
    </row>
    <row r="1473" spans="1:18" x14ac:dyDescent="0.45">
      <c r="A1473" t="s">
        <v>178</v>
      </c>
      <c r="B1473" t="s">
        <v>1872</v>
      </c>
      <c r="C1473" t="s">
        <v>2529</v>
      </c>
      <c r="D1473" t="s">
        <v>2573</v>
      </c>
      <c r="E1473">
        <v>1</v>
      </c>
      <c r="F1473">
        <v>6400</v>
      </c>
      <c r="G1473">
        <v>1000</v>
      </c>
      <c r="H1473">
        <v>100</v>
      </c>
      <c r="I1473" t="s">
        <v>2612</v>
      </c>
      <c r="J1473" s="4">
        <f t="shared" si="66"/>
        <v>7300</v>
      </c>
      <c r="K1473" s="4" t="str">
        <f t="shared" si="67"/>
        <v>2024-03</v>
      </c>
      <c r="L1473" s="4" t="str">
        <f t="shared" si="68"/>
        <v>토</v>
      </c>
      <c r="M1473" s="2" t="str">
        <f>VLOOKUP($C1473, 고객정보!$A$2:$E$151, 2, FALSE)</f>
        <v>인천</v>
      </c>
      <c r="N1473" t="str">
        <f>VLOOKUP(C1473,고객정보!$A$2:$D$151,4,FALSE)</f>
        <v>L2</v>
      </c>
      <c r="O1473" t="str">
        <f>VLOOKUP($C1473, 고객정보!$A$2:$E$151, 5, FALSE)</f>
        <v>30대</v>
      </c>
      <c r="P1473" t="str">
        <f>VLOOKUP(D1473,상품정보!$A$2:$E$61,2,FALSE)</f>
        <v>귀걸이</v>
      </c>
      <c r="Q1473" t="str">
        <f>VLOOKUP(D1473,상품정보!$A$2:$D$151,3,FALSE)</f>
        <v>액세서리</v>
      </c>
      <c r="R1473" t="str">
        <f>VLOOKUP(D1473,상품정보!$A$2:$D$151,4,FALSE)</f>
        <v>브랜드E</v>
      </c>
    </row>
    <row r="1474" spans="1:18" x14ac:dyDescent="0.45">
      <c r="A1474" t="s">
        <v>297</v>
      </c>
      <c r="B1474" t="s">
        <v>1873</v>
      </c>
      <c r="C1474" t="s">
        <v>2414</v>
      </c>
      <c r="D1474" t="s">
        <v>2579</v>
      </c>
      <c r="E1474">
        <v>4</v>
      </c>
      <c r="F1474">
        <v>51000</v>
      </c>
      <c r="G1474">
        <v>1000</v>
      </c>
      <c r="H1474">
        <v>6500</v>
      </c>
      <c r="I1474" t="s">
        <v>2613</v>
      </c>
      <c r="J1474" s="4">
        <f t="shared" si="66"/>
        <v>198500</v>
      </c>
      <c r="K1474" s="4" t="str">
        <f t="shared" si="67"/>
        <v>2024-11</v>
      </c>
      <c r="L1474" s="4" t="str">
        <f t="shared" si="68"/>
        <v>일</v>
      </c>
      <c r="M1474" s="2" t="str">
        <f>VLOOKUP($C1474, 고객정보!$A$2:$E$151, 2, FALSE)</f>
        <v>대구</v>
      </c>
      <c r="N1474" t="str">
        <f>VLOOKUP(C1474,고객정보!$A$2:$D$151,4,FALSE)</f>
        <v>L3</v>
      </c>
      <c r="O1474" t="str">
        <f>VLOOKUP($C1474, 고객정보!$A$2:$E$151, 5, FALSE)</f>
        <v>30대</v>
      </c>
      <c r="P1474" t="str">
        <f>VLOOKUP(D1474,상품정보!$A$2:$E$61,2,FALSE)</f>
        <v>핸드폰케이스</v>
      </c>
      <c r="Q1474" t="str">
        <f>VLOOKUP(D1474,상품정보!$A$2:$D$151,3,FALSE)</f>
        <v>액세서리</v>
      </c>
      <c r="R1474" t="str">
        <f>VLOOKUP(D1474,상품정보!$A$2:$D$151,4,FALSE)</f>
        <v>브랜드F</v>
      </c>
    </row>
    <row r="1475" spans="1:18" x14ac:dyDescent="0.45">
      <c r="A1475" t="s">
        <v>158</v>
      </c>
      <c r="B1475" t="s">
        <v>1874</v>
      </c>
      <c r="C1475" t="s">
        <v>2408</v>
      </c>
      <c r="D1475" t="s">
        <v>2557</v>
      </c>
      <c r="E1475">
        <v>5</v>
      </c>
      <c r="F1475">
        <v>77700</v>
      </c>
      <c r="G1475">
        <v>500</v>
      </c>
      <c r="H1475">
        <v>0</v>
      </c>
      <c r="I1475" t="s">
        <v>2652</v>
      </c>
      <c r="J1475" s="4">
        <f t="shared" ref="J1475:J1538" si="69">E1475*F1475+G1475-H1475</f>
        <v>389000</v>
      </c>
      <c r="K1475" s="4" t="str">
        <f t="shared" ref="K1475:K1538" si="70">LEFT(A1475,7)</f>
        <v>2024-01</v>
      </c>
      <c r="L1475" s="4" t="str">
        <f t="shared" ref="L1475:L1538" si="71">TEXT(WEEKDAY(A1475),"aaa")</f>
        <v>월</v>
      </c>
      <c r="M1475" s="2" t="str">
        <f>VLOOKUP($C1475, 고객정보!$A$2:$E$151, 2, FALSE)</f>
        <v>수원</v>
      </c>
      <c r="N1475" t="str">
        <f>VLOOKUP(C1475,고객정보!$A$2:$D$151,4,FALSE)</f>
        <v>L5</v>
      </c>
      <c r="O1475" t="str">
        <f>VLOOKUP($C1475, 고객정보!$A$2:$E$151, 5, FALSE)</f>
        <v>20대</v>
      </c>
      <c r="P1475" t="str">
        <f>VLOOKUP(D1475,상품정보!$A$2:$E$61,2,FALSE)</f>
        <v>귀걸이</v>
      </c>
      <c r="Q1475" t="str">
        <f>VLOOKUP(D1475,상품정보!$A$2:$D$151,3,FALSE)</f>
        <v>액세서리</v>
      </c>
      <c r="R1475" t="str">
        <f>VLOOKUP(D1475,상품정보!$A$2:$D$151,4,FALSE)</f>
        <v>브랜드B</v>
      </c>
    </row>
    <row r="1476" spans="1:18" x14ac:dyDescent="0.45">
      <c r="A1476" t="s">
        <v>352</v>
      </c>
      <c r="B1476" t="s">
        <v>1875</v>
      </c>
      <c r="C1476" t="s">
        <v>2545</v>
      </c>
      <c r="D1476" t="s">
        <v>2599</v>
      </c>
      <c r="E1476">
        <v>5</v>
      </c>
      <c r="F1476">
        <v>73800</v>
      </c>
      <c r="G1476">
        <v>0</v>
      </c>
      <c r="H1476">
        <v>0</v>
      </c>
      <c r="I1476" t="s">
        <v>2652</v>
      </c>
      <c r="J1476" s="4">
        <f t="shared" si="69"/>
        <v>369000</v>
      </c>
      <c r="K1476" s="4" t="str">
        <f t="shared" si="70"/>
        <v>2024-06</v>
      </c>
      <c r="L1476" s="4" t="str">
        <f t="shared" si="71"/>
        <v>월</v>
      </c>
      <c r="M1476" s="2" t="str">
        <f>VLOOKUP($C1476, 고객정보!$A$2:$E$151, 2, FALSE)</f>
        <v>서울</v>
      </c>
      <c r="N1476" t="str">
        <f>VLOOKUP(C1476,고객정보!$A$2:$D$151,4,FALSE)</f>
        <v>L4</v>
      </c>
      <c r="O1476" t="str">
        <f>VLOOKUP($C1476, 고객정보!$A$2:$E$151, 5, FALSE)</f>
        <v>30대</v>
      </c>
      <c r="P1476" t="str">
        <f>VLOOKUP(D1476,상품정보!$A$2:$E$61,2,FALSE)</f>
        <v>핸드폰케이스</v>
      </c>
      <c r="Q1476" t="str">
        <f>VLOOKUP(D1476,상품정보!$A$2:$D$151,3,FALSE)</f>
        <v>액세서리</v>
      </c>
      <c r="R1476" t="str">
        <f>VLOOKUP(D1476,상품정보!$A$2:$D$151,4,FALSE)</f>
        <v>브랜드F</v>
      </c>
    </row>
    <row r="1477" spans="1:18" x14ac:dyDescent="0.45">
      <c r="A1477" t="s">
        <v>136</v>
      </c>
      <c r="B1477" t="s">
        <v>1876</v>
      </c>
      <c r="C1477" t="s">
        <v>2534</v>
      </c>
      <c r="D1477" t="s">
        <v>2590</v>
      </c>
      <c r="E1477">
        <v>5</v>
      </c>
      <c r="F1477">
        <v>68900</v>
      </c>
      <c r="G1477">
        <v>0</v>
      </c>
      <c r="H1477">
        <v>0</v>
      </c>
      <c r="I1477" t="s">
        <v>2652</v>
      </c>
      <c r="J1477" s="4">
        <f t="shared" si="69"/>
        <v>344500</v>
      </c>
      <c r="K1477" s="4" t="str">
        <f t="shared" si="70"/>
        <v>2024-05</v>
      </c>
      <c r="L1477" s="4" t="str">
        <f t="shared" si="71"/>
        <v>월</v>
      </c>
      <c r="M1477" s="2" t="str">
        <f>VLOOKUP($C1477, 고객정보!$A$2:$E$151, 2, FALSE)</f>
        <v>광주</v>
      </c>
      <c r="N1477" t="str">
        <f>VLOOKUP(C1477,고객정보!$A$2:$D$151,4,FALSE)</f>
        <v>L2</v>
      </c>
      <c r="O1477" t="str">
        <f>VLOOKUP($C1477, 고객정보!$A$2:$E$151, 5, FALSE)</f>
        <v>10대</v>
      </c>
      <c r="P1477" t="str">
        <f>VLOOKUP(D1477,상품정보!$A$2:$E$61,2,FALSE)</f>
        <v>반팔 티셔츠</v>
      </c>
      <c r="Q1477" t="str">
        <f>VLOOKUP(D1477,상품정보!$A$2:$D$151,3,FALSE)</f>
        <v>의류</v>
      </c>
      <c r="R1477" t="str">
        <f>VLOOKUP(D1477,상품정보!$A$2:$D$151,4,FALSE)</f>
        <v>브랜드A</v>
      </c>
    </row>
    <row r="1478" spans="1:18" x14ac:dyDescent="0.45">
      <c r="A1478" t="s">
        <v>310</v>
      </c>
      <c r="B1478" t="s">
        <v>1877</v>
      </c>
      <c r="C1478" t="s">
        <v>2510</v>
      </c>
      <c r="D1478" t="s">
        <v>2604</v>
      </c>
      <c r="E1478">
        <v>5</v>
      </c>
      <c r="F1478">
        <v>9700</v>
      </c>
      <c r="G1478">
        <v>500</v>
      </c>
      <c r="H1478">
        <v>32300</v>
      </c>
      <c r="I1478" t="s">
        <v>2612</v>
      </c>
      <c r="J1478" s="4">
        <f t="shared" si="69"/>
        <v>16700</v>
      </c>
      <c r="K1478" s="4" t="str">
        <f t="shared" si="70"/>
        <v>2024-05</v>
      </c>
      <c r="L1478" s="4" t="str">
        <f t="shared" si="71"/>
        <v>목</v>
      </c>
      <c r="M1478" s="2" t="str">
        <f>VLOOKUP($C1478, 고객정보!$A$2:$E$151, 2, FALSE)</f>
        <v>부산</v>
      </c>
      <c r="N1478" t="str">
        <f>VLOOKUP(C1478,고객정보!$A$2:$D$151,4,FALSE)</f>
        <v>L3</v>
      </c>
      <c r="O1478" t="str">
        <f>VLOOKUP($C1478, 고객정보!$A$2:$E$151, 5, FALSE)</f>
        <v>20대</v>
      </c>
      <c r="P1478" t="str">
        <f>VLOOKUP(D1478,상품정보!$A$2:$E$61,2,FALSE)</f>
        <v>반팔 티셔츠</v>
      </c>
      <c r="Q1478" t="str">
        <f>VLOOKUP(D1478,상품정보!$A$2:$D$151,3,FALSE)</f>
        <v>의류</v>
      </c>
      <c r="R1478" t="str">
        <f>VLOOKUP(D1478,상품정보!$A$2:$D$151,4,FALSE)</f>
        <v>브랜드E</v>
      </c>
    </row>
    <row r="1479" spans="1:18" x14ac:dyDescent="0.45">
      <c r="A1479" t="s">
        <v>54</v>
      </c>
      <c r="B1479" t="s">
        <v>1878</v>
      </c>
      <c r="C1479" t="s">
        <v>2533</v>
      </c>
      <c r="D1479" t="s">
        <v>2607</v>
      </c>
      <c r="E1479">
        <v>5</v>
      </c>
      <c r="F1479">
        <v>16000</v>
      </c>
      <c r="G1479">
        <v>0</v>
      </c>
      <c r="H1479">
        <v>12600</v>
      </c>
      <c r="I1479" t="s">
        <v>2614</v>
      </c>
      <c r="J1479" s="4">
        <f t="shared" si="69"/>
        <v>67400</v>
      </c>
      <c r="K1479" s="4" t="str">
        <f t="shared" si="70"/>
        <v>2024-03</v>
      </c>
      <c r="L1479" s="4" t="str">
        <f t="shared" si="71"/>
        <v>수</v>
      </c>
      <c r="M1479" s="2" t="str">
        <f>VLOOKUP($C1479, 고객정보!$A$2:$E$151, 2, FALSE)</f>
        <v>인천</v>
      </c>
      <c r="N1479" t="str">
        <f>VLOOKUP(C1479,고객정보!$A$2:$D$151,4,FALSE)</f>
        <v>L5</v>
      </c>
      <c r="O1479" t="str">
        <f>VLOOKUP($C1479, 고객정보!$A$2:$E$151, 5, FALSE)</f>
        <v>30대</v>
      </c>
      <c r="P1479" t="str">
        <f>VLOOKUP(D1479,상품정보!$A$2:$E$61,2,FALSE)</f>
        <v>목걸이</v>
      </c>
      <c r="Q1479" t="str">
        <f>VLOOKUP(D1479,상품정보!$A$2:$D$151,3,FALSE)</f>
        <v>액세서리</v>
      </c>
      <c r="R1479" t="str">
        <f>VLOOKUP(D1479,상품정보!$A$2:$D$151,4,FALSE)</f>
        <v>브랜드E</v>
      </c>
    </row>
    <row r="1480" spans="1:18" x14ac:dyDescent="0.45">
      <c r="A1480" t="s">
        <v>318</v>
      </c>
      <c r="B1480" t="s">
        <v>1879</v>
      </c>
      <c r="C1480" t="s">
        <v>2455</v>
      </c>
      <c r="D1480" t="s">
        <v>2578</v>
      </c>
      <c r="E1480">
        <v>4</v>
      </c>
      <c r="F1480">
        <v>78000</v>
      </c>
      <c r="G1480">
        <v>0</v>
      </c>
      <c r="H1480">
        <v>300</v>
      </c>
      <c r="I1480" t="s">
        <v>2613</v>
      </c>
      <c r="J1480" s="4">
        <f t="shared" si="69"/>
        <v>311700</v>
      </c>
      <c r="K1480" s="4" t="str">
        <f t="shared" si="70"/>
        <v>2024-09</v>
      </c>
      <c r="L1480" s="4" t="str">
        <f t="shared" si="71"/>
        <v>일</v>
      </c>
      <c r="M1480" s="2" t="str">
        <f>VLOOKUP($C1480, 고객정보!$A$2:$E$151, 2, FALSE)</f>
        <v>서울</v>
      </c>
      <c r="N1480" t="str">
        <f>VLOOKUP(C1480,고객정보!$A$2:$D$151,4,FALSE)</f>
        <v>L5</v>
      </c>
      <c r="O1480" t="str">
        <f>VLOOKUP($C1480, 고객정보!$A$2:$E$151, 5, FALSE)</f>
        <v>20대</v>
      </c>
      <c r="P1480" t="str">
        <f>VLOOKUP(D1480,상품정보!$A$2:$E$61,2,FALSE)</f>
        <v>귀걸이</v>
      </c>
      <c r="Q1480" t="str">
        <f>VLOOKUP(D1480,상품정보!$A$2:$D$151,3,FALSE)</f>
        <v>액세서리</v>
      </c>
      <c r="R1480" t="str">
        <f>VLOOKUP(D1480,상품정보!$A$2:$D$151,4,FALSE)</f>
        <v>브랜드B</v>
      </c>
    </row>
    <row r="1481" spans="1:18" x14ac:dyDescent="0.45">
      <c r="A1481" t="s">
        <v>306</v>
      </c>
      <c r="B1481" t="s">
        <v>1880</v>
      </c>
      <c r="C1481" t="s">
        <v>2502</v>
      </c>
      <c r="D1481" t="s">
        <v>2564</v>
      </c>
      <c r="E1481">
        <v>5</v>
      </c>
      <c r="F1481">
        <v>66600</v>
      </c>
      <c r="G1481">
        <v>0</v>
      </c>
      <c r="H1481">
        <v>0</v>
      </c>
      <c r="I1481" t="s">
        <v>2652</v>
      </c>
      <c r="J1481" s="4">
        <f t="shared" si="69"/>
        <v>333000</v>
      </c>
      <c r="K1481" s="4" t="str">
        <f t="shared" si="70"/>
        <v>2024-06</v>
      </c>
      <c r="L1481" s="4" t="str">
        <f t="shared" si="71"/>
        <v>수</v>
      </c>
      <c r="M1481" s="2" t="str">
        <f>VLOOKUP($C1481, 고객정보!$A$2:$E$151, 2, FALSE)</f>
        <v>부산</v>
      </c>
      <c r="N1481" t="str">
        <f>VLOOKUP(C1481,고객정보!$A$2:$D$151,4,FALSE)</f>
        <v>L4</v>
      </c>
      <c r="O1481" t="str">
        <f>VLOOKUP($C1481, 고객정보!$A$2:$E$151, 5, FALSE)</f>
        <v>20대</v>
      </c>
      <c r="P1481" t="str">
        <f>VLOOKUP(D1481,상품정보!$A$2:$E$61,2,FALSE)</f>
        <v>청바지</v>
      </c>
      <c r="Q1481" t="str">
        <f>VLOOKUP(D1481,상품정보!$A$2:$D$151,3,FALSE)</f>
        <v>의류</v>
      </c>
      <c r="R1481" t="str">
        <f>VLOOKUP(D1481,상품정보!$A$2:$D$151,4,FALSE)</f>
        <v>브랜드B</v>
      </c>
    </row>
    <row r="1482" spans="1:18" x14ac:dyDescent="0.45">
      <c r="A1482" t="s">
        <v>86</v>
      </c>
      <c r="B1482" t="s">
        <v>1881</v>
      </c>
      <c r="C1482" t="s">
        <v>2540</v>
      </c>
      <c r="D1482" t="s">
        <v>2576</v>
      </c>
      <c r="E1482">
        <v>2</v>
      </c>
      <c r="F1482">
        <v>8800</v>
      </c>
      <c r="G1482">
        <v>0</v>
      </c>
      <c r="H1482">
        <v>1700</v>
      </c>
      <c r="I1482" t="s">
        <v>2614</v>
      </c>
      <c r="J1482" s="4">
        <f t="shared" si="69"/>
        <v>15900</v>
      </c>
      <c r="K1482" s="4" t="str">
        <f t="shared" si="70"/>
        <v>2024-08</v>
      </c>
      <c r="L1482" s="4" t="str">
        <f t="shared" si="71"/>
        <v>목</v>
      </c>
      <c r="M1482" s="2" t="str">
        <f>VLOOKUP($C1482, 고객정보!$A$2:$E$151, 2, FALSE)</f>
        <v>서울</v>
      </c>
      <c r="N1482" t="str">
        <f>VLOOKUP(C1482,고객정보!$A$2:$D$151,4,FALSE)</f>
        <v>L4</v>
      </c>
      <c r="O1482" t="str">
        <f>VLOOKUP($C1482, 고객정보!$A$2:$E$151, 5, FALSE)</f>
        <v>50대 이상</v>
      </c>
      <c r="P1482" t="str">
        <f>VLOOKUP(D1482,상품정보!$A$2:$E$61,2,FALSE)</f>
        <v>핸드폰케이스</v>
      </c>
      <c r="Q1482" t="str">
        <f>VLOOKUP(D1482,상품정보!$A$2:$D$151,3,FALSE)</f>
        <v>액세서리</v>
      </c>
      <c r="R1482" t="str">
        <f>VLOOKUP(D1482,상품정보!$A$2:$D$151,4,FALSE)</f>
        <v>브랜드D</v>
      </c>
    </row>
    <row r="1483" spans="1:18" x14ac:dyDescent="0.45">
      <c r="A1483" t="s">
        <v>395</v>
      </c>
      <c r="B1483" t="s">
        <v>1882</v>
      </c>
      <c r="C1483" t="s">
        <v>2449</v>
      </c>
      <c r="D1483" t="s">
        <v>2606</v>
      </c>
      <c r="E1483">
        <v>5</v>
      </c>
      <c r="F1483">
        <v>15000</v>
      </c>
      <c r="G1483">
        <v>0</v>
      </c>
      <c r="H1483">
        <v>0</v>
      </c>
      <c r="I1483" t="s">
        <v>2652</v>
      </c>
      <c r="J1483" s="4">
        <f t="shared" si="69"/>
        <v>75000</v>
      </c>
      <c r="K1483" s="4" t="str">
        <f t="shared" si="70"/>
        <v>2024-08</v>
      </c>
      <c r="L1483" s="4" t="str">
        <f t="shared" si="71"/>
        <v>금</v>
      </c>
      <c r="M1483" s="2" t="str">
        <f>VLOOKUP($C1483, 고객정보!$A$2:$E$151, 2, FALSE)</f>
        <v>대구</v>
      </c>
      <c r="N1483" t="str">
        <f>VLOOKUP(C1483,고객정보!$A$2:$D$151,4,FALSE)</f>
        <v>L5</v>
      </c>
      <c r="O1483" t="str">
        <f>VLOOKUP($C1483, 고객정보!$A$2:$E$151, 5, FALSE)</f>
        <v>40대</v>
      </c>
      <c r="P1483" t="str">
        <f>VLOOKUP(D1483,상품정보!$A$2:$E$61,2,FALSE)</f>
        <v>귀걸이</v>
      </c>
      <c r="Q1483" t="str">
        <f>VLOOKUP(D1483,상품정보!$A$2:$D$151,3,FALSE)</f>
        <v>액세서리</v>
      </c>
      <c r="R1483" t="str">
        <f>VLOOKUP(D1483,상품정보!$A$2:$D$151,4,FALSE)</f>
        <v>브랜드E</v>
      </c>
    </row>
    <row r="1484" spans="1:18" x14ac:dyDescent="0.45">
      <c r="A1484" t="s">
        <v>387</v>
      </c>
      <c r="B1484" t="s">
        <v>1883</v>
      </c>
      <c r="C1484" t="s">
        <v>2426</v>
      </c>
      <c r="D1484" t="s">
        <v>2606</v>
      </c>
      <c r="E1484">
        <v>1</v>
      </c>
      <c r="F1484">
        <v>15000</v>
      </c>
      <c r="G1484">
        <v>500</v>
      </c>
      <c r="H1484">
        <v>0</v>
      </c>
      <c r="I1484" t="s">
        <v>2652</v>
      </c>
      <c r="J1484" s="4">
        <f t="shared" si="69"/>
        <v>15500</v>
      </c>
      <c r="K1484" s="4" t="str">
        <f t="shared" si="70"/>
        <v>2024-01</v>
      </c>
      <c r="L1484" s="4" t="str">
        <f t="shared" si="71"/>
        <v>일</v>
      </c>
      <c r="M1484" s="2" t="str">
        <f>VLOOKUP($C1484, 고객정보!$A$2:$E$151, 2, FALSE)</f>
        <v>대전</v>
      </c>
      <c r="N1484" t="str">
        <f>VLOOKUP(C1484,고객정보!$A$2:$D$151,4,FALSE)</f>
        <v>L5</v>
      </c>
      <c r="O1484" t="str">
        <f>VLOOKUP($C1484, 고객정보!$A$2:$E$151, 5, FALSE)</f>
        <v>30대</v>
      </c>
      <c r="P1484" t="str">
        <f>VLOOKUP(D1484,상품정보!$A$2:$E$61,2,FALSE)</f>
        <v>귀걸이</v>
      </c>
      <c r="Q1484" t="str">
        <f>VLOOKUP(D1484,상품정보!$A$2:$D$151,3,FALSE)</f>
        <v>액세서리</v>
      </c>
      <c r="R1484" t="str">
        <f>VLOOKUP(D1484,상품정보!$A$2:$D$151,4,FALSE)</f>
        <v>브랜드E</v>
      </c>
    </row>
    <row r="1485" spans="1:18" x14ac:dyDescent="0.45">
      <c r="A1485" t="s">
        <v>24</v>
      </c>
      <c r="B1485" t="s">
        <v>1884</v>
      </c>
      <c r="C1485" t="s">
        <v>2420</v>
      </c>
      <c r="D1485" t="s">
        <v>2559</v>
      </c>
      <c r="E1485">
        <v>5</v>
      </c>
      <c r="F1485">
        <v>5400</v>
      </c>
      <c r="G1485">
        <v>2000</v>
      </c>
      <c r="H1485">
        <v>0</v>
      </c>
      <c r="I1485" t="s">
        <v>2652</v>
      </c>
      <c r="J1485" s="4">
        <f t="shared" si="69"/>
        <v>29000</v>
      </c>
      <c r="K1485" s="4" t="str">
        <f t="shared" si="70"/>
        <v>2024-02</v>
      </c>
      <c r="L1485" s="4" t="str">
        <f t="shared" si="71"/>
        <v>수</v>
      </c>
      <c r="M1485" s="2" t="str">
        <f>VLOOKUP($C1485, 고객정보!$A$2:$E$151, 2, FALSE)</f>
        <v>대전</v>
      </c>
      <c r="N1485" t="str">
        <f>VLOOKUP(C1485,고객정보!$A$2:$D$151,4,FALSE)</f>
        <v>L3</v>
      </c>
      <c r="O1485" t="str">
        <f>VLOOKUP($C1485, 고객정보!$A$2:$E$151, 5, FALSE)</f>
        <v>30대</v>
      </c>
      <c r="P1485" t="str">
        <f>VLOOKUP(D1485,상품정보!$A$2:$E$61,2,FALSE)</f>
        <v>반지</v>
      </c>
      <c r="Q1485" t="str">
        <f>VLOOKUP(D1485,상품정보!$A$2:$D$151,3,FALSE)</f>
        <v>액세서리</v>
      </c>
      <c r="R1485" t="str">
        <f>VLOOKUP(D1485,상품정보!$A$2:$D$151,4,FALSE)</f>
        <v>브랜드D</v>
      </c>
    </row>
    <row r="1486" spans="1:18" x14ac:dyDescent="0.45">
      <c r="A1486" t="s">
        <v>365</v>
      </c>
      <c r="B1486" t="s">
        <v>1885</v>
      </c>
      <c r="C1486" t="s">
        <v>2424</v>
      </c>
      <c r="D1486" t="s">
        <v>2599</v>
      </c>
      <c r="E1486">
        <v>5</v>
      </c>
      <c r="F1486">
        <v>73800</v>
      </c>
      <c r="G1486">
        <v>0</v>
      </c>
      <c r="H1486">
        <v>0</v>
      </c>
      <c r="I1486" t="s">
        <v>2652</v>
      </c>
      <c r="J1486" s="4">
        <f t="shared" si="69"/>
        <v>369000</v>
      </c>
      <c r="K1486" s="4" t="str">
        <f t="shared" si="70"/>
        <v>2024-05</v>
      </c>
      <c r="L1486" s="4" t="str">
        <f t="shared" si="71"/>
        <v>일</v>
      </c>
      <c r="M1486" s="2" t="str">
        <f>VLOOKUP($C1486, 고객정보!$A$2:$E$151, 2, FALSE)</f>
        <v>서울</v>
      </c>
      <c r="N1486" t="str">
        <f>VLOOKUP(C1486,고객정보!$A$2:$D$151,4,FALSE)</f>
        <v>L1</v>
      </c>
      <c r="O1486" t="str">
        <f>VLOOKUP($C1486, 고객정보!$A$2:$E$151, 5, FALSE)</f>
        <v>30대</v>
      </c>
      <c r="P1486" t="str">
        <f>VLOOKUP(D1486,상품정보!$A$2:$E$61,2,FALSE)</f>
        <v>핸드폰케이스</v>
      </c>
      <c r="Q1486" t="str">
        <f>VLOOKUP(D1486,상품정보!$A$2:$D$151,3,FALSE)</f>
        <v>액세서리</v>
      </c>
      <c r="R1486" t="str">
        <f>VLOOKUP(D1486,상품정보!$A$2:$D$151,4,FALSE)</f>
        <v>브랜드F</v>
      </c>
    </row>
    <row r="1487" spans="1:18" x14ac:dyDescent="0.45">
      <c r="A1487" t="s">
        <v>330</v>
      </c>
      <c r="B1487" t="s">
        <v>1886</v>
      </c>
      <c r="C1487" t="s">
        <v>2543</v>
      </c>
      <c r="D1487" t="s">
        <v>2562</v>
      </c>
      <c r="E1487">
        <v>3</v>
      </c>
      <c r="F1487">
        <v>15600</v>
      </c>
      <c r="G1487">
        <v>1500</v>
      </c>
      <c r="H1487">
        <v>0</v>
      </c>
      <c r="I1487" t="s">
        <v>2652</v>
      </c>
      <c r="J1487" s="4">
        <f t="shared" si="69"/>
        <v>48300</v>
      </c>
      <c r="K1487" s="4" t="str">
        <f t="shared" si="70"/>
        <v>2024-05</v>
      </c>
      <c r="L1487" s="4" t="str">
        <f t="shared" si="71"/>
        <v>수</v>
      </c>
      <c r="M1487" s="2" t="str">
        <f>VLOOKUP($C1487, 고객정보!$A$2:$E$151, 2, FALSE)</f>
        <v>대구</v>
      </c>
      <c r="N1487" t="str">
        <f>VLOOKUP(C1487,고객정보!$A$2:$D$151,4,FALSE)</f>
        <v>L2</v>
      </c>
      <c r="O1487" t="str">
        <f>VLOOKUP($C1487, 고객정보!$A$2:$E$151, 5, FALSE)</f>
        <v>10대</v>
      </c>
      <c r="P1487" t="str">
        <f>VLOOKUP(D1487,상품정보!$A$2:$E$61,2,FALSE)</f>
        <v>반팔 티셔츠</v>
      </c>
      <c r="Q1487" t="str">
        <f>VLOOKUP(D1487,상품정보!$A$2:$D$151,3,FALSE)</f>
        <v>의류</v>
      </c>
      <c r="R1487" t="str">
        <f>VLOOKUP(D1487,상품정보!$A$2:$D$151,4,FALSE)</f>
        <v>브랜드E</v>
      </c>
    </row>
    <row r="1488" spans="1:18" x14ac:dyDescent="0.45">
      <c r="A1488" t="s">
        <v>316</v>
      </c>
      <c r="B1488" t="s">
        <v>1887</v>
      </c>
      <c r="C1488" t="s">
        <v>2425</v>
      </c>
      <c r="D1488" t="s">
        <v>2608</v>
      </c>
      <c r="E1488">
        <v>5</v>
      </c>
      <c r="F1488">
        <v>10600</v>
      </c>
      <c r="G1488">
        <v>500</v>
      </c>
      <c r="H1488">
        <v>0</v>
      </c>
      <c r="I1488" t="s">
        <v>2652</v>
      </c>
      <c r="J1488" s="4">
        <f t="shared" si="69"/>
        <v>53500</v>
      </c>
      <c r="K1488" s="4" t="str">
        <f t="shared" si="70"/>
        <v>2024-06</v>
      </c>
      <c r="L1488" s="4" t="str">
        <f t="shared" si="71"/>
        <v>월</v>
      </c>
      <c r="M1488" s="2" t="str">
        <f>VLOOKUP($C1488, 고객정보!$A$2:$E$151, 2, FALSE)</f>
        <v>서울</v>
      </c>
      <c r="N1488" t="str">
        <f>VLOOKUP(C1488,고객정보!$A$2:$D$151,4,FALSE)</f>
        <v>L4</v>
      </c>
      <c r="O1488" t="str">
        <f>VLOOKUP($C1488, 고객정보!$A$2:$E$151, 5, FALSE)</f>
        <v>30대</v>
      </c>
      <c r="P1488" t="str">
        <f>VLOOKUP(D1488,상품정보!$A$2:$E$61,2,FALSE)</f>
        <v>셔츠</v>
      </c>
      <c r="Q1488" t="str">
        <f>VLOOKUP(D1488,상품정보!$A$2:$D$151,3,FALSE)</f>
        <v>의류</v>
      </c>
      <c r="R1488" t="str">
        <f>VLOOKUP(D1488,상품정보!$A$2:$D$151,4,FALSE)</f>
        <v>브랜드D</v>
      </c>
    </row>
    <row r="1489" spans="1:18" x14ac:dyDescent="0.45">
      <c r="A1489" t="s">
        <v>128</v>
      </c>
      <c r="B1489" t="s">
        <v>1888</v>
      </c>
      <c r="C1489" t="s">
        <v>2419</v>
      </c>
      <c r="D1489" t="s">
        <v>2604</v>
      </c>
      <c r="E1489">
        <v>4</v>
      </c>
      <c r="F1489">
        <v>9700</v>
      </c>
      <c r="G1489">
        <v>500</v>
      </c>
      <c r="H1489">
        <v>0</v>
      </c>
      <c r="I1489" t="s">
        <v>2652</v>
      </c>
      <c r="J1489" s="4">
        <f t="shared" si="69"/>
        <v>39300</v>
      </c>
      <c r="K1489" s="4" t="str">
        <f t="shared" si="70"/>
        <v>2024-08</v>
      </c>
      <c r="L1489" s="4" t="str">
        <f t="shared" si="71"/>
        <v>월</v>
      </c>
      <c r="M1489" s="2" t="str">
        <f>VLOOKUP($C1489, 고객정보!$A$2:$E$151, 2, FALSE)</f>
        <v>대구</v>
      </c>
      <c r="N1489" t="str">
        <f>VLOOKUP(C1489,고객정보!$A$2:$D$151,4,FALSE)</f>
        <v>L2</v>
      </c>
      <c r="O1489" t="str">
        <f>VLOOKUP($C1489, 고객정보!$A$2:$E$151, 5, FALSE)</f>
        <v>20대</v>
      </c>
      <c r="P1489" t="str">
        <f>VLOOKUP(D1489,상품정보!$A$2:$E$61,2,FALSE)</f>
        <v>반팔 티셔츠</v>
      </c>
      <c r="Q1489" t="str">
        <f>VLOOKUP(D1489,상품정보!$A$2:$D$151,3,FALSE)</f>
        <v>의류</v>
      </c>
      <c r="R1489" t="str">
        <f>VLOOKUP(D1489,상품정보!$A$2:$D$151,4,FALSE)</f>
        <v>브랜드E</v>
      </c>
    </row>
    <row r="1490" spans="1:18" x14ac:dyDescent="0.45">
      <c r="A1490" t="s">
        <v>99</v>
      </c>
      <c r="B1490" t="s">
        <v>1889</v>
      </c>
      <c r="C1490" t="s">
        <v>2420</v>
      </c>
      <c r="D1490" t="s">
        <v>2592</v>
      </c>
      <c r="E1490">
        <v>3</v>
      </c>
      <c r="F1490">
        <v>72700</v>
      </c>
      <c r="G1490">
        <v>0</v>
      </c>
      <c r="H1490">
        <v>0</v>
      </c>
      <c r="I1490" t="s">
        <v>2652</v>
      </c>
      <c r="J1490" s="4">
        <f t="shared" si="69"/>
        <v>218100</v>
      </c>
      <c r="K1490" s="4" t="str">
        <f t="shared" si="70"/>
        <v>2024-07</v>
      </c>
      <c r="L1490" s="4" t="str">
        <f t="shared" si="71"/>
        <v>금</v>
      </c>
      <c r="M1490" s="2" t="str">
        <f>VLOOKUP($C1490, 고객정보!$A$2:$E$151, 2, FALSE)</f>
        <v>대전</v>
      </c>
      <c r="N1490" t="str">
        <f>VLOOKUP(C1490,고객정보!$A$2:$D$151,4,FALSE)</f>
        <v>L3</v>
      </c>
      <c r="O1490" t="str">
        <f>VLOOKUP($C1490, 고객정보!$A$2:$E$151, 5, FALSE)</f>
        <v>30대</v>
      </c>
      <c r="P1490" t="str">
        <f>VLOOKUP(D1490,상품정보!$A$2:$E$61,2,FALSE)</f>
        <v>귀걸이</v>
      </c>
      <c r="Q1490" t="str">
        <f>VLOOKUP(D1490,상품정보!$A$2:$D$151,3,FALSE)</f>
        <v>액세서리</v>
      </c>
      <c r="R1490" t="str">
        <f>VLOOKUP(D1490,상품정보!$A$2:$D$151,4,FALSE)</f>
        <v>브랜드A</v>
      </c>
    </row>
    <row r="1491" spans="1:18" x14ac:dyDescent="0.45">
      <c r="A1491" t="s">
        <v>327</v>
      </c>
      <c r="B1491" t="s">
        <v>1890</v>
      </c>
      <c r="C1491" t="s">
        <v>2461</v>
      </c>
      <c r="D1491" t="s">
        <v>2565</v>
      </c>
      <c r="E1491">
        <v>4</v>
      </c>
      <c r="F1491">
        <v>50000</v>
      </c>
      <c r="G1491">
        <v>0</v>
      </c>
      <c r="H1491">
        <v>0</v>
      </c>
      <c r="I1491" t="s">
        <v>2652</v>
      </c>
      <c r="J1491" s="4">
        <f t="shared" si="69"/>
        <v>200000</v>
      </c>
      <c r="K1491" s="4" t="str">
        <f t="shared" si="70"/>
        <v>2024-04</v>
      </c>
      <c r="L1491" s="4" t="str">
        <f t="shared" si="71"/>
        <v>화</v>
      </c>
      <c r="M1491" s="2" t="str">
        <f>VLOOKUP($C1491, 고객정보!$A$2:$E$151, 2, FALSE)</f>
        <v>부산</v>
      </c>
      <c r="N1491" t="str">
        <f>VLOOKUP(C1491,고객정보!$A$2:$D$151,4,FALSE)</f>
        <v>L2</v>
      </c>
      <c r="O1491" t="str">
        <f>VLOOKUP($C1491, 고객정보!$A$2:$E$151, 5, FALSE)</f>
        <v>40대</v>
      </c>
      <c r="P1491" t="str">
        <f>VLOOKUP(D1491,상품정보!$A$2:$E$61,2,FALSE)</f>
        <v>핸드폰케이스</v>
      </c>
      <c r="Q1491" t="str">
        <f>VLOOKUP(D1491,상품정보!$A$2:$D$151,3,FALSE)</f>
        <v>액세서리</v>
      </c>
      <c r="R1491" t="str">
        <f>VLOOKUP(D1491,상품정보!$A$2:$D$151,4,FALSE)</f>
        <v>브랜드B</v>
      </c>
    </row>
    <row r="1492" spans="1:18" x14ac:dyDescent="0.45">
      <c r="A1492" t="s">
        <v>382</v>
      </c>
      <c r="B1492" t="s">
        <v>1891</v>
      </c>
      <c r="C1492" t="s">
        <v>2453</v>
      </c>
      <c r="D1492" t="s">
        <v>2552</v>
      </c>
      <c r="E1492">
        <v>5</v>
      </c>
      <c r="F1492">
        <v>13300</v>
      </c>
      <c r="G1492">
        <v>1000</v>
      </c>
      <c r="H1492">
        <v>0</v>
      </c>
      <c r="I1492" t="s">
        <v>2652</v>
      </c>
      <c r="J1492" s="4">
        <f t="shared" si="69"/>
        <v>67500</v>
      </c>
      <c r="K1492" s="4" t="str">
        <f t="shared" si="70"/>
        <v>2024-12</v>
      </c>
      <c r="L1492" s="4" t="str">
        <f t="shared" si="71"/>
        <v>화</v>
      </c>
      <c r="M1492" s="2" t="str">
        <f>VLOOKUP($C1492, 고객정보!$A$2:$E$151, 2, FALSE)</f>
        <v>대구</v>
      </c>
      <c r="N1492" t="str">
        <f>VLOOKUP(C1492,고객정보!$A$2:$D$151,4,FALSE)</f>
        <v>L5</v>
      </c>
      <c r="O1492" t="str">
        <f>VLOOKUP($C1492, 고객정보!$A$2:$E$151, 5, FALSE)</f>
        <v>50대 이상</v>
      </c>
      <c r="P1492" t="str">
        <f>VLOOKUP(D1492,상품정보!$A$2:$E$61,2,FALSE)</f>
        <v>셔츠</v>
      </c>
      <c r="Q1492" t="str">
        <f>VLOOKUP(D1492,상품정보!$A$2:$D$151,3,FALSE)</f>
        <v>의류</v>
      </c>
      <c r="R1492" t="str">
        <f>VLOOKUP(D1492,상품정보!$A$2:$D$151,4,FALSE)</f>
        <v>브랜드E</v>
      </c>
    </row>
    <row r="1493" spans="1:18" x14ac:dyDescent="0.45">
      <c r="A1493" t="s">
        <v>45</v>
      </c>
      <c r="B1493" t="s">
        <v>1892</v>
      </c>
      <c r="C1493" t="s">
        <v>2451</v>
      </c>
      <c r="D1493" t="s">
        <v>2602</v>
      </c>
      <c r="E1493">
        <v>1</v>
      </c>
      <c r="F1493">
        <v>59900</v>
      </c>
      <c r="G1493">
        <v>0</v>
      </c>
      <c r="H1493">
        <v>0</v>
      </c>
      <c r="I1493" t="s">
        <v>2652</v>
      </c>
      <c r="J1493" s="4">
        <f t="shared" si="69"/>
        <v>59900</v>
      </c>
      <c r="K1493" s="4" t="str">
        <f t="shared" si="70"/>
        <v>2025-01</v>
      </c>
      <c r="L1493" s="4" t="str">
        <f t="shared" si="71"/>
        <v>토</v>
      </c>
      <c r="M1493" s="2" t="str">
        <f>VLOOKUP($C1493, 고객정보!$A$2:$E$151, 2, FALSE)</f>
        <v>서울</v>
      </c>
      <c r="N1493" t="str">
        <f>VLOOKUP(C1493,고객정보!$A$2:$D$151,4,FALSE)</f>
        <v>L1</v>
      </c>
      <c r="O1493" t="str">
        <f>VLOOKUP($C1493, 고객정보!$A$2:$E$151, 5, FALSE)</f>
        <v>30대</v>
      </c>
      <c r="P1493" t="str">
        <f>VLOOKUP(D1493,상품정보!$A$2:$E$61,2,FALSE)</f>
        <v>셔츠</v>
      </c>
      <c r="Q1493" t="str">
        <f>VLOOKUP(D1493,상품정보!$A$2:$D$151,3,FALSE)</f>
        <v>의류</v>
      </c>
      <c r="R1493" t="str">
        <f>VLOOKUP(D1493,상품정보!$A$2:$D$151,4,FALSE)</f>
        <v>브랜드A</v>
      </c>
    </row>
    <row r="1494" spans="1:18" x14ac:dyDescent="0.45">
      <c r="A1494" t="s">
        <v>332</v>
      </c>
      <c r="B1494" t="s">
        <v>1893</v>
      </c>
      <c r="C1494" t="s">
        <v>2423</v>
      </c>
      <c r="D1494" t="s">
        <v>2570</v>
      </c>
      <c r="E1494">
        <v>2</v>
      </c>
      <c r="F1494">
        <v>73900</v>
      </c>
      <c r="G1494">
        <v>2000</v>
      </c>
      <c r="H1494">
        <v>0</v>
      </c>
      <c r="I1494" t="s">
        <v>2652</v>
      </c>
      <c r="J1494" s="4">
        <f t="shared" si="69"/>
        <v>149800</v>
      </c>
      <c r="K1494" s="4" t="str">
        <f t="shared" si="70"/>
        <v>2024-10</v>
      </c>
      <c r="L1494" s="4" t="str">
        <f t="shared" si="71"/>
        <v>금</v>
      </c>
      <c r="M1494" s="2" t="str">
        <f>VLOOKUP($C1494, 고객정보!$A$2:$E$151, 2, FALSE)</f>
        <v>수원</v>
      </c>
      <c r="N1494" t="str">
        <f>VLOOKUP(C1494,고객정보!$A$2:$D$151,4,FALSE)</f>
        <v>L5</v>
      </c>
      <c r="O1494" t="str">
        <f>VLOOKUP($C1494, 고객정보!$A$2:$E$151, 5, FALSE)</f>
        <v>30대</v>
      </c>
      <c r="P1494" t="str">
        <f>VLOOKUP(D1494,상품정보!$A$2:$E$61,2,FALSE)</f>
        <v>반지</v>
      </c>
      <c r="Q1494" t="str">
        <f>VLOOKUP(D1494,상품정보!$A$2:$D$151,3,FALSE)</f>
        <v>액세서리</v>
      </c>
      <c r="R1494" t="str">
        <f>VLOOKUP(D1494,상품정보!$A$2:$D$151,4,FALSE)</f>
        <v>브랜드B</v>
      </c>
    </row>
    <row r="1495" spans="1:18" x14ac:dyDescent="0.45">
      <c r="A1495" t="s">
        <v>339</v>
      </c>
      <c r="B1495" t="s">
        <v>1894</v>
      </c>
      <c r="C1495" t="s">
        <v>2491</v>
      </c>
      <c r="D1495" t="s">
        <v>2610</v>
      </c>
      <c r="E1495">
        <v>4</v>
      </c>
      <c r="F1495">
        <v>18800</v>
      </c>
      <c r="G1495">
        <v>1000</v>
      </c>
      <c r="H1495">
        <v>0</v>
      </c>
      <c r="I1495" t="s">
        <v>2652</v>
      </c>
      <c r="J1495" s="4">
        <f t="shared" si="69"/>
        <v>76200</v>
      </c>
      <c r="K1495" s="4" t="str">
        <f t="shared" si="70"/>
        <v>2024-04</v>
      </c>
      <c r="L1495" s="4" t="str">
        <f t="shared" si="71"/>
        <v>수</v>
      </c>
      <c r="M1495" s="2" t="str">
        <f>VLOOKUP($C1495, 고객정보!$A$2:$E$151, 2, FALSE)</f>
        <v>서울</v>
      </c>
      <c r="N1495" t="str">
        <f>VLOOKUP(C1495,고객정보!$A$2:$D$151,4,FALSE)</f>
        <v>L5</v>
      </c>
      <c r="O1495" t="str">
        <f>VLOOKUP($C1495, 고객정보!$A$2:$E$151, 5, FALSE)</f>
        <v>30대</v>
      </c>
      <c r="P1495" t="str">
        <f>VLOOKUP(D1495,상품정보!$A$2:$E$61,2,FALSE)</f>
        <v>자켓</v>
      </c>
      <c r="Q1495" t="str">
        <f>VLOOKUP(D1495,상품정보!$A$2:$D$151,3,FALSE)</f>
        <v>의류</v>
      </c>
      <c r="R1495" t="str">
        <f>VLOOKUP(D1495,상품정보!$A$2:$D$151,4,FALSE)</f>
        <v>브랜드E</v>
      </c>
    </row>
    <row r="1496" spans="1:18" x14ac:dyDescent="0.45">
      <c r="A1496" t="s">
        <v>153</v>
      </c>
      <c r="B1496" t="s">
        <v>1895</v>
      </c>
      <c r="C1496" t="s">
        <v>2535</v>
      </c>
      <c r="D1496" t="s">
        <v>2570</v>
      </c>
      <c r="E1496">
        <v>2</v>
      </c>
      <c r="F1496">
        <v>73900</v>
      </c>
      <c r="G1496">
        <v>0</v>
      </c>
      <c r="H1496">
        <v>0</v>
      </c>
      <c r="I1496" t="s">
        <v>2652</v>
      </c>
      <c r="J1496" s="4">
        <f t="shared" si="69"/>
        <v>147800</v>
      </c>
      <c r="K1496" s="4" t="str">
        <f t="shared" si="70"/>
        <v>2024-08</v>
      </c>
      <c r="L1496" s="4" t="str">
        <f t="shared" si="71"/>
        <v>금</v>
      </c>
      <c r="M1496" s="2" t="str">
        <f>VLOOKUP($C1496, 고객정보!$A$2:$E$151, 2, FALSE)</f>
        <v>서울</v>
      </c>
      <c r="N1496" t="str">
        <f>VLOOKUP(C1496,고객정보!$A$2:$D$151,4,FALSE)</f>
        <v>L2</v>
      </c>
      <c r="O1496" t="str">
        <f>VLOOKUP($C1496, 고객정보!$A$2:$E$151, 5, FALSE)</f>
        <v>10대</v>
      </c>
      <c r="P1496" t="str">
        <f>VLOOKUP(D1496,상품정보!$A$2:$E$61,2,FALSE)</f>
        <v>반지</v>
      </c>
      <c r="Q1496" t="str">
        <f>VLOOKUP(D1496,상품정보!$A$2:$D$151,3,FALSE)</f>
        <v>액세서리</v>
      </c>
      <c r="R1496" t="str">
        <f>VLOOKUP(D1496,상품정보!$A$2:$D$151,4,FALSE)</f>
        <v>브랜드B</v>
      </c>
    </row>
    <row r="1497" spans="1:18" x14ac:dyDescent="0.45">
      <c r="A1497" t="s">
        <v>301</v>
      </c>
      <c r="B1497" t="s">
        <v>1896</v>
      </c>
      <c r="C1497" t="s">
        <v>2435</v>
      </c>
      <c r="D1497" t="s">
        <v>2604</v>
      </c>
      <c r="E1497">
        <v>4</v>
      </c>
      <c r="F1497">
        <v>9700</v>
      </c>
      <c r="G1497">
        <v>1000</v>
      </c>
      <c r="H1497">
        <v>0</v>
      </c>
      <c r="I1497" t="s">
        <v>2652</v>
      </c>
      <c r="J1497" s="4">
        <f t="shared" si="69"/>
        <v>39800</v>
      </c>
      <c r="K1497" s="4" t="str">
        <f t="shared" si="70"/>
        <v>2024-09</v>
      </c>
      <c r="L1497" s="4" t="str">
        <f t="shared" si="71"/>
        <v>목</v>
      </c>
      <c r="M1497" s="2" t="str">
        <f>VLOOKUP($C1497, 고객정보!$A$2:$E$151, 2, FALSE)</f>
        <v>인천</v>
      </c>
      <c r="N1497" t="str">
        <f>VLOOKUP(C1497,고객정보!$A$2:$D$151,4,FALSE)</f>
        <v>L5</v>
      </c>
      <c r="O1497" t="str">
        <f>VLOOKUP($C1497, 고객정보!$A$2:$E$151, 5, FALSE)</f>
        <v>30대</v>
      </c>
      <c r="P1497" t="str">
        <f>VLOOKUP(D1497,상품정보!$A$2:$E$61,2,FALSE)</f>
        <v>반팔 티셔츠</v>
      </c>
      <c r="Q1497" t="str">
        <f>VLOOKUP(D1497,상품정보!$A$2:$D$151,3,FALSE)</f>
        <v>의류</v>
      </c>
      <c r="R1497" t="str">
        <f>VLOOKUP(D1497,상품정보!$A$2:$D$151,4,FALSE)</f>
        <v>브랜드E</v>
      </c>
    </row>
    <row r="1498" spans="1:18" x14ac:dyDescent="0.45">
      <c r="A1498" t="s">
        <v>28</v>
      </c>
      <c r="B1498" t="s">
        <v>1897</v>
      </c>
      <c r="C1498" t="s">
        <v>2525</v>
      </c>
      <c r="D1498" t="s">
        <v>2590</v>
      </c>
      <c r="E1498">
        <v>5</v>
      </c>
      <c r="F1498">
        <v>68900</v>
      </c>
      <c r="G1498">
        <v>0</v>
      </c>
      <c r="H1498">
        <v>0</v>
      </c>
      <c r="I1498" t="s">
        <v>2652</v>
      </c>
      <c r="J1498" s="4">
        <f t="shared" si="69"/>
        <v>344500</v>
      </c>
      <c r="K1498" s="4" t="str">
        <f t="shared" si="70"/>
        <v>2024-09</v>
      </c>
      <c r="L1498" s="4" t="str">
        <f t="shared" si="71"/>
        <v>월</v>
      </c>
      <c r="M1498" s="2" t="str">
        <f>VLOOKUP($C1498, 고객정보!$A$2:$E$151, 2, FALSE)</f>
        <v>수원</v>
      </c>
      <c r="N1498" t="str">
        <f>VLOOKUP(C1498,고객정보!$A$2:$D$151,4,FALSE)</f>
        <v>L4</v>
      </c>
      <c r="O1498" t="str">
        <f>VLOOKUP($C1498, 고객정보!$A$2:$E$151, 5, FALSE)</f>
        <v>20대</v>
      </c>
      <c r="P1498" t="str">
        <f>VLOOKUP(D1498,상품정보!$A$2:$E$61,2,FALSE)</f>
        <v>반팔 티셔츠</v>
      </c>
      <c r="Q1498" t="str">
        <f>VLOOKUP(D1498,상품정보!$A$2:$D$151,3,FALSE)</f>
        <v>의류</v>
      </c>
      <c r="R1498" t="str">
        <f>VLOOKUP(D1498,상품정보!$A$2:$D$151,4,FALSE)</f>
        <v>브랜드A</v>
      </c>
    </row>
    <row r="1499" spans="1:18" x14ac:dyDescent="0.45">
      <c r="A1499" t="s">
        <v>331</v>
      </c>
      <c r="B1499" t="s">
        <v>1898</v>
      </c>
      <c r="C1499" t="s">
        <v>2426</v>
      </c>
      <c r="D1499" t="s">
        <v>2577</v>
      </c>
      <c r="E1499">
        <v>4</v>
      </c>
      <c r="F1499">
        <v>10200</v>
      </c>
      <c r="G1499">
        <v>0</v>
      </c>
      <c r="H1499">
        <v>0</v>
      </c>
      <c r="I1499" t="s">
        <v>2652</v>
      </c>
      <c r="J1499" s="4">
        <f t="shared" si="69"/>
        <v>40800</v>
      </c>
      <c r="K1499" s="4" t="str">
        <f t="shared" si="70"/>
        <v>2024-06</v>
      </c>
      <c r="L1499" s="4" t="str">
        <f t="shared" si="71"/>
        <v>일</v>
      </c>
      <c r="M1499" s="2" t="str">
        <f>VLOOKUP($C1499, 고객정보!$A$2:$E$151, 2, FALSE)</f>
        <v>대전</v>
      </c>
      <c r="N1499" t="str">
        <f>VLOOKUP(C1499,고객정보!$A$2:$D$151,4,FALSE)</f>
        <v>L5</v>
      </c>
      <c r="O1499" t="str">
        <f>VLOOKUP($C1499, 고객정보!$A$2:$E$151, 5, FALSE)</f>
        <v>30대</v>
      </c>
      <c r="P1499" t="str">
        <f>VLOOKUP(D1499,상품정보!$A$2:$E$61,2,FALSE)</f>
        <v>셔츠</v>
      </c>
      <c r="Q1499" t="str">
        <f>VLOOKUP(D1499,상품정보!$A$2:$D$151,3,FALSE)</f>
        <v>의류</v>
      </c>
      <c r="R1499" t="str">
        <f>VLOOKUP(D1499,상품정보!$A$2:$D$151,4,FALSE)</f>
        <v>브랜드C</v>
      </c>
    </row>
    <row r="1500" spans="1:18" x14ac:dyDescent="0.45">
      <c r="A1500" t="s">
        <v>286</v>
      </c>
      <c r="B1500" t="s">
        <v>1899</v>
      </c>
      <c r="C1500" t="s">
        <v>2531</v>
      </c>
      <c r="D1500" t="s">
        <v>2562</v>
      </c>
      <c r="E1500">
        <v>5</v>
      </c>
      <c r="F1500">
        <v>15600</v>
      </c>
      <c r="G1500">
        <v>500</v>
      </c>
      <c r="H1500">
        <v>0</v>
      </c>
      <c r="I1500" t="s">
        <v>2652</v>
      </c>
      <c r="J1500" s="4">
        <f t="shared" si="69"/>
        <v>78500</v>
      </c>
      <c r="K1500" s="4" t="str">
        <f t="shared" si="70"/>
        <v>2024-01</v>
      </c>
      <c r="L1500" s="4" t="str">
        <f t="shared" si="71"/>
        <v>목</v>
      </c>
      <c r="M1500" s="2" t="str">
        <f>VLOOKUP($C1500, 고객정보!$A$2:$E$151, 2, FALSE)</f>
        <v>서울</v>
      </c>
      <c r="N1500" t="str">
        <f>VLOOKUP(C1500,고객정보!$A$2:$D$151,4,FALSE)</f>
        <v>L4</v>
      </c>
      <c r="O1500" t="str">
        <f>VLOOKUP($C1500, 고객정보!$A$2:$E$151, 5, FALSE)</f>
        <v>40대</v>
      </c>
      <c r="P1500" t="str">
        <f>VLOOKUP(D1500,상품정보!$A$2:$E$61,2,FALSE)</f>
        <v>반팔 티셔츠</v>
      </c>
      <c r="Q1500" t="str">
        <f>VLOOKUP(D1500,상품정보!$A$2:$D$151,3,FALSE)</f>
        <v>의류</v>
      </c>
      <c r="R1500" t="str">
        <f>VLOOKUP(D1500,상품정보!$A$2:$D$151,4,FALSE)</f>
        <v>브랜드E</v>
      </c>
    </row>
    <row r="1501" spans="1:18" x14ac:dyDescent="0.45">
      <c r="A1501" t="s">
        <v>353</v>
      </c>
      <c r="B1501" t="s">
        <v>1900</v>
      </c>
      <c r="C1501" t="s">
        <v>2533</v>
      </c>
      <c r="D1501" t="s">
        <v>2591</v>
      </c>
      <c r="E1501">
        <v>2</v>
      </c>
      <c r="F1501">
        <v>69200</v>
      </c>
      <c r="G1501">
        <v>0</v>
      </c>
      <c r="H1501">
        <v>8300</v>
      </c>
      <c r="I1501" t="s">
        <v>2611</v>
      </c>
      <c r="J1501" s="4">
        <f t="shared" si="69"/>
        <v>130100</v>
      </c>
      <c r="K1501" s="4" t="str">
        <f t="shared" si="70"/>
        <v>2024-01</v>
      </c>
      <c r="L1501" s="4" t="str">
        <f t="shared" si="71"/>
        <v>수</v>
      </c>
      <c r="M1501" s="2" t="str">
        <f>VLOOKUP($C1501, 고객정보!$A$2:$E$151, 2, FALSE)</f>
        <v>인천</v>
      </c>
      <c r="N1501" t="str">
        <f>VLOOKUP(C1501,고객정보!$A$2:$D$151,4,FALSE)</f>
        <v>L5</v>
      </c>
      <c r="O1501" t="str">
        <f>VLOOKUP($C1501, 고객정보!$A$2:$E$151, 5, FALSE)</f>
        <v>30대</v>
      </c>
      <c r="P1501" t="str">
        <f>VLOOKUP(D1501,상품정보!$A$2:$E$61,2,FALSE)</f>
        <v>셔츠</v>
      </c>
      <c r="Q1501" t="str">
        <f>VLOOKUP(D1501,상품정보!$A$2:$D$151,3,FALSE)</f>
        <v>의류</v>
      </c>
      <c r="R1501" t="str">
        <f>VLOOKUP(D1501,상품정보!$A$2:$D$151,4,FALSE)</f>
        <v>브랜드F</v>
      </c>
    </row>
    <row r="1502" spans="1:18" x14ac:dyDescent="0.45">
      <c r="A1502" t="s">
        <v>124</v>
      </c>
      <c r="B1502" t="s">
        <v>1901</v>
      </c>
      <c r="C1502" t="s">
        <v>2410</v>
      </c>
      <c r="D1502" t="s">
        <v>2602</v>
      </c>
      <c r="E1502">
        <v>3</v>
      </c>
      <c r="F1502">
        <v>59900</v>
      </c>
      <c r="G1502">
        <v>1000</v>
      </c>
      <c r="H1502">
        <v>0</v>
      </c>
      <c r="I1502" t="s">
        <v>2652</v>
      </c>
      <c r="J1502" s="4">
        <f t="shared" si="69"/>
        <v>180700</v>
      </c>
      <c r="K1502" s="4" t="str">
        <f t="shared" si="70"/>
        <v>2024-08</v>
      </c>
      <c r="L1502" s="4" t="str">
        <f t="shared" si="71"/>
        <v>토</v>
      </c>
      <c r="M1502" s="2" t="str">
        <f>VLOOKUP($C1502, 고객정보!$A$2:$E$151, 2, FALSE)</f>
        <v>대전</v>
      </c>
      <c r="N1502" t="str">
        <f>VLOOKUP(C1502,고객정보!$A$2:$D$151,4,FALSE)</f>
        <v>L2</v>
      </c>
      <c r="O1502" t="str">
        <f>VLOOKUP($C1502, 고객정보!$A$2:$E$151, 5, FALSE)</f>
        <v>10대</v>
      </c>
      <c r="P1502" t="str">
        <f>VLOOKUP(D1502,상품정보!$A$2:$E$61,2,FALSE)</f>
        <v>셔츠</v>
      </c>
      <c r="Q1502" t="str">
        <f>VLOOKUP(D1502,상품정보!$A$2:$D$151,3,FALSE)</f>
        <v>의류</v>
      </c>
      <c r="R1502" t="str">
        <f>VLOOKUP(D1502,상품정보!$A$2:$D$151,4,FALSE)</f>
        <v>브랜드A</v>
      </c>
    </row>
    <row r="1503" spans="1:18" x14ac:dyDescent="0.45">
      <c r="A1503" t="s">
        <v>364</v>
      </c>
      <c r="B1503" t="s">
        <v>1902</v>
      </c>
      <c r="C1503" t="s">
        <v>2454</v>
      </c>
      <c r="D1503" t="s">
        <v>2556</v>
      </c>
      <c r="E1503">
        <v>3</v>
      </c>
      <c r="F1503">
        <v>70100</v>
      </c>
      <c r="G1503">
        <v>1000</v>
      </c>
      <c r="H1503">
        <v>0</v>
      </c>
      <c r="I1503" t="s">
        <v>2652</v>
      </c>
      <c r="J1503" s="4">
        <f t="shared" si="69"/>
        <v>211300</v>
      </c>
      <c r="K1503" s="4" t="str">
        <f t="shared" si="70"/>
        <v>2024-05</v>
      </c>
      <c r="L1503" s="4" t="str">
        <f t="shared" si="71"/>
        <v>월</v>
      </c>
      <c r="M1503" s="2" t="str">
        <f>VLOOKUP($C1503, 고객정보!$A$2:$E$151, 2, FALSE)</f>
        <v>부산</v>
      </c>
      <c r="N1503" t="str">
        <f>VLOOKUP(C1503,고객정보!$A$2:$D$151,4,FALSE)</f>
        <v>L3</v>
      </c>
      <c r="O1503" t="str">
        <f>VLOOKUP($C1503, 고객정보!$A$2:$E$151, 5, FALSE)</f>
        <v>40대</v>
      </c>
      <c r="P1503" t="str">
        <f>VLOOKUP(D1503,상품정보!$A$2:$E$61,2,FALSE)</f>
        <v>핸드폰케이스</v>
      </c>
      <c r="Q1503" t="str">
        <f>VLOOKUP(D1503,상품정보!$A$2:$D$151,3,FALSE)</f>
        <v>액세서리</v>
      </c>
      <c r="R1503" t="str">
        <f>VLOOKUP(D1503,상품정보!$A$2:$D$151,4,FALSE)</f>
        <v>브랜드F</v>
      </c>
    </row>
    <row r="1504" spans="1:18" x14ac:dyDescent="0.45">
      <c r="A1504" t="s">
        <v>187</v>
      </c>
      <c r="B1504" t="s">
        <v>1903</v>
      </c>
      <c r="C1504" t="s">
        <v>2415</v>
      </c>
      <c r="D1504" t="s">
        <v>2599</v>
      </c>
      <c r="E1504">
        <v>5</v>
      </c>
      <c r="F1504">
        <v>73800</v>
      </c>
      <c r="G1504">
        <v>1000</v>
      </c>
      <c r="H1504">
        <v>0</v>
      </c>
      <c r="I1504" t="s">
        <v>2652</v>
      </c>
      <c r="J1504" s="4">
        <f t="shared" si="69"/>
        <v>370000</v>
      </c>
      <c r="K1504" s="4" t="str">
        <f t="shared" si="70"/>
        <v>2024-10</v>
      </c>
      <c r="L1504" s="4" t="str">
        <f t="shared" si="71"/>
        <v>토</v>
      </c>
      <c r="M1504" s="2" t="str">
        <f>VLOOKUP($C1504, 고객정보!$A$2:$E$151, 2, FALSE)</f>
        <v>광주</v>
      </c>
      <c r="N1504" t="str">
        <f>VLOOKUP(C1504,고객정보!$A$2:$D$151,4,FALSE)</f>
        <v>L3</v>
      </c>
      <c r="O1504" t="str">
        <f>VLOOKUP($C1504, 고객정보!$A$2:$E$151, 5, FALSE)</f>
        <v>30대</v>
      </c>
      <c r="P1504" t="str">
        <f>VLOOKUP(D1504,상품정보!$A$2:$E$61,2,FALSE)</f>
        <v>핸드폰케이스</v>
      </c>
      <c r="Q1504" t="str">
        <f>VLOOKUP(D1504,상품정보!$A$2:$D$151,3,FALSE)</f>
        <v>액세서리</v>
      </c>
      <c r="R1504" t="str">
        <f>VLOOKUP(D1504,상품정보!$A$2:$D$151,4,FALSE)</f>
        <v>브랜드F</v>
      </c>
    </row>
    <row r="1505" spans="1:18" x14ac:dyDescent="0.45">
      <c r="A1505" t="s">
        <v>104</v>
      </c>
      <c r="B1505" t="s">
        <v>1904</v>
      </c>
      <c r="C1505" t="s">
        <v>2505</v>
      </c>
      <c r="D1505" t="s">
        <v>2603</v>
      </c>
      <c r="E1505">
        <v>1</v>
      </c>
      <c r="F1505">
        <v>8200</v>
      </c>
      <c r="G1505">
        <v>0</v>
      </c>
      <c r="H1505">
        <v>0</v>
      </c>
      <c r="I1505" t="s">
        <v>2652</v>
      </c>
      <c r="J1505" s="4">
        <f t="shared" si="69"/>
        <v>8200</v>
      </c>
      <c r="K1505" s="4" t="str">
        <f t="shared" si="70"/>
        <v>2024-07</v>
      </c>
      <c r="L1505" s="4" t="str">
        <f t="shared" si="71"/>
        <v>월</v>
      </c>
      <c r="M1505" s="2" t="str">
        <f>VLOOKUP($C1505, 고객정보!$A$2:$E$151, 2, FALSE)</f>
        <v>대구</v>
      </c>
      <c r="N1505" t="str">
        <f>VLOOKUP(C1505,고객정보!$A$2:$D$151,4,FALSE)</f>
        <v>L4</v>
      </c>
      <c r="O1505" t="str">
        <f>VLOOKUP($C1505, 고객정보!$A$2:$E$151, 5, FALSE)</f>
        <v>40대</v>
      </c>
      <c r="P1505" t="str">
        <f>VLOOKUP(D1505,상품정보!$A$2:$E$61,2,FALSE)</f>
        <v>목걸이</v>
      </c>
      <c r="Q1505" t="str">
        <f>VLOOKUP(D1505,상품정보!$A$2:$D$151,3,FALSE)</f>
        <v>액세서리</v>
      </c>
      <c r="R1505" t="str">
        <f>VLOOKUP(D1505,상품정보!$A$2:$D$151,4,FALSE)</f>
        <v>브랜드E</v>
      </c>
    </row>
    <row r="1506" spans="1:18" x14ac:dyDescent="0.45">
      <c r="A1506" t="s">
        <v>312</v>
      </c>
      <c r="B1506" t="s">
        <v>1905</v>
      </c>
      <c r="C1506" t="s">
        <v>2487</v>
      </c>
      <c r="D1506" t="s">
        <v>2603</v>
      </c>
      <c r="E1506">
        <v>5</v>
      </c>
      <c r="F1506">
        <v>8200</v>
      </c>
      <c r="G1506">
        <v>500</v>
      </c>
      <c r="H1506">
        <v>0</v>
      </c>
      <c r="I1506" t="s">
        <v>2652</v>
      </c>
      <c r="J1506" s="4">
        <f t="shared" si="69"/>
        <v>41500</v>
      </c>
      <c r="K1506" s="4" t="str">
        <f t="shared" si="70"/>
        <v>2024-04</v>
      </c>
      <c r="L1506" s="4" t="str">
        <f t="shared" si="71"/>
        <v>목</v>
      </c>
      <c r="M1506" s="2" t="str">
        <f>VLOOKUP($C1506, 고객정보!$A$2:$E$151, 2, FALSE)</f>
        <v>서울</v>
      </c>
      <c r="N1506" t="str">
        <f>VLOOKUP(C1506,고객정보!$A$2:$D$151,4,FALSE)</f>
        <v>L1</v>
      </c>
      <c r="O1506" t="str">
        <f>VLOOKUP($C1506, 고객정보!$A$2:$E$151, 5, FALSE)</f>
        <v>10대</v>
      </c>
      <c r="P1506" t="str">
        <f>VLOOKUP(D1506,상품정보!$A$2:$E$61,2,FALSE)</f>
        <v>목걸이</v>
      </c>
      <c r="Q1506" t="str">
        <f>VLOOKUP(D1506,상품정보!$A$2:$D$151,3,FALSE)</f>
        <v>액세서리</v>
      </c>
      <c r="R1506" t="str">
        <f>VLOOKUP(D1506,상품정보!$A$2:$D$151,4,FALSE)</f>
        <v>브랜드E</v>
      </c>
    </row>
    <row r="1507" spans="1:18" x14ac:dyDescent="0.45">
      <c r="A1507" t="s">
        <v>319</v>
      </c>
      <c r="B1507" t="s">
        <v>1906</v>
      </c>
      <c r="C1507" t="s">
        <v>2494</v>
      </c>
      <c r="D1507" t="s">
        <v>2563</v>
      </c>
      <c r="E1507">
        <v>5</v>
      </c>
      <c r="F1507">
        <v>6900</v>
      </c>
      <c r="G1507">
        <v>0</v>
      </c>
      <c r="H1507">
        <v>0</v>
      </c>
      <c r="I1507" t="s">
        <v>2652</v>
      </c>
      <c r="J1507" s="4">
        <f t="shared" si="69"/>
        <v>34500</v>
      </c>
      <c r="K1507" s="4" t="str">
        <f t="shared" si="70"/>
        <v>2024-03</v>
      </c>
      <c r="L1507" s="4" t="str">
        <f t="shared" si="71"/>
        <v>토</v>
      </c>
      <c r="M1507" s="2" t="str">
        <f>VLOOKUP($C1507, 고객정보!$A$2:$E$151, 2, FALSE)</f>
        <v>대구</v>
      </c>
      <c r="N1507" t="str">
        <f>VLOOKUP(C1507,고객정보!$A$2:$D$151,4,FALSE)</f>
        <v>L4</v>
      </c>
      <c r="O1507" t="str">
        <f>VLOOKUP($C1507, 고객정보!$A$2:$E$151, 5, FALSE)</f>
        <v>40대</v>
      </c>
      <c r="P1507" t="str">
        <f>VLOOKUP(D1507,상품정보!$A$2:$E$61,2,FALSE)</f>
        <v>귀걸이</v>
      </c>
      <c r="Q1507" t="str">
        <f>VLOOKUP(D1507,상품정보!$A$2:$D$151,3,FALSE)</f>
        <v>액세서리</v>
      </c>
      <c r="R1507" t="str">
        <f>VLOOKUP(D1507,상품정보!$A$2:$D$151,4,FALSE)</f>
        <v>브랜드D</v>
      </c>
    </row>
    <row r="1508" spans="1:18" x14ac:dyDescent="0.45">
      <c r="A1508" t="s">
        <v>122</v>
      </c>
      <c r="B1508" t="s">
        <v>1907</v>
      </c>
      <c r="C1508" t="s">
        <v>2517</v>
      </c>
      <c r="D1508" t="s">
        <v>2603</v>
      </c>
      <c r="E1508">
        <v>3</v>
      </c>
      <c r="F1508">
        <v>8200</v>
      </c>
      <c r="G1508">
        <v>0</v>
      </c>
      <c r="H1508">
        <v>0</v>
      </c>
      <c r="I1508" t="s">
        <v>2652</v>
      </c>
      <c r="J1508" s="4">
        <f t="shared" si="69"/>
        <v>24600</v>
      </c>
      <c r="K1508" s="4" t="str">
        <f t="shared" si="70"/>
        <v>2024-12</v>
      </c>
      <c r="L1508" s="4" t="str">
        <f t="shared" si="71"/>
        <v>화</v>
      </c>
      <c r="M1508" s="2" t="str">
        <f>VLOOKUP($C1508, 고객정보!$A$2:$E$151, 2, FALSE)</f>
        <v>서울</v>
      </c>
      <c r="N1508" t="str">
        <f>VLOOKUP(C1508,고객정보!$A$2:$D$151,4,FALSE)</f>
        <v>L4</v>
      </c>
      <c r="O1508" t="str">
        <f>VLOOKUP($C1508, 고객정보!$A$2:$E$151, 5, FALSE)</f>
        <v>20대</v>
      </c>
      <c r="P1508" t="str">
        <f>VLOOKUP(D1508,상품정보!$A$2:$E$61,2,FALSE)</f>
        <v>목걸이</v>
      </c>
      <c r="Q1508" t="str">
        <f>VLOOKUP(D1508,상품정보!$A$2:$D$151,3,FALSE)</f>
        <v>액세서리</v>
      </c>
      <c r="R1508" t="str">
        <f>VLOOKUP(D1508,상품정보!$A$2:$D$151,4,FALSE)</f>
        <v>브랜드E</v>
      </c>
    </row>
    <row r="1509" spans="1:18" x14ac:dyDescent="0.45">
      <c r="A1509" t="s">
        <v>52</v>
      </c>
      <c r="B1509" t="s">
        <v>1908</v>
      </c>
      <c r="C1509" t="s">
        <v>2484</v>
      </c>
      <c r="D1509" t="s">
        <v>2583</v>
      </c>
      <c r="E1509">
        <v>4</v>
      </c>
      <c r="F1509">
        <v>6600</v>
      </c>
      <c r="G1509">
        <v>1000</v>
      </c>
      <c r="H1509">
        <v>0</v>
      </c>
      <c r="I1509" t="s">
        <v>2652</v>
      </c>
      <c r="J1509" s="4">
        <f t="shared" si="69"/>
        <v>27400</v>
      </c>
      <c r="K1509" s="4" t="str">
        <f t="shared" si="70"/>
        <v>2024-02</v>
      </c>
      <c r="L1509" s="4" t="str">
        <f t="shared" si="71"/>
        <v>토</v>
      </c>
      <c r="M1509" s="2" t="str">
        <f>VLOOKUP($C1509, 고객정보!$A$2:$E$151, 2, FALSE)</f>
        <v>부산</v>
      </c>
      <c r="N1509" t="str">
        <f>VLOOKUP(C1509,고객정보!$A$2:$D$151,4,FALSE)</f>
        <v>L5</v>
      </c>
      <c r="O1509" t="str">
        <f>VLOOKUP($C1509, 고객정보!$A$2:$E$151, 5, FALSE)</f>
        <v>20대</v>
      </c>
      <c r="P1509" t="str">
        <f>VLOOKUP(D1509,상품정보!$A$2:$E$61,2,FALSE)</f>
        <v>셔츠</v>
      </c>
      <c r="Q1509" t="str">
        <f>VLOOKUP(D1509,상품정보!$A$2:$D$151,3,FALSE)</f>
        <v>의류</v>
      </c>
      <c r="R1509" t="str">
        <f>VLOOKUP(D1509,상품정보!$A$2:$D$151,4,FALSE)</f>
        <v>브랜드E</v>
      </c>
    </row>
    <row r="1510" spans="1:18" x14ac:dyDescent="0.45">
      <c r="A1510" t="s">
        <v>129</v>
      </c>
      <c r="B1510" t="s">
        <v>1909</v>
      </c>
      <c r="C1510" t="s">
        <v>2418</v>
      </c>
      <c r="D1510" t="s">
        <v>2598</v>
      </c>
      <c r="E1510">
        <v>3</v>
      </c>
      <c r="F1510">
        <v>77300</v>
      </c>
      <c r="G1510">
        <v>0</v>
      </c>
      <c r="H1510">
        <v>0</v>
      </c>
      <c r="I1510" t="s">
        <v>2652</v>
      </c>
      <c r="J1510" s="4">
        <f t="shared" si="69"/>
        <v>231900</v>
      </c>
      <c r="K1510" s="4" t="str">
        <f t="shared" si="70"/>
        <v>2024-08</v>
      </c>
      <c r="L1510" s="4" t="str">
        <f t="shared" si="71"/>
        <v>일</v>
      </c>
      <c r="M1510" s="2" t="str">
        <f>VLOOKUP($C1510, 고객정보!$A$2:$E$151, 2, FALSE)</f>
        <v>부산</v>
      </c>
      <c r="N1510" t="str">
        <f>VLOOKUP(C1510,고객정보!$A$2:$D$151,4,FALSE)</f>
        <v>L5</v>
      </c>
      <c r="O1510" t="str">
        <f>VLOOKUP($C1510, 고객정보!$A$2:$E$151, 5, FALSE)</f>
        <v>30대</v>
      </c>
      <c r="P1510" t="str">
        <f>VLOOKUP(D1510,상품정보!$A$2:$E$61,2,FALSE)</f>
        <v>청바지</v>
      </c>
      <c r="Q1510" t="str">
        <f>VLOOKUP(D1510,상품정보!$A$2:$D$151,3,FALSE)</f>
        <v>의류</v>
      </c>
      <c r="R1510" t="str">
        <f>VLOOKUP(D1510,상품정보!$A$2:$D$151,4,FALSE)</f>
        <v>브랜드F</v>
      </c>
    </row>
    <row r="1511" spans="1:18" x14ac:dyDescent="0.45">
      <c r="A1511" t="s">
        <v>47</v>
      </c>
      <c r="B1511" t="s">
        <v>1910</v>
      </c>
      <c r="C1511" t="s">
        <v>2535</v>
      </c>
      <c r="D1511" t="s">
        <v>2576</v>
      </c>
      <c r="E1511">
        <v>2</v>
      </c>
      <c r="F1511">
        <v>8800</v>
      </c>
      <c r="G1511">
        <v>0</v>
      </c>
      <c r="H1511">
        <v>1600</v>
      </c>
      <c r="I1511" t="s">
        <v>2614</v>
      </c>
      <c r="J1511" s="4">
        <f t="shared" si="69"/>
        <v>16000</v>
      </c>
      <c r="K1511" s="4" t="str">
        <f t="shared" si="70"/>
        <v>2024-11</v>
      </c>
      <c r="L1511" s="4" t="str">
        <f t="shared" si="71"/>
        <v>토</v>
      </c>
      <c r="M1511" s="2" t="str">
        <f>VLOOKUP($C1511, 고객정보!$A$2:$E$151, 2, FALSE)</f>
        <v>서울</v>
      </c>
      <c r="N1511" t="str">
        <f>VLOOKUP(C1511,고객정보!$A$2:$D$151,4,FALSE)</f>
        <v>L2</v>
      </c>
      <c r="O1511" t="str">
        <f>VLOOKUP($C1511, 고객정보!$A$2:$E$151, 5, FALSE)</f>
        <v>10대</v>
      </c>
      <c r="P1511" t="str">
        <f>VLOOKUP(D1511,상품정보!$A$2:$E$61,2,FALSE)</f>
        <v>핸드폰케이스</v>
      </c>
      <c r="Q1511" t="str">
        <f>VLOOKUP(D1511,상품정보!$A$2:$D$151,3,FALSE)</f>
        <v>액세서리</v>
      </c>
      <c r="R1511" t="str">
        <f>VLOOKUP(D1511,상품정보!$A$2:$D$151,4,FALSE)</f>
        <v>브랜드D</v>
      </c>
    </row>
    <row r="1512" spans="1:18" x14ac:dyDescent="0.45">
      <c r="A1512" t="s">
        <v>227</v>
      </c>
      <c r="B1512" t="s">
        <v>1911</v>
      </c>
      <c r="C1512" t="s">
        <v>2450</v>
      </c>
      <c r="D1512" t="s">
        <v>2592</v>
      </c>
      <c r="E1512">
        <v>5</v>
      </c>
      <c r="F1512">
        <v>72700</v>
      </c>
      <c r="G1512">
        <v>0</v>
      </c>
      <c r="H1512">
        <v>7500</v>
      </c>
      <c r="I1512" t="s">
        <v>2614</v>
      </c>
      <c r="J1512" s="4">
        <f t="shared" si="69"/>
        <v>356000</v>
      </c>
      <c r="K1512" s="4" t="str">
        <f t="shared" si="70"/>
        <v>2024-10</v>
      </c>
      <c r="L1512" s="4" t="str">
        <f t="shared" si="71"/>
        <v>토</v>
      </c>
      <c r="M1512" s="2" t="str">
        <f>VLOOKUP($C1512, 고객정보!$A$2:$E$151, 2, FALSE)</f>
        <v>인천</v>
      </c>
      <c r="N1512" t="str">
        <f>VLOOKUP(C1512,고객정보!$A$2:$D$151,4,FALSE)</f>
        <v>L5</v>
      </c>
      <c r="O1512" t="str">
        <f>VLOOKUP($C1512, 고객정보!$A$2:$E$151, 5, FALSE)</f>
        <v>40대</v>
      </c>
      <c r="P1512" t="str">
        <f>VLOOKUP(D1512,상품정보!$A$2:$E$61,2,FALSE)</f>
        <v>귀걸이</v>
      </c>
      <c r="Q1512" t="str">
        <f>VLOOKUP(D1512,상품정보!$A$2:$D$151,3,FALSE)</f>
        <v>액세서리</v>
      </c>
      <c r="R1512" t="str">
        <f>VLOOKUP(D1512,상품정보!$A$2:$D$151,4,FALSE)</f>
        <v>브랜드A</v>
      </c>
    </row>
    <row r="1513" spans="1:18" x14ac:dyDescent="0.45">
      <c r="A1513" t="s">
        <v>52</v>
      </c>
      <c r="B1513" t="s">
        <v>1912</v>
      </c>
      <c r="C1513" t="s">
        <v>2456</v>
      </c>
      <c r="D1513" t="s">
        <v>2610</v>
      </c>
      <c r="E1513">
        <v>1</v>
      </c>
      <c r="F1513">
        <v>18800</v>
      </c>
      <c r="G1513">
        <v>0</v>
      </c>
      <c r="H1513">
        <v>1800</v>
      </c>
      <c r="I1513" t="s">
        <v>2612</v>
      </c>
      <c r="J1513" s="4">
        <f t="shared" si="69"/>
        <v>17000</v>
      </c>
      <c r="K1513" s="4" t="str">
        <f t="shared" si="70"/>
        <v>2024-02</v>
      </c>
      <c r="L1513" s="4" t="str">
        <f t="shared" si="71"/>
        <v>토</v>
      </c>
      <c r="M1513" s="2" t="str">
        <f>VLOOKUP($C1513, 고객정보!$A$2:$E$151, 2, FALSE)</f>
        <v>대구</v>
      </c>
      <c r="N1513" t="str">
        <f>VLOOKUP(C1513,고객정보!$A$2:$D$151,4,FALSE)</f>
        <v>L3</v>
      </c>
      <c r="O1513" t="str">
        <f>VLOOKUP($C1513, 고객정보!$A$2:$E$151, 5, FALSE)</f>
        <v>30대</v>
      </c>
      <c r="P1513" t="str">
        <f>VLOOKUP(D1513,상품정보!$A$2:$E$61,2,FALSE)</f>
        <v>자켓</v>
      </c>
      <c r="Q1513" t="str">
        <f>VLOOKUP(D1513,상품정보!$A$2:$D$151,3,FALSE)</f>
        <v>의류</v>
      </c>
      <c r="R1513" t="str">
        <f>VLOOKUP(D1513,상품정보!$A$2:$D$151,4,FALSE)</f>
        <v>브랜드E</v>
      </c>
    </row>
    <row r="1514" spans="1:18" x14ac:dyDescent="0.45">
      <c r="A1514" t="s">
        <v>250</v>
      </c>
      <c r="B1514" t="s">
        <v>1913</v>
      </c>
      <c r="C1514" t="s">
        <v>2541</v>
      </c>
      <c r="D1514" t="s">
        <v>2558</v>
      </c>
      <c r="E1514">
        <v>2</v>
      </c>
      <c r="F1514">
        <v>63700</v>
      </c>
      <c r="G1514">
        <v>1500</v>
      </c>
      <c r="H1514">
        <v>1400</v>
      </c>
      <c r="I1514" t="s">
        <v>2614</v>
      </c>
      <c r="J1514" s="4">
        <f t="shared" si="69"/>
        <v>127500</v>
      </c>
      <c r="K1514" s="4" t="str">
        <f t="shared" si="70"/>
        <v>2024-06</v>
      </c>
      <c r="L1514" s="4" t="str">
        <f t="shared" si="71"/>
        <v>일</v>
      </c>
      <c r="M1514" s="2" t="str">
        <f>VLOOKUP($C1514, 고객정보!$A$2:$E$151, 2, FALSE)</f>
        <v>대구</v>
      </c>
      <c r="N1514" t="str">
        <f>VLOOKUP(C1514,고객정보!$A$2:$D$151,4,FALSE)</f>
        <v>L5</v>
      </c>
      <c r="O1514" t="str">
        <f>VLOOKUP($C1514, 고객정보!$A$2:$E$151, 5, FALSE)</f>
        <v>30대</v>
      </c>
      <c r="P1514" t="str">
        <f>VLOOKUP(D1514,상품정보!$A$2:$E$61,2,FALSE)</f>
        <v>셔츠</v>
      </c>
      <c r="Q1514" t="str">
        <f>VLOOKUP(D1514,상품정보!$A$2:$D$151,3,FALSE)</f>
        <v>의류</v>
      </c>
      <c r="R1514" t="str">
        <f>VLOOKUP(D1514,상품정보!$A$2:$D$151,4,FALSE)</f>
        <v>브랜드A</v>
      </c>
    </row>
    <row r="1515" spans="1:18" x14ac:dyDescent="0.45">
      <c r="A1515" t="s">
        <v>351</v>
      </c>
      <c r="B1515" t="s">
        <v>1914</v>
      </c>
      <c r="C1515" t="s">
        <v>2546</v>
      </c>
      <c r="D1515" t="s">
        <v>2593</v>
      </c>
      <c r="E1515">
        <v>3</v>
      </c>
      <c r="F1515">
        <v>74600</v>
      </c>
      <c r="G1515">
        <v>0</v>
      </c>
      <c r="H1515">
        <v>0</v>
      </c>
      <c r="I1515" t="s">
        <v>2652</v>
      </c>
      <c r="J1515" s="4">
        <f t="shared" si="69"/>
        <v>223800</v>
      </c>
      <c r="K1515" s="4" t="str">
        <f t="shared" si="70"/>
        <v>2024-12</v>
      </c>
      <c r="L1515" s="4" t="str">
        <f t="shared" si="71"/>
        <v>일</v>
      </c>
      <c r="M1515" s="2" t="str">
        <f>VLOOKUP($C1515, 고객정보!$A$2:$E$151, 2, FALSE)</f>
        <v>인천</v>
      </c>
      <c r="N1515" t="str">
        <f>VLOOKUP(C1515,고객정보!$A$2:$D$151,4,FALSE)</f>
        <v>L4</v>
      </c>
      <c r="O1515" t="str">
        <f>VLOOKUP($C1515, 고객정보!$A$2:$E$151, 5, FALSE)</f>
        <v>50대 이상</v>
      </c>
      <c r="P1515" t="str">
        <f>VLOOKUP(D1515,상품정보!$A$2:$E$61,2,FALSE)</f>
        <v>반팔 티셔츠</v>
      </c>
      <c r="Q1515" t="str">
        <f>VLOOKUP(D1515,상품정보!$A$2:$D$151,3,FALSE)</f>
        <v>의류</v>
      </c>
      <c r="R1515" t="str">
        <f>VLOOKUP(D1515,상품정보!$A$2:$D$151,4,FALSE)</f>
        <v>브랜드B</v>
      </c>
    </row>
    <row r="1516" spans="1:18" x14ac:dyDescent="0.45">
      <c r="A1516" t="s">
        <v>177</v>
      </c>
      <c r="B1516" t="s">
        <v>1915</v>
      </c>
      <c r="C1516" t="s">
        <v>2425</v>
      </c>
      <c r="D1516" t="s">
        <v>2560</v>
      </c>
      <c r="E1516">
        <v>4</v>
      </c>
      <c r="F1516">
        <v>60600</v>
      </c>
      <c r="G1516">
        <v>500</v>
      </c>
      <c r="H1516">
        <v>0</v>
      </c>
      <c r="I1516" t="s">
        <v>2652</v>
      </c>
      <c r="J1516" s="4">
        <f t="shared" si="69"/>
        <v>242900</v>
      </c>
      <c r="K1516" s="4" t="str">
        <f t="shared" si="70"/>
        <v>2024-05</v>
      </c>
      <c r="L1516" s="4" t="str">
        <f t="shared" si="71"/>
        <v>토</v>
      </c>
      <c r="M1516" s="2" t="str">
        <f>VLOOKUP($C1516, 고객정보!$A$2:$E$151, 2, FALSE)</f>
        <v>서울</v>
      </c>
      <c r="N1516" t="str">
        <f>VLOOKUP(C1516,고객정보!$A$2:$D$151,4,FALSE)</f>
        <v>L4</v>
      </c>
      <c r="O1516" t="str">
        <f>VLOOKUP($C1516, 고객정보!$A$2:$E$151, 5, FALSE)</f>
        <v>30대</v>
      </c>
      <c r="P1516" t="str">
        <f>VLOOKUP(D1516,상품정보!$A$2:$E$61,2,FALSE)</f>
        <v>반팔 티셔츠</v>
      </c>
      <c r="Q1516" t="str">
        <f>VLOOKUP(D1516,상품정보!$A$2:$D$151,3,FALSE)</f>
        <v>의류</v>
      </c>
      <c r="R1516" t="str">
        <f>VLOOKUP(D1516,상품정보!$A$2:$D$151,4,FALSE)</f>
        <v>브랜드F</v>
      </c>
    </row>
    <row r="1517" spans="1:18" x14ac:dyDescent="0.45">
      <c r="A1517" t="s">
        <v>334</v>
      </c>
      <c r="B1517" t="s">
        <v>1916</v>
      </c>
      <c r="C1517" t="s">
        <v>2459</v>
      </c>
      <c r="D1517" t="s">
        <v>2587</v>
      </c>
      <c r="E1517">
        <v>3</v>
      </c>
      <c r="F1517">
        <v>50200</v>
      </c>
      <c r="G1517">
        <v>0</v>
      </c>
      <c r="H1517">
        <v>0</v>
      </c>
      <c r="I1517" t="s">
        <v>2652</v>
      </c>
      <c r="J1517" s="4">
        <f t="shared" si="69"/>
        <v>150600</v>
      </c>
      <c r="K1517" s="4" t="str">
        <f t="shared" si="70"/>
        <v>2025-01</v>
      </c>
      <c r="L1517" s="4" t="str">
        <f t="shared" si="71"/>
        <v>금</v>
      </c>
      <c r="M1517" s="2" t="str">
        <f>VLOOKUP($C1517, 고객정보!$A$2:$E$151, 2, FALSE)</f>
        <v>광주</v>
      </c>
      <c r="N1517" t="str">
        <f>VLOOKUP(C1517,고객정보!$A$2:$D$151,4,FALSE)</f>
        <v>L4</v>
      </c>
      <c r="O1517" t="str">
        <f>VLOOKUP($C1517, 고객정보!$A$2:$E$151, 5, FALSE)</f>
        <v>50대 이상</v>
      </c>
      <c r="P1517" t="str">
        <f>VLOOKUP(D1517,상품정보!$A$2:$E$61,2,FALSE)</f>
        <v>반지</v>
      </c>
      <c r="Q1517" t="str">
        <f>VLOOKUP(D1517,상품정보!$A$2:$D$151,3,FALSE)</f>
        <v>액세서리</v>
      </c>
      <c r="R1517" t="str">
        <f>VLOOKUP(D1517,상품정보!$A$2:$D$151,4,FALSE)</f>
        <v>브랜드B</v>
      </c>
    </row>
    <row r="1518" spans="1:18" x14ac:dyDescent="0.45">
      <c r="A1518" t="s">
        <v>73</v>
      </c>
      <c r="B1518" t="s">
        <v>1917</v>
      </c>
      <c r="C1518" t="s">
        <v>2468</v>
      </c>
      <c r="D1518" t="s">
        <v>2556</v>
      </c>
      <c r="E1518">
        <v>4</v>
      </c>
      <c r="F1518">
        <v>70100</v>
      </c>
      <c r="G1518">
        <v>1000</v>
      </c>
      <c r="H1518">
        <v>0</v>
      </c>
      <c r="I1518" t="s">
        <v>2652</v>
      </c>
      <c r="J1518" s="4">
        <f t="shared" si="69"/>
        <v>281400</v>
      </c>
      <c r="K1518" s="4" t="str">
        <f t="shared" si="70"/>
        <v>2024-03</v>
      </c>
      <c r="L1518" s="4" t="str">
        <f t="shared" si="71"/>
        <v>화</v>
      </c>
      <c r="M1518" s="2" t="str">
        <f>VLOOKUP($C1518, 고객정보!$A$2:$E$151, 2, FALSE)</f>
        <v>부산</v>
      </c>
      <c r="N1518" t="str">
        <f>VLOOKUP(C1518,고객정보!$A$2:$D$151,4,FALSE)</f>
        <v>L5</v>
      </c>
      <c r="O1518" t="str">
        <f>VLOOKUP($C1518, 고객정보!$A$2:$E$151, 5, FALSE)</f>
        <v>20대</v>
      </c>
      <c r="P1518" t="str">
        <f>VLOOKUP(D1518,상품정보!$A$2:$E$61,2,FALSE)</f>
        <v>핸드폰케이스</v>
      </c>
      <c r="Q1518" t="str">
        <f>VLOOKUP(D1518,상품정보!$A$2:$D$151,3,FALSE)</f>
        <v>액세서리</v>
      </c>
      <c r="R1518" t="str">
        <f>VLOOKUP(D1518,상품정보!$A$2:$D$151,4,FALSE)</f>
        <v>브랜드F</v>
      </c>
    </row>
    <row r="1519" spans="1:18" x14ac:dyDescent="0.45">
      <c r="A1519" t="s">
        <v>218</v>
      </c>
      <c r="B1519" t="s">
        <v>1918</v>
      </c>
      <c r="C1519" t="s">
        <v>2543</v>
      </c>
      <c r="D1519" t="s">
        <v>2610</v>
      </c>
      <c r="E1519">
        <v>1</v>
      </c>
      <c r="F1519">
        <v>18800</v>
      </c>
      <c r="G1519">
        <v>500</v>
      </c>
      <c r="H1519">
        <v>800</v>
      </c>
      <c r="I1519" t="s">
        <v>2613</v>
      </c>
      <c r="J1519" s="4">
        <f t="shared" si="69"/>
        <v>18500</v>
      </c>
      <c r="K1519" s="4" t="str">
        <f t="shared" si="70"/>
        <v>2024-03</v>
      </c>
      <c r="L1519" s="4" t="str">
        <f t="shared" si="71"/>
        <v>화</v>
      </c>
      <c r="M1519" s="2" t="str">
        <f>VLOOKUP($C1519, 고객정보!$A$2:$E$151, 2, FALSE)</f>
        <v>대구</v>
      </c>
      <c r="N1519" t="str">
        <f>VLOOKUP(C1519,고객정보!$A$2:$D$151,4,FALSE)</f>
        <v>L2</v>
      </c>
      <c r="O1519" t="str">
        <f>VLOOKUP($C1519, 고객정보!$A$2:$E$151, 5, FALSE)</f>
        <v>10대</v>
      </c>
      <c r="P1519" t="str">
        <f>VLOOKUP(D1519,상품정보!$A$2:$E$61,2,FALSE)</f>
        <v>자켓</v>
      </c>
      <c r="Q1519" t="str">
        <f>VLOOKUP(D1519,상품정보!$A$2:$D$151,3,FALSE)</f>
        <v>의류</v>
      </c>
      <c r="R1519" t="str">
        <f>VLOOKUP(D1519,상품정보!$A$2:$D$151,4,FALSE)</f>
        <v>브랜드E</v>
      </c>
    </row>
    <row r="1520" spans="1:18" x14ac:dyDescent="0.45">
      <c r="A1520" t="s">
        <v>89</v>
      </c>
      <c r="B1520" t="s">
        <v>1919</v>
      </c>
      <c r="C1520" t="s">
        <v>2467</v>
      </c>
      <c r="D1520" t="s">
        <v>2567</v>
      </c>
      <c r="E1520">
        <v>3</v>
      </c>
      <c r="F1520">
        <v>58600</v>
      </c>
      <c r="G1520">
        <v>1500</v>
      </c>
      <c r="H1520">
        <v>0</v>
      </c>
      <c r="I1520" t="s">
        <v>2652</v>
      </c>
      <c r="J1520" s="4">
        <f t="shared" si="69"/>
        <v>177300</v>
      </c>
      <c r="K1520" s="4" t="str">
        <f t="shared" si="70"/>
        <v>2025-01</v>
      </c>
      <c r="L1520" s="4" t="str">
        <f t="shared" si="71"/>
        <v>수</v>
      </c>
      <c r="M1520" s="2" t="str">
        <f>VLOOKUP($C1520, 고객정보!$A$2:$E$151, 2, FALSE)</f>
        <v>부산</v>
      </c>
      <c r="N1520" t="str">
        <f>VLOOKUP(C1520,고객정보!$A$2:$D$151,4,FALSE)</f>
        <v>L4</v>
      </c>
      <c r="O1520" t="str">
        <f>VLOOKUP($C1520, 고객정보!$A$2:$E$151, 5, FALSE)</f>
        <v>20대</v>
      </c>
      <c r="P1520" t="str">
        <f>VLOOKUP(D1520,상품정보!$A$2:$E$61,2,FALSE)</f>
        <v>귀걸이</v>
      </c>
      <c r="Q1520" t="str">
        <f>VLOOKUP(D1520,상품정보!$A$2:$D$151,3,FALSE)</f>
        <v>액세서리</v>
      </c>
      <c r="R1520" t="str">
        <f>VLOOKUP(D1520,상품정보!$A$2:$D$151,4,FALSE)</f>
        <v>브랜드B</v>
      </c>
    </row>
    <row r="1521" spans="1:18" x14ac:dyDescent="0.45">
      <c r="A1521" t="s">
        <v>156</v>
      </c>
      <c r="B1521" t="s">
        <v>1920</v>
      </c>
      <c r="C1521" t="s">
        <v>2414</v>
      </c>
      <c r="D1521" t="s">
        <v>2572</v>
      </c>
      <c r="E1521">
        <v>2</v>
      </c>
      <c r="F1521">
        <v>61700</v>
      </c>
      <c r="G1521">
        <v>0</v>
      </c>
      <c r="H1521">
        <v>3800</v>
      </c>
      <c r="I1521" t="s">
        <v>2613</v>
      </c>
      <c r="J1521" s="4">
        <f t="shared" si="69"/>
        <v>119600</v>
      </c>
      <c r="K1521" s="4" t="str">
        <f t="shared" si="70"/>
        <v>2024-07</v>
      </c>
      <c r="L1521" s="4" t="str">
        <f t="shared" si="71"/>
        <v>월</v>
      </c>
      <c r="M1521" s="2" t="str">
        <f>VLOOKUP($C1521, 고객정보!$A$2:$E$151, 2, FALSE)</f>
        <v>대구</v>
      </c>
      <c r="N1521" t="str">
        <f>VLOOKUP(C1521,고객정보!$A$2:$D$151,4,FALSE)</f>
        <v>L3</v>
      </c>
      <c r="O1521" t="str">
        <f>VLOOKUP($C1521, 고객정보!$A$2:$E$151, 5, FALSE)</f>
        <v>30대</v>
      </c>
      <c r="P1521" t="str">
        <f>VLOOKUP(D1521,상품정보!$A$2:$E$61,2,FALSE)</f>
        <v>반팔 티셔츠</v>
      </c>
      <c r="Q1521" t="str">
        <f>VLOOKUP(D1521,상품정보!$A$2:$D$151,3,FALSE)</f>
        <v>의류</v>
      </c>
      <c r="R1521" t="str">
        <f>VLOOKUP(D1521,상품정보!$A$2:$D$151,4,FALSE)</f>
        <v>브랜드F</v>
      </c>
    </row>
    <row r="1522" spans="1:18" x14ac:dyDescent="0.45">
      <c r="A1522" t="s">
        <v>153</v>
      </c>
      <c r="B1522" t="s">
        <v>1921</v>
      </c>
      <c r="C1522" t="s">
        <v>2523</v>
      </c>
      <c r="D1522" t="s">
        <v>2591</v>
      </c>
      <c r="E1522">
        <v>1</v>
      </c>
      <c r="F1522">
        <v>69200</v>
      </c>
      <c r="G1522">
        <v>1000</v>
      </c>
      <c r="H1522">
        <v>0</v>
      </c>
      <c r="I1522" t="s">
        <v>2652</v>
      </c>
      <c r="J1522" s="4">
        <f t="shared" si="69"/>
        <v>70200</v>
      </c>
      <c r="K1522" s="4" t="str">
        <f t="shared" si="70"/>
        <v>2024-08</v>
      </c>
      <c r="L1522" s="4" t="str">
        <f t="shared" si="71"/>
        <v>금</v>
      </c>
      <c r="M1522" s="2" t="str">
        <f>VLOOKUP($C1522, 고객정보!$A$2:$E$151, 2, FALSE)</f>
        <v>서울</v>
      </c>
      <c r="N1522" t="str">
        <f>VLOOKUP(C1522,고객정보!$A$2:$D$151,4,FALSE)</f>
        <v>L3</v>
      </c>
      <c r="O1522" t="str">
        <f>VLOOKUP($C1522, 고객정보!$A$2:$E$151, 5, FALSE)</f>
        <v>20대</v>
      </c>
      <c r="P1522" t="str">
        <f>VLOOKUP(D1522,상품정보!$A$2:$E$61,2,FALSE)</f>
        <v>셔츠</v>
      </c>
      <c r="Q1522" t="str">
        <f>VLOOKUP(D1522,상품정보!$A$2:$D$151,3,FALSE)</f>
        <v>의류</v>
      </c>
      <c r="R1522" t="str">
        <f>VLOOKUP(D1522,상품정보!$A$2:$D$151,4,FALSE)</f>
        <v>브랜드F</v>
      </c>
    </row>
    <row r="1523" spans="1:18" x14ac:dyDescent="0.45">
      <c r="A1523" t="s">
        <v>93</v>
      </c>
      <c r="B1523" t="s">
        <v>1922</v>
      </c>
      <c r="C1523" t="s">
        <v>2495</v>
      </c>
      <c r="D1523" t="s">
        <v>2596</v>
      </c>
      <c r="E1523">
        <v>1</v>
      </c>
      <c r="F1523">
        <v>59700</v>
      </c>
      <c r="G1523">
        <v>0</v>
      </c>
      <c r="H1523">
        <v>100</v>
      </c>
      <c r="I1523" t="s">
        <v>2611</v>
      </c>
      <c r="J1523" s="4">
        <f t="shared" si="69"/>
        <v>59600</v>
      </c>
      <c r="K1523" s="4" t="str">
        <f t="shared" si="70"/>
        <v>2025-01</v>
      </c>
      <c r="L1523" s="4" t="str">
        <f t="shared" si="71"/>
        <v>수</v>
      </c>
      <c r="M1523" s="2" t="str">
        <f>VLOOKUP($C1523, 고객정보!$A$2:$E$151, 2, FALSE)</f>
        <v>N/A</v>
      </c>
      <c r="N1523" t="str">
        <f>VLOOKUP(C1523,고객정보!$A$2:$D$151,4,FALSE)</f>
        <v>L1</v>
      </c>
      <c r="O1523" t="str">
        <f>VLOOKUP($C1523, 고객정보!$A$2:$E$151, 5, FALSE)</f>
        <v>50대 이상</v>
      </c>
      <c r="P1523" t="str">
        <f>VLOOKUP(D1523,상품정보!$A$2:$E$61,2,FALSE)</f>
        <v>청바지</v>
      </c>
      <c r="Q1523" t="str">
        <f>VLOOKUP(D1523,상품정보!$A$2:$D$151,3,FALSE)</f>
        <v>의류</v>
      </c>
      <c r="R1523" t="str">
        <f>VLOOKUP(D1523,상품정보!$A$2:$D$151,4,FALSE)</f>
        <v>브랜드A</v>
      </c>
    </row>
    <row r="1524" spans="1:18" x14ac:dyDescent="0.45">
      <c r="A1524" t="s">
        <v>363</v>
      </c>
      <c r="B1524" t="s">
        <v>1923</v>
      </c>
      <c r="C1524" t="s">
        <v>2533</v>
      </c>
      <c r="D1524" t="s">
        <v>2578</v>
      </c>
      <c r="E1524">
        <v>1</v>
      </c>
      <c r="F1524">
        <v>78000</v>
      </c>
      <c r="G1524">
        <v>0</v>
      </c>
      <c r="H1524">
        <v>0</v>
      </c>
      <c r="I1524" t="s">
        <v>2652</v>
      </c>
      <c r="J1524" s="4">
        <f t="shared" si="69"/>
        <v>78000</v>
      </c>
      <c r="K1524" s="4" t="str">
        <f t="shared" si="70"/>
        <v>2024-02</v>
      </c>
      <c r="L1524" s="4" t="str">
        <f t="shared" si="71"/>
        <v>금</v>
      </c>
      <c r="M1524" s="2" t="str">
        <f>VLOOKUP($C1524, 고객정보!$A$2:$E$151, 2, FALSE)</f>
        <v>인천</v>
      </c>
      <c r="N1524" t="str">
        <f>VLOOKUP(C1524,고객정보!$A$2:$D$151,4,FALSE)</f>
        <v>L5</v>
      </c>
      <c r="O1524" t="str">
        <f>VLOOKUP($C1524, 고객정보!$A$2:$E$151, 5, FALSE)</f>
        <v>30대</v>
      </c>
      <c r="P1524" t="str">
        <f>VLOOKUP(D1524,상품정보!$A$2:$E$61,2,FALSE)</f>
        <v>귀걸이</v>
      </c>
      <c r="Q1524" t="str">
        <f>VLOOKUP(D1524,상품정보!$A$2:$D$151,3,FALSE)</f>
        <v>액세서리</v>
      </c>
      <c r="R1524" t="str">
        <f>VLOOKUP(D1524,상품정보!$A$2:$D$151,4,FALSE)</f>
        <v>브랜드B</v>
      </c>
    </row>
    <row r="1525" spans="1:18" x14ac:dyDescent="0.45">
      <c r="A1525" t="s">
        <v>391</v>
      </c>
      <c r="B1525" t="s">
        <v>1924</v>
      </c>
      <c r="C1525" t="s">
        <v>2428</v>
      </c>
      <c r="D1525" t="s">
        <v>2598</v>
      </c>
      <c r="E1525">
        <v>2</v>
      </c>
      <c r="F1525">
        <v>77300</v>
      </c>
      <c r="G1525">
        <v>0</v>
      </c>
      <c r="H1525">
        <v>0</v>
      </c>
      <c r="I1525" t="s">
        <v>2652</v>
      </c>
      <c r="J1525" s="4">
        <f t="shared" si="69"/>
        <v>154600</v>
      </c>
      <c r="K1525" s="4" t="str">
        <f t="shared" si="70"/>
        <v>2024-02</v>
      </c>
      <c r="L1525" s="4" t="str">
        <f t="shared" si="71"/>
        <v>화</v>
      </c>
      <c r="M1525" s="2" t="str">
        <f>VLOOKUP($C1525, 고객정보!$A$2:$E$151, 2, FALSE)</f>
        <v>광주</v>
      </c>
      <c r="N1525" t="str">
        <f>VLOOKUP(C1525,고객정보!$A$2:$D$151,4,FALSE)</f>
        <v>L4</v>
      </c>
      <c r="O1525" t="str">
        <f>VLOOKUP($C1525, 고객정보!$A$2:$E$151, 5, FALSE)</f>
        <v>10대</v>
      </c>
      <c r="P1525" t="str">
        <f>VLOOKUP(D1525,상품정보!$A$2:$E$61,2,FALSE)</f>
        <v>청바지</v>
      </c>
      <c r="Q1525" t="str">
        <f>VLOOKUP(D1525,상품정보!$A$2:$D$151,3,FALSE)</f>
        <v>의류</v>
      </c>
      <c r="R1525" t="str">
        <f>VLOOKUP(D1525,상품정보!$A$2:$D$151,4,FALSE)</f>
        <v>브랜드F</v>
      </c>
    </row>
    <row r="1526" spans="1:18" x14ac:dyDescent="0.45">
      <c r="A1526" t="s">
        <v>354</v>
      </c>
      <c r="B1526" t="s">
        <v>1925</v>
      </c>
      <c r="C1526" t="s">
        <v>2549</v>
      </c>
      <c r="D1526" t="s">
        <v>2600</v>
      </c>
      <c r="E1526">
        <v>2</v>
      </c>
      <c r="F1526">
        <v>10900</v>
      </c>
      <c r="G1526">
        <v>1000</v>
      </c>
      <c r="H1526">
        <v>0</v>
      </c>
      <c r="I1526" t="s">
        <v>2652</v>
      </c>
      <c r="J1526" s="4">
        <f t="shared" si="69"/>
        <v>22800</v>
      </c>
      <c r="K1526" s="4" t="str">
        <f t="shared" si="70"/>
        <v>2024-05</v>
      </c>
      <c r="L1526" s="4" t="str">
        <f t="shared" si="71"/>
        <v>월</v>
      </c>
      <c r="M1526" s="2" t="str">
        <f>VLOOKUP($C1526, 고객정보!$A$2:$E$151, 2, FALSE)</f>
        <v>서울</v>
      </c>
      <c r="N1526" t="str">
        <f>VLOOKUP(C1526,고객정보!$A$2:$D$151,4,FALSE)</f>
        <v>L2</v>
      </c>
      <c r="O1526" t="str">
        <f>VLOOKUP($C1526, 고객정보!$A$2:$E$151, 5, FALSE)</f>
        <v>40대</v>
      </c>
      <c r="P1526" t="str">
        <f>VLOOKUP(D1526,상품정보!$A$2:$E$61,2,FALSE)</f>
        <v>셔츠</v>
      </c>
      <c r="Q1526" t="str">
        <f>VLOOKUP(D1526,상품정보!$A$2:$D$151,3,FALSE)</f>
        <v>의류</v>
      </c>
      <c r="R1526" t="str">
        <f>VLOOKUP(D1526,상품정보!$A$2:$D$151,4,FALSE)</f>
        <v>브랜드E</v>
      </c>
    </row>
    <row r="1527" spans="1:18" x14ac:dyDescent="0.45">
      <c r="A1527" t="s">
        <v>62</v>
      </c>
      <c r="B1527" t="s">
        <v>1926</v>
      </c>
      <c r="C1527" t="s">
        <v>2517</v>
      </c>
      <c r="D1527" t="s">
        <v>2556</v>
      </c>
      <c r="E1527">
        <v>2</v>
      </c>
      <c r="F1527">
        <v>70100</v>
      </c>
      <c r="G1527">
        <v>1000</v>
      </c>
      <c r="H1527">
        <v>0</v>
      </c>
      <c r="I1527" t="s">
        <v>2652</v>
      </c>
      <c r="J1527" s="4">
        <f t="shared" si="69"/>
        <v>141200</v>
      </c>
      <c r="K1527" s="4" t="str">
        <f t="shared" si="70"/>
        <v>2024-03</v>
      </c>
      <c r="L1527" s="4" t="str">
        <f t="shared" si="71"/>
        <v>금</v>
      </c>
      <c r="M1527" s="2" t="str">
        <f>VLOOKUP($C1527, 고객정보!$A$2:$E$151, 2, FALSE)</f>
        <v>서울</v>
      </c>
      <c r="N1527" t="str">
        <f>VLOOKUP(C1527,고객정보!$A$2:$D$151,4,FALSE)</f>
        <v>L4</v>
      </c>
      <c r="O1527" t="str">
        <f>VLOOKUP($C1527, 고객정보!$A$2:$E$151, 5, FALSE)</f>
        <v>20대</v>
      </c>
      <c r="P1527" t="str">
        <f>VLOOKUP(D1527,상품정보!$A$2:$E$61,2,FALSE)</f>
        <v>핸드폰케이스</v>
      </c>
      <c r="Q1527" t="str">
        <f>VLOOKUP(D1527,상품정보!$A$2:$D$151,3,FALSE)</f>
        <v>액세서리</v>
      </c>
      <c r="R1527" t="str">
        <f>VLOOKUP(D1527,상품정보!$A$2:$D$151,4,FALSE)</f>
        <v>브랜드F</v>
      </c>
    </row>
    <row r="1528" spans="1:18" x14ac:dyDescent="0.45">
      <c r="A1528" t="s">
        <v>394</v>
      </c>
      <c r="B1528" t="s">
        <v>1927</v>
      </c>
      <c r="C1528" t="s">
        <v>2513</v>
      </c>
      <c r="D1528" t="s">
        <v>2569</v>
      </c>
      <c r="E1528">
        <v>2</v>
      </c>
      <c r="F1528">
        <v>11400</v>
      </c>
      <c r="G1528">
        <v>0</v>
      </c>
      <c r="H1528">
        <v>0</v>
      </c>
      <c r="I1528" t="s">
        <v>2652</v>
      </c>
      <c r="J1528" s="4">
        <f t="shared" si="69"/>
        <v>22800</v>
      </c>
      <c r="K1528" s="4" t="str">
        <f t="shared" si="70"/>
        <v>2024-01</v>
      </c>
      <c r="L1528" s="4" t="str">
        <f t="shared" si="71"/>
        <v>월</v>
      </c>
      <c r="M1528" s="2" t="str">
        <f>VLOOKUP($C1528, 고객정보!$A$2:$E$151, 2, FALSE)</f>
        <v>수원</v>
      </c>
      <c r="N1528" t="str">
        <f>VLOOKUP(C1528,고객정보!$A$2:$D$151,4,FALSE)</f>
        <v>L5</v>
      </c>
      <c r="O1528" t="str">
        <f>VLOOKUP($C1528, 고객정보!$A$2:$E$151, 5, FALSE)</f>
        <v>20대</v>
      </c>
      <c r="P1528" t="str">
        <f>VLOOKUP(D1528,상품정보!$A$2:$E$61,2,FALSE)</f>
        <v>귀걸이</v>
      </c>
      <c r="Q1528" t="str">
        <f>VLOOKUP(D1528,상품정보!$A$2:$D$151,3,FALSE)</f>
        <v>액세서리</v>
      </c>
      <c r="R1528" t="str">
        <f>VLOOKUP(D1528,상품정보!$A$2:$D$151,4,FALSE)</f>
        <v>브랜드E</v>
      </c>
    </row>
    <row r="1529" spans="1:18" x14ac:dyDescent="0.45">
      <c r="A1529" t="s">
        <v>345</v>
      </c>
      <c r="B1529" t="s">
        <v>1928</v>
      </c>
      <c r="C1529" t="s">
        <v>2404</v>
      </c>
      <c r="D1529" t="s">
        <v>2567</v>
      </c>
      <c r="E1529">
        <v>3</v>
      </c>
      <c r="F1529">
        <v>58600</v>
      </c>
      <c r="G1529">
        <v>0</v>
      </c>
      <c r="H1529">
        <v>0</v>
      </c>
      <c r="I1529" t="s">
        <v>2652</v>
      </c>
      <c r="J1529" s="4">
        <f t="shared" si="69"/>
        <v>175800</v>
      </c>
      <c r="K1529" s="4" t="str">
        <f t="shared" si="70"/>
        <v>2024-06</v>
      </c>
      <c r="L1529" s="4" t="str">
        <f t="shared" si="71"/>
        <v>토</v>
      </c>
      <c r="M1529" s="2" t="str">
        <f>VLOOKUP($C1529, 고객정보!$A$2:$E$151, 2, FALSE)</f>
        <v>대구</v>
      </c>
      <c r="N1529" t="str">
        <f>VLOOKUP(C1529,고객정보!$A$2:$D$151,4,FALSE)</f>
        <v>L1</v>
      </c>
      <c r="O1529" t="str">
        <f>VLOOKUP($C1529, 고객정보!$A$2:$E$151, 5, FALSE)</f>
        <v>30대</v>
      </c>
      <c r="P1529" t="str">
        <f>VLOOKUP(D1529,상품정보!$A$2:$E$61,2,FALSE)</f>
        <v>귀걸이</v>
      </c>
      <c r="Q1529" t="str">
        <f>VLOOKUP(D1529,상품정보!$A$2:$D$151,3,FALSE)</f>
        <v>액세서리</v>
      </c>
      <c r="R1529" t="str">
        <f>VLOOKUP(D1529,상품정보!$A$2:$D$151,4,FALSE)</f>
        <v>브랜드B</v>
      </c>
    </row>
    <row r="1530" spans="1:18" x14ac:dyDescent="0.45">
      <c r="A1530" t="s">
        <v>145</v>
      </c>
      <c r="B1530" t="s">
        <v>1929</v>
      </c>
      <c r="C1530" t="s">
        <v>2446</v>
      </c>
      <c r="D1530" t="s">
        <v>2581</v>
      </c>
      <c r="E1530">
        <v>5</v>
      </c>
      <c r="F1530">
        <v>72900</v>
      </c>
      <c r="G1530">
        <v>0</v>
      </c>
      <c r="H1530">
        <v>2800</v>
      </c>
      <c r="I1530" t="s">
        <v>2613</v>
      </c>
      <c r="J1530" s="4">
        <f t="shared" si="69"/>
        <v>361700</v>
      </c>
      <c r="K1530" s="4" t="str">
        <f t="shared" si="70"/>
        <v>2024-05</v>
      </c>
      <c r="L1530" s="4" t="str">
        <f t="shared" si="71"/>
        <v>일</v>
      </c>
      <c r="M1530" s="2" t="str">
        <f>VLOOKUP($C1530, 고객정보!$A$2:$E$151, 2, FALSE)</f>
        <v>대전</v>
      </c>
      <c r="N1530" t="str">
        <f>VLOOKUP(C1530,고객정보!$A$2:$D$151,4,FALSE)</f>
        <v>L2</v>
      </c>
      <c r="O1530" t="str">
        <f>VLOOKUP($C1530, 고객정보!$A$2:$E$151, 5, FALSE)</f>
        <v>50대 이상</v>
      </c>
      <c r="P1530" t="str">
        <f>VLOOKUP(D1530,상품정보!$A$2:$E$61,2,FALSE)</f>
        <v>귀걸이</v>
      </c>
      <c r="Q1530" t="str">
        <f>VLOOKUP(D1530,상품정보!$A$2:$D$151,3,FALSE)</f>
        <v>액세서리</v>
      </c>
      <c r="R1530" t="str">
        <f>VLOOKUP(D1530,상품정보!$A$2:$D$151,4,FALSE)</f>
        <v>브랜드F</v>
      </c>
    </row>
    <row r="1531" spans="1:18" x14ac:dyDescent="0.45">
      <c r="A1531" t="s">
        <v>15</v>
      </c>
      <c r="B1531" t="s">
        <v>1930</v>
      </c>
      <c r="C1531" t="s">
        <v>2495</v>
      </c>
      <c r="D1531" t="s">
        <v>2556</v>
      </c>
      <c r="E1531">
        <v>2</v>
      </c>
      <c r="F1531">
        <v>70100</v>
      </c>
      <c r="G1531">
        <v>500</v>
      </c>
      <c r="H1531">
        <v>0</v>
      </c>
      <c r="I1531" t="s">
        <v>2652</v>
      </c>
      <c r="J1531" s="4">
        <f t="shared" si="69"/>
        <v>140700</v>
      </c>
      <c r="K1531" s="4" t="str">
        <f t="shared" si="70"/>
        <v>2024-12</v>
      </c>
      <c r="L1531" s="4" t="str">
        <f t="shared" si="71"/>
        <v>월</v>
      </c>
      <c r="M1531" s="2" t="str">
        <f>VLOOKUP($C1531, 고객정보!$A$2:$E$151, 2, FALSE)</f>
        <v>N/A</v>
      </c>
      <c r="N1531" t="str">
        <f>VLOOKUP(C1531,고객정보!$A$2:$D$151,4,FALSE)</f>
        <v>L1</v>
      </c>
      <c r="O1531" t="str">
        <f>VLOOKUP($C1531, 고객정보!$A$2:$E$151, 5, FALSE)</f>
        <v>50대 이상</v>
      </c>
      <c r="P1531" t="str">
        <f>VLOOKUP(D1531,상품정보!$A$2:$E$61,2,FALSE)</f>
        <v>핸드폰케이스</v>
      </c>
      <c r="Q1531" t="str">
        <f>VLOOKUP(D1531,상품정보!$A$2:$D$151,3,FALSE)</f>
        <v>액세서리</v>
      </c>
      <c r="R1531" t="str">
        <f>VLOOKUP(D1531,상품정보!$A$2:$D$151,4,FALSE)</f>
        <v>브랜드F</v>
      </c>
    </row>
    <row r="1532" spans="1:18" x14ac:dyDescent="0.45">
      <c r="A1532" t="s">
        <v>40</v>
      </c>
      <c r="B1532" t="s">
        <v>1931</v>
      </c>
      <c r="C1532" t="s">
        <v>2502</v>
      </c>
      <c r="D1532" t="s">
        <v>2604</v>
      </c>
      <c r="E1532">
        <v>5</v>
      </c>
      <c r="F1532">
        <v>9700</v>
      </c>
      <c r="G1532">
        <v>0</v>
      </c>
      <c r="H1532">
        <v>0</v>
      </c>
      <c r="I1532" t="s">
        <v>2652</v>
      </c>
      <c r="J1532" s="4">
        <f t="shared" si="69"/>
        <v>48500</v>
      </c>
      <c r="K1532" s="4" t="str">
        <f t="shared" si="70"/>
        <v>2024-11</v>
      </c>
      <c r="L1532" s="4" t="str">
        <f t="shared" si="71"/>
        <v>금</v>
      </c>
      <c r="M1532" s="2" t="str">
        <f>VLOOKUP($C1532, 고객정보!$A$2:$E$151, 2, FALSE)</f>
        <v>부산</v>
      </c>
      <c r="N1532" t="str">
        <f>VLOOKUP(C1532,고객정보!$A$2:$D$151,4,FALSE)</f>
        <v>L4</v>
      </c>
      <c r="O1532" t="str">
        <f>VLOOKUP($C1532, 고객정보!$A$2:$E$151, 5, FALSE)</f>
        <v>20대</v>
      </c>
      <c r="P1532" t="str">
        <f>VLOOKUP(D1532,상품정보!$A$2:$E$61,2,FALSE)</f>
        <v>반팔 티셔츠</v>
      </c>
      <c r="Q1532" t="str">
        <f>VLOOKUP(D1532,상품정보!$A$2:$D$151,3,FALSE)</f>
        <v>의류</v>
      </c>
      <c r="R1532" t="str">
        <f>VLOOKUP(D1532,상품정보!$A$2:$D$151,4,FALSE)</f>
        <v>브랜드E</v>
      </c>
    </row>
    <row r="1533" spans="1:18" x14ac:dyDescent="0.45">
      <c r="A1533" t="s">
        <v>44</v>
      </c>
      <c r="B1533" t="s">
        <v>1932</v>
      </c>
      <c r="C1533" t="s">
        <v>2462</v>
      </c>
      <c r="D1533" t="s">
        <v>2601</v>
      </c>
      <c r="E1533">
        <v>5</v>
      </c>
      <c r="F1533">
        <v>17000</v>
      </c>
      <c r="G1533">
        <v>0</v>
      </c>
      <c r="H1533">
        <v>0</v>
      </c>
      <c r="I1533" t="s">
        <v>2652</v>
      </c>
      <c r="J1533" s="4">
        <f t="shared" si="69"/>
        <v>85000</v>
      </c>
      <c r="K1533" s="4" t="str">
        <f t="shared" si="70"/>
        <v>2024-08</v>
      </c>
      <c r="L1533" s="4" t="str">
        <f t="shared" si="71"/>
        <v>토</v>
      </c>
      <c r="M1533" s="2" t="str">
        <f>VLOOKUP($C1533, 고객정보!$A$2:$E$151, 2, FALSE)</f>
        <v>광주</v>
      </c>
      <c r="N1533" t="str">
        <f>VLOOKUP(C1533,고객정보!$A$2:$D$151,4,FALSE)</f>
        <v>L5</v>
      </c>
      <c r="O1533" t="str">
        <f>VLOOKUP($C1533, 고객정보!$A$2:$E$151, 5, FALSE)</f>
        <v>50대 이상</v>
      </c>
      <c r="P1533" t="str">
        <f>VLOOKUP(D1533,상품정보!$A$2:$E$61,2,FALSE)</f>
        <v>자켓</v>
      </c>
      <c r="Q1533" t="str">
        <f>VLOOKUP(D1533,상품정보!$A$2:$D$151,3,FALSE)</f>
        <v>의류</v>
      </c>
      <c r="R1533" t="str">
        <f>VLOOKUP(D1533,상품정보!$A$2:$D$151,4,FALSE)</f>
        <v>브랜드E</v>
      </c>
    </row>
    <row r="1534" spans="1:18" x14ac:dyDescent="0.45">
      <c r="A1534" t="s">
        <v>229</v>
      </c>
      <c r="B1534" t="s">
        <v>1933</v>
      </c>
      <c r="C1534" t="s">
        <v>2513</v>
      </c>
      <c r="D1534" t="s">
        <v>2601</v>
      </c>
      <c r="E1534">
        <v>5</v>
      </c>
      <c r="F1534">
        <v>17000</v>
      </c>
      <c r="G1534">
        <v>500</v>
      </c>
      <c r="H1534">
        <v>10400</v>
      </c>
      <c r="I1534" t="s">
        <v>2612</v>
      </c>
      <c r="J1534" s="4">
        <f t="shared" si="69"/>
        <v>75100</v>
      </c>
      <c r="K1534" s="4" t="str">
        <f t="shared" si="70"/>
        <v>2024-06</v>
      </c>
      <c r="L1534" s="4" t="str">
        <f t="shared" si="71"/>
        <v>금</v>
      </c>
      <c r="M1534" s="2" t="str">
        <f>VLOOKUP($C1534, 고객정보!$A$2:$E$151, 2, FALSE)</f>
        <v>수원</v>
      </c>
      <c r="N1534" t="str">
        <f>VLOOKUP(C1534,고객정보!$A$2:$D$151,4,FALSE)</f>
        <v>L5</v>
      </c>
      <c r="O1534" t="str">
        <f>VLOOKUP($C1534, 고객정보!$A$2:$E$151, 5, FALSE)</f>
        <v>20대</v>
      </c>
      <c r="P1534" t="str">
        <f>VLOOKUP(D1534,상품정보!$A$2:$E$61,2,FALSE)</f>
        <v>자켓</v>
      </c>
      <c r="Q1534" t="str">
        <f>VLOOKUP(D1534,상품정보!$A$2:$D$151,3,FALSE)</f>
        <v>의류</v>
      </c>
      <c r="R1534" t="str">
        <f>VLOOKUP(D1534,상품정보!$A$2:$D$151,4,FALSE)</f>
        <v>브랜드E</v>
      </c>
    </row>
    <row r="1535" spans="1:18" x14ac:dyDescent="0.45">
      <c r="A1535" t="s">
        <v>222</v>
      </c>
      <c r="B1535" t="s">
        <v>1934</v>
      </c>
      <c r="C1535" t="s">
        <v>2412</v>
      </c>
      <c r="D1535" t="s">
        <v>2608</v>
      </c>
      <c r="E1535">
        <v>5</v>
      </c>
      <c r="F1535">
        <v>10600</v>
      </c>
      <c r="G1535">
        <v>0</v>
      </c>
      <c r="H1535">
        <v>0</v>
      </c>
      <c r="I1535" t="s">
        <v>2652</v>
      </c>
      <c r="J1535" s="4">
        <f t="shared" si="69"/>
        <v>53000</v>
      </c>
      <c r="K1535" s="4" t="str">
        <f t="shared" si="70"/>
        <v>2024-04</v>
      </c>
      <c r="L1535" s="4" t="str">
        <f t="shared" si="71"/>
        <v>금</v>
      </c>
      <c r="M1535" s="2" t="str">
        <f>VLOOKUP($C1535, 고객정보!$A$2:$E$151, 2, FALSE)</f>
        <v>대전</v>
      </c>
      <c r="N1535" t="str">
        <f>VLOOKUP(C1535,고객정보!$A$2:$D$151,4,FALSE)</f>
        <v>L4</v>
      </c>
      <c r="O1535" t="str">
        <f>VLOOKUP($C1535, 고객정보!$A$2:$E$151, 5, FALSE)</f>
        <v>30대</v>
      </c>
      <c r="P1535" t="str">
        <f>VLOOKUP(D1535,상품정보!$A$2:$E$61,2,FALSE)</f>
        <v>셔츠</v>
      </c>
      <c r="Q1535" t="str">
        <f>VLOOKUP(D1535,상품정보!$A$2:$D$151,3,FALSE)</f>
        <v>의류</v>
      </c>
      <c r="R1535" t="str">
        <f>VLOOKUP(D1535,상품정보!$A$2:$D$151,4,FALSE)</f>
        <v>브랜드D</v>
      </c>
    </row>
    <row r="1536" spans="1:18" x14ac:dyDescent="0.45">
      <c r="A1536" t="s">
        <v>233</v>
      </c>
      <c r="B1536" t="s">
        <v>1935</v>
      </c>
      <c r="C1536" t="s">
        <v>2544</v>
      </c>
      <c r="D1536" t="s">
        <v>2556</v>
      </c>
      <c r="E1536">
        <v>3</v>
      </c>
      <c r="F1536">
        <v>70100</v>
      </c>
      <c r="G1536">
        <v>0</v>
      </c>
      <c r="H1536">
        <v>0</v>
      </c>
      <c r="I1536" t="s">
        <v>2652</v>
      </c>
      <c r="J1536" s="4">
        <f t="shared" si="69"/>
        <v>210300</v>
      </c>
      <c r="K1536" s="4" t="str">
        <f t="shared" si="70"/>
        <v>2024-07</v>
      </c>
      <c r="L1536" s="4" t="str">
        <f t="shared" si="71"/>
        <v>토</v>
      </c>
      <c r="M1536" s="2" t="str">
        <f>VLOOKUP($C1536, 고객정보!$A$2:$E$151, 2, FALSE)</f>
        <v>서울</v>
      </c>
      <c r="N1536" t="str">
        <f>VLOOKUP(C1536,고객정보!$A$2:$D$151,4,FALSE)</f>
        <v>L5</v>
      </c>
      <c r="O1536" t="str">
        <f>VLOOKUP($C1536, 고객정보!$A$2:$E$151, 5, FALSE)</f>
        <v>40대</v>
      </c>
      <c r="P1536" t="str">
        <f>VLOOKUP(D1536,상품정보!$A$2:$E$61,2,FALSE)</f>
        <v>핸드폰케이스</v>
      </c>
      <c r="Q1536" t="str">
        <f>VLOOKUP(D1536,상품정보!$A$2:$D$151,3,FALSE)</f>
        <v>액세서리</v>
      </c>
      <c r="R1536" t="str">
        <f>VLOOKUP(D1536,상품정보!$A$2:$D$151,4,FALSE)</f>
        <v>브랜드F</v>
      </c>
    </row>
    <row r="1537" spans="1:18" x14ac:dyDescent="0.45">
      <c r="A1537" t="s">
        <v>186</v>
      </c>
      <c r="B1537" t="s">
        <v>1936</v>
      </c>
      <c r="C1537" t="s">
        <v>2524</v>
      </c>
      <c r="D1537" t="s">
        <v>2605</v>
      </c>
      <c r="E1537">
        <v>2</v>
      </c>
      <c r="F1537">
        <v>6800</v>
      </c>
      <c r="G1537">
        <v>1500</v>
      </c>
      <c r="H1537">
        <v>0</v>
      </c>
      <c r="I1537" t="s">
        <v>2652</v>
      </c>
      <c r="J1537" s="4">
        <f t="shared" si="69"/>
        <v>15100</v>
      </c>
      <c r="K1537" s="4" t="str">
        <f t="shared" si="70"/>
        <v>2024-06</v>
      </c>
      <c r="L1537" s="4" t="str">
        <f t="shared" si="71"/>
        <v>화</v>
      </c>
      <c r="M1537" s="2" t="str">
        <f>VLOOKUP($C1537, 고객정보!$A$2:$E$151, 2, FALSE)</f>
        <v>서울</v>
      </c>
      <c r="N1537" t="str">
        <f>VLOOKUP(C1537,고객정보!$A$2:$D$151,4,FALSE)</f>
        <v>L5</v>
      </c>
      <c r="O1537" t="str">
        <f>VLOOKUP($C1537, 고객정보!$A$2:$E$151, 5, FALSE)</f>
        <v>10대</v>
      </c>
      <c r="P1537" t="str">
        <f>VLOOKUP(D1537,상품정보!$A$2:$E$61,2,FALSE)</f>
        <v>핸드폰케이스</v>
      </c>
      <c r="Q1537" t="str">
        <f>VLOOKUP(D1537,상품정보!$A$2:$D$151,3,FALSE)</f>
        <v>액세서리</v>
      </c>
      <c r="R1537" t="str">
        <f>VLOOKUP(D1537,상품정보!$A$2:$D$151,4,FALSE)</f>
        <v>브랜드D</v>
      </c>
    </row>
    <row r="1538" spans="1:18" x14ac:dyDescent="0.45">
      <c r="A1538" t="s">
        <v>171</v>
      </c>
      <c r="B1538" t="s">
        <v>1937</v>
      </c>
      <c r="C1538" t="s">
        <v>2435</v>
      </c>
      <c r="D1538" t="s">
        <v>2594</v>
      </c>
      <c r="E1538">
        <v>5</v>
      </c>
      <c r="F1538">
        <v>73000</v>
      </c>
      <c r="G1538">
        <v>1000</v>
      </c>
      <c r="H1538">
        <v>0</v>
      </c>
      <c r="I1538" t="s">
        <v>2652</v>
      </c>
      <c r="J1538" s="4">
        <f t="shared" si="69"/>
        <v>366000</v>
      </c>
      <c r="K1538" s="4" t="str">
        <f t="shared" si="70"/>
        <v>2025-01</v>
      </c>
      <c r="L1538" s="4" t="str">
        <f t="shared" si="71"/>
        <v>목</v>
      </c>
      <c r="M1538" s="2" t="str">
        <f>VLOOKUP($C1538, 고객정보!$A$2:$E$151, 2, FALSE)</f>
        <v>인천</v>
      </c>
      <c r="N1538" t="str">
        <f>VLOOKUP(C1538,고객정보!$A$2:$D$151,4,FALSE)</f>
        <v>L5</v>
      </c>
      <c r="O1538" t="str">
        <f>VLOOKUP($C1538, 고객정보!$A$2:$E$151, 5, FALSE)</f>
        <v>30대</v>
      </c>
      <c r="P1538" t="str">
        <f>VLOOKUP(D1538,상품정보!$A$2:$E$61,2,FALSE)</f>
        <v>자켓</v>
      </c>
      <c r="Q1538" t="str">
        <f>VLOOKUP(D1538,상품정보!$A$2:$D$151,3,FALSE)</f>
        <v>의류</v>
      </c>
      <c r="R1538" t="str">
        <f>VLOOKUP(D1538,상품정보!$A$2:$D$151,4,FALSE)</f>
        <v>브랜드A</v>
      </c>
    </row>
    <row r="1539" spans="1:18" x14ac:dyDescent="0.45">
      <c r="A1539" t="s">
        <v>105</v>
      </c>
      <c r="B1539" t="s">
        <v>1938</v>
      </c>
      <c r="C1539" t="s">
        <v>2525</v>
      </c>
      <c r="D1539" t="s">
        <v>2603</v>
      </c>
      <c r="E1539">
        <v>3</v>
      </c>
      <c r="F1539">
        <v>8200</v>
      </c>
      <c r="G1539">
        <v>500</v>
      </c>
      <c r="H1539">
        <v>0</v>
      </c>
      <c r="I1539" t="s">
        <v>2652</v>
      </c>
      <c r="J1539" s="4">
        <f t="shared" ref="J1539:J1602" si="72">E1539*F1539+G1539-H1539</f>
        <v>25100</v>
      </c>
      <c r="K1539" s="4" t="str">
        <f t="shared" ref="K1539:K1602" si="73">LEFT(A1539,7)</f>
        <v>2024-08</v>
      </c>
      <c r="L1539" s="4" t="str">
        <f t="shared" ref="L1539:L1602" si="74">TEXT(WEEKDAY(A1539),"aaa")</f>
        <v>수</v>
      </c>
      <c r="M1539" s="2" t="str">
        <f>VLOOKUP($C1539, 고객정보!$A$2:$E$151, 2, FALSE)</f>
        <v>수원</v>
      </c>
      <c r="N1539" t="str">
        <f>VLOOKUP(C1539,고객정보!$A$2:$D$151,4,FALSE)</f>
        <v>L4</v>
      </c>
      <c r="O1539" t="str">
        <f>VLOOKUP($C1539, 고객정보!$A$2:$E$151, 5, FALSE)</f>
        <v>20대</v>
      </c>
      <c r="P1539" t="str">
        <f>VLOOKUP(D1539,상품정보!$A$2:$E$61,2,FALSE)</f>
        <v>목걸이</v>
      </c>
      <c r="Q1539" t="str">
        <f>VLOOKUP(D1539,상품정보!$A$2:$D$151,3,FALSE)</f>
        <v>액세서리</v>
      </c>
      <c r="R1539" t="str">
        <f>VLOOKUP(D1539,상품정보!$A$2:$D$151,4,FALSE)</f>
        <v>브랜드E</v>
      </c>
    </row>
    <row r="1540" spans="1:18" x14ac:dyDescent="0.45">
      <c r="A1540" t="s">
        <v>56</v>
      </c>
      <c r="B1540" t="s">
        <v>1939</v>
      </c>
      <c r="C1540" t="s">
        <v>2445</v>
      </c>
      <c r="D1540" t="s">
        <v>2594</v>
      </c>
      <c r="E1540">
        <v>4</v>
      </c>
      <c r="F1540">
        <v>73000</v>
      </c>
      <c r="G1540">
        <v>0</v>
      </c>
      <c r="H1540">
        <v>0</v>
      </c>
      <c r="I1540" t="s">
        <v>2652</v>
      </c>
      <c r="J1540" s="4">
        <f t="shared" si="72"/>
        <v>292000</v>
      </c>
      <c r="K1540" s="4" t="str">
        <f t="shared" si="73"/>
        <v>2025-01</v>
      </c>
      <c r="L1540" s="4" t="str">
        <f t="shared" si="74"/>
        <v>화</v>
      </c>
      <c r="M1540" s="2" t="str">
        <f>VLOOKUP($C1540, 고객정보!$A$2:$E$151, 2, FALSE)</f>
        <v>대구</v>
      </c>
      <c r="N1540" t="str">
        <f>VLOOKUP(C1540,고객정보!$A$2:$D$151,4,FALSE)</f>
        <v>L3</v>
      </c>
      <c r="O1540" t="str">
        <f>VLOOKUP($C1540, 고객정보!$A$2:$E$151, 5, FALSE)</f>
        <v>10대</v>
      </c>
      <c r="P1540" t="str">
        <f>VLOOKUP(D1540,상품정보!$A$2:$E$61,2,FALSE)</f>
        <v>자켓</v>
      </c>
      <c r="Q1540" t="str">
        <f>VLOOKUP(D1540,상품정보!$A$2:$D$151,3,FALSE)</f>
        <v>의류</v>
      </c>
      <c r="R1540" t="str">
        <f>VLOOKUP(D1540,상품정보!$A$2:$D$151,4,FALSE)</f>
        <v>브랜드A</v>
      </c>
    </row>
    <row r="1541" spans="1:18" x14ac:dyDescent="0.45">
      <c r="A1541" t="s">
        <v>135</v>
      </c>
      <c r="B1541" t="s">
        <v>1940</v>
      </c>
      <c r="C1541" t="s">
        <v>2466</v>
      </c>
      <c r="D1541" t="s">
        <v>2600</v>
      </c>
      <c r="E1541">
        <v>1</v>
      </c>
      <c r="F1541">
        <v>10900</v>
      </c>
      <c r="G1541">
        <v>500</v>
      </c>
      <c r="H1541">
        <v>0</v>
      </c>
      <c r="I1541" t="s">
        <v>2652</v>
      </c>
      <c r="J1541" s="4">
        <f t="shared" si="72"/>
        <v>11400</v>
      </c>
      <c r="K1541" s="4" t="str">
        <f t="shared" si="73"/>
        <v>2025-01</v>
      </c>
      <c r="L1541" s="4" t="str">
        <f t="shared" si="74"/>
        <v>월</v>
      </c>
      <c r="M1541" s="2" t="str">
        <f>VLOOKUP($C1541, 고객정보!$A$2:$E$151, 2, FALSE)</f>
        <v>부산</v>
      </c>
      <c r="N1541" t="str">
        <f>VLOOKUP(C1541,고객정보!$A$2:$D$151,4,FALSE)</f>
        <v>L2</v>
      </c>
      <c r="O1541" t="str">
        <f>VLOOKUP($C1541, 고객정보!$A$2:$E$151, 5, FALSE)</f>
        <v>50대 이상</v>
      </c>
      <c r="P1541" t="str">
        <f>VLOOKUP(D1541,상품정보!$A$2:$E$61,2,FALSE)</f>
        <v>셔츠</v>
      </c>
      <c r="Q1541" t="str">
        <f>VLOOKUP(D1541,상품정보!$A$2:$D$151,3,FALSE)</f>
        <v>의류</v>
      </c>
      <c r="R1541" t="str">
        <f>VLOOKUP(D1541,상품정보!$A$2:$D$151,4,FALSE)</f>
        <v>브랜드E</v>
      </c>
    </row>
    <row r="1542" spans="1:18" x14ac:dyDescent="0.45">
      <c r="A1542" t="s">
        <v>40</v>
      </c>
      <c r="B1542" t="s">
        <v>1941</v>
      </c>
      <c r="C1542" t="s">
        <v>2491</v>
      </c>
      <c r="D1542" t="s">
        <v>2570</v>
      </c>
      <c r="E1542">
        <v>3</v>
      </c>
      <c r="F1542">
        <v>73900</v>
      </c>
      <c r="G1542">
        <v>500</v>
      </c>
      <c r="H1542">
        <v>900</v>
      </c>
      <c r="I1542" t="s">
        <v>2611</v>
      </c>
      <c r="J1542" s="4">
        <f t="shared" si="72"/>
        <v>221300</v>
      </c>
      <c r="K1542" s="4" t="str">
        <f t="shared" si="73"/>
        <v>2024-11</v>
      </c>
      <c r="L1542" s="4" t="str">
        <f t="shared" si="74"/>
        <v>금</v>
      </c>
      <c r="M1542" s="2" t="str">
        <f>VLOOKUP($C1542, 고객정보!$A$2:$E$151, 2, FALSE)</f>
        <v>서울</v>
      </c>
      <c r="N1542" t="str">
        <f>VLOOKUP(C1542,고객정보!$A$2:$D$151,4,FALSE)</f>
        <v>L5</v>
      </c>
      <c r="O1542" t="str">
        <f>VLOOKUP($C1542, 고객정보!$A$2:$E$151, 5, FALSE)</f>
        <v>30대</v>
      </c>
      <c r="P1542" t="str">
        <f>VLOOKUP(D1542,상품정보!$A$2:$E$61,2,FALSE)</f>
        <v>반지</v>
      </c>
      <c r="Q1542" t="str">
        <f>VLOOKUP(D1542,상품정보!$A$2:$D$151,3,FALSE)</f>
        <v>액세서리</v>
      </c>
      <c r="R1542" t="str">
        <f>VLOOKUP(D1542,상품정보!$A$2:$D$151,4,FALSE)</f>
        <v>브랜드B</v>
      </c>
    </row>
    <row r="1543" spans="1:18" x14ac:dyDescent="0.45">
      <c r="A1543" t="s">
        <v>116</v>
      </c>
      <c r="B1543" t="s">
        <v>1942</v>
      </c>
      <c r="C1543" t="s">
        <v>2405</v>
      </c>
      <c r="D1543" t="s">
        <v>2577</v>
      </c>
      <c r="E1543">
        <v>1</v>
      </c>
      <c r="F1543">
        <v>10200</v>
      </c>
      <c r="G1543">
        <v>0</v>
      </c>
      <c r="H1543">
        <v>0</v>
      </c>
      <c r="I1543" t="s">
        <v>2652</v>
      </c>
      <c r="J1543" s="4">
        <f t="shared" si="72"/>
        <v>10200</v>
      </c>
      <c r="K1543" s="4" t="str">
        <f t="shared" si="73"/>
        <v>2024-10</v>
      </c>
      <c r="L1543" s="4" t="str">
        <f t="shared" si="74"/>
        <v>월</v>
      </c>
      <c r="M1543" s="2" t="str">
        <f>VLOOKUP($C1543, 고객정보!$A$2:$E$151, 2, FALSE)</f>
        <v>부산</v>
      </c>
      <c r="N1543" t="str">
        <f>VLOOKUP(C1543,고객정보!$A$2:$D$151,4,FALSE)</f>
        <v>L3</v>
      </c>
      <c r="O1543" t="str">
        <f>VLOOKUP($C1543, 고객정보!$A$2:$E$151, 5, FALSE)</f>
        <v>40대</v>
      </c>
      <c r="P1543" t="str">
        <f>VLOOKUP(D1543,상품정보!$A$2:$E$61,2,FALSE)</f>
        <v>셔츠</v>
      </c>
      <c r="Q1543" t="str">
        <f>VLOOKUP(D1543,상품정보!$A$2:$D$151,3,FALSE)</f>
        <v>의류</v>
      </c>
      <c r="R1543" t="str">
        <f>VLOOKUP(D1543,상품정보!$A$2:$D$151,4,FALSE)</f>
        <v>브랜드C</v>
      </c>
    </row>
    <row r="1544" spans="1:18" x14ac:dyDescent="0.45">
      <c r="A1544" t="s">
        <v>95</v>
      </c>
      <c r="B1544" t="s">
        <v>1943</v>
      </c>
      <c r="C1544" t="s">
        <v>2440</v>
      </c>
      <c r="D1544" t="s">
        <v>2555</v>
      </c>
      <c r="E1544">
        <v>4</v>
      </c>
      <c r="F1544">
        <v>8300</v>
      </c>
      <c r="G1544">
        <v>500</v>
      </c>
      <c r="H1544">
        <v>0</v>
      </c>
      <c r="I1544" t="s">
        <v>2652</v>
      </c>
      <c r="J1544" s="4">
        <f t="shared" si="72"/>
        <v>33700</v>
      </c>
      <c r="K1544" s="4" t="str">
        <f t="shared" si="73"/>
        <v>2024-10</v>
      </c>
      <c r="L1544" s="4" t="str">
        <f t="shared" si="74"/>
        <v>월</v>
      </c>
      <c r="M1544" s="2" t="str">
        <f>VLOOKUP($C1544, 고객정보!$A$2:$E$151, 2, FALSE)</f>
        <v>대구</v>
      </c>
      <c r="N1544" t="str">
        <f>VLOOKUP(C1544,고객정보!$A$2:$D$151,4,FALSE)</f>
        <v>L2</v>
      </c>
      <c r="O1544" t="str">
        <f>VLOOKUP($C1544, 고객정보!$A$2:$E$151, 5, FALSE)</f>
        <v>10대</v>
      </c>
      <c r="P1544" t="str">
        <f>VLOOKUP(D1544,상품정보!$A$2:$E$61,2,FALSE)</f>
        <v>청바지</v>
      </c>
      <c r="Q1544" t="str">
        <f>VLOOKUP(D1544,상품정보!$A$2:$D$151,3,FALSE)</f>
        <v>의류</v>
      </c>
      <c r="R1544" t="str">
        <f>VLOOKUP(D1544,상품정보!$A$2:$D$151,4,FALSE)</f>
        <v>브랜드E</v>
      </c>
    </row>
    <row r="1545" spans="1:18" x14ac:dyDescent="0.45">
      <c r="A1545" t="s">
        <v>102</v>
      </c>
      <c r="B1545" t="s">
        <v>1944</v>
      </c>
      <c r="C1545" t="s">
        <v>2485</v>
      </c>
      <c r="D1545" t="s">
        <v>2575</v>
      </c>
      <c r="E1545">
        <v>2</v>
      </c>
      <c r="F1545">
        <v>7200</v>
      </c>
      <c r="G1545">
        <v>500</v>
      </c>
      <c r="H1545">
        <v>0</v>
      </c>
      <c r="I1545" t="s">
        <v>2652</v>
      </c>
      <c r="J1545" s="4">
        <f t="shared" si="72"/>
        <v>14900</v>
      </c>
      <c r="K1545" s="4" t="str">
        <f t="shared" si="73"/>
        <v>2024-03</v>
      </c>
      <c r="L1545" s="4" t="str">
        <f t="shared" si="74"/>
        <v>일</v>
      </c>
      <c r="M1545" s="2" t="str">
        <f>VLOOKUP($C1545, 고객정보!$A$2:$E$151, 2, FALSE)</f>
        <v>서울</v>
      </c>
      <c r="N1545" t="str">
        <f>VLOOKUP(C1545,고객정보!$A$2:$D$151,4,FALSE)</f>
        <v>L4</v>
      </c>
      <c r="O1545" t="str">
        <f>VLOOKUP($C1545, 고객정보!$A$2:$E$151, 5, FALSE)</f>
        <v>40대</v>
      </c>
      <c r="P1545" t="str">
        <f>VLOOKUP(D1545,상품정보!$A$2:$E$61,2,FALSE)</f>
        <v>반지</v>
      </c>
      <c r="Q1545" t="str">
        <f>VLOOKUP(D1545,상품정보!$A$2:$D$151,3,FALSE)</f>
        <v>액세서리</v>
      </c>
      <c r="R1545" t="str">
        <f>VLOOKUP(D1545,상품정보!$A$2:$D$151,4,FALSE)</f>
        <v>브랜드E</v>
      </c>
    </row>
    <row r="1546" spans="1:18" x14ac:dyDescent="0.45">
      <c r="A1546" t="s">
        <v>30</v>
      </c>
      <c r="B1546" t="s">
        <v>1945</v>
      </c>
      <c r="C1546" t="s">
        <v>2549</v>
      </c>
      <c r="D1546" t="s">
        <v>2569</v>
      </c>
      <c r="E1546">
        <v>4</v>
      </c>
      <c r="F1546">
        <v>11400</v>
      </c>
      <c r="G1546">
        <v>1500</v>
      </c>
      <c r="H1546">
        <v>6500</v>
      </c>
      <c r="I1546" t="s">
        <v>2613</v>
      </c>
      <c r="J1546" s="4">
        <f t="shared" si="72"/>
        <v>40600</v>
      </c>
      <c r="K1546" s="4" t="str">
        <f t="shared" si="73"/>
        <v>2024-04</v>
      </c>
      <c r="L1546" s="4" t="str">
        <f t="shared" si="74"/>
        <v>월</v>
      </c>
      <c r="M1546" s="2" t="str">
        <f>VLOOKUP($C1546, 고객정보!$A$2:$E$151, 2, FALSE)</f>
        <v>서울</v>
      </c>
      <c r="N1546" t="str">
        <f>VLOOKUP(C1546,고객정보!$A$2:$D$151,4,FALSE)</f>
        <v>L2</v>
      </c>
      <c r="O1546" t="str">
        <f>VLOOKUP($C1546, 고객정보!$A$2:$E$151, 5, FALSE)</f>
        <v>40대</v>
      </c>
      <c r="P1546" t="str">
        <f>VLOOKUP(D1546,상품정보!$A$2:$E$61,2,FALSE)</f>
        <v>귀걸이</v>
      </c>
      <c r="Q1546" t="str">
        <f>VLOOKUP(D1546,상품정보!$A$2:$D$151,3,FALSE)</f>
        <v>액세서리</v>
      </c>
      <c r="R1546" t="str">
        <f>VLOOKUP(D1546,상품정보!$A$2:$D$151,4,FALSE)</f>
        <v>브랜드E</v>
      </c>
    </row>
    <row r="1547" spans="1:18" x14ac:dyDescent="0.45">
      <c r="A1547" t="s">
        <v>195</v>
      </c>
      <c r="B1547" t="s">
        <v>1946</v>
      </c>
      <c r="C1547" t="s">
        <v>2428</v>
      </c>
      <c r="D1547" t="s">
        <v>2553</v>
      </c>
      <c r="E1547">
        <v>4</v>
      </c>
      <c r="F1547">
        <v>63400</v>
      </c>
      <c r="G1547">
        <v>0</v>
      </c>
      <c r="H1547">
        <v>0</v>
      </c>
      <c r="I1547" t="s">
        <v>2652</v>
      </c>
      <c r="J1547" s="4">
        <f t="shared" si="72"/>
        <v>253600</v>
      </c>
      <c r="K1547" s="4" t="str">
        <f t="shared" si="73"/>
        <v>2024-11</v>
      </c>
      <c r="L1547" s="4" t="str">
        <f t="shared" si="74"/>
        <v>토</v>
      </c>
      <c r="M1547" s="2" t="str">
        <f>VLOOKUP($C1547, 고객정보!$A$2:$E$151, 2, FALSE)</f>
        <v>광주</v>
      </c>
      <c r="N1547" t="str">
        <f>VLOOKUP(C1547,고객정보!$A$2:$D$151,4,FALSE)</f>
        <v>L4</v>
      </c>
      <c r="O1547" t="str">
        <f>VLOOKUP($C1547, 고객정보!$A$2:$E$151, 5, FALSE)</f>
        <v>10대</v>
      </c>
      <c r="P1547" t="str">
        <f>VLOOKUP(D1547,상품정보!$A$2:$E$61,2,FALSE)</f>
        <v>귀걸이</v>
      </c>
      <c r="Q1547" t="str">
        <f>VLOOKUP(D1547,상품정보!$A$2:$D$151,3,FALSE)</f>
        <v>액세서리</v>
      </c>
      <c r="R1547" t="str">
        <f>VLOOKUP(D1547,상품정보!$A$2:$D$151,4,FALSE)</f>
        <v>브랜드F</v>
      </c>
    </row>
    <row r="1548" spans="1:18" x14ac:dyDescent="0.45">
      <c r="A1548" t="s">
        <v>224</v>
      </c>
      <c r="B1548" t="s">
        <v>1947</v>
      </c>
      <c r="C1548" t="s">
        <v>2509</v>
      </c>
      <c r="D1548" t="s">
        <v>2578</v>
      </c>
      <c r="E1548">
        <v>5</v>
      </c>
      <c r="F1548">
        <v>78000</v>
      </c>
      <c r="G1548">
        <v>2000</v>
      </c>
      <c r="H1548">
        <v>1800</v>
      </c>
      <c r="I1548" t="s">
        <v>2612</v>
      </c>
      <c r="J1548" s="4">
        <f t="shared" si="72"/>
        <v>390200</v>
      </c>
      <c r="K1548" s="4" t="str">
        <f t="shared" si="73"/>
        <v>2024-12</v>
      </c>
      <c r="L1548" s="4" t="str">
        <f t="shared" si="74"/>
        <v>토</v>
      </c>
      <c r="M1548" s="2" t="str">
        <f>VLOOKUP($C1548, 고객정보!$A$2:$E$151, 2, FALSE)</f>
        <v>서울</v>
      </c>
      <c r="N1548" t="str">
        <f>VLOOKUP(C1548,고객정보!$A$2:$D$151,4,FALSE)</f>
        <v>L4</v>
      </c>
      <c r="O1548" t="str">
        <f>VLOOKUP($C1548, 고객정보!$A$2:$E$151, 5, FALSE)</f>
        <v>40대</v>
      </c>
      <c r="P1548" t="str">
        <f>VLOOKUP(D1548,상품정보!$A$2:$E$61,2,FALSE)</f>
        <v>귀걸이</v>
      </c>
      <c r="Q1548" t="str">
        <f>VLOOKUP(D1548,상품정보!$A$2:$D$151,3,FALSE)</f>
        <v>액세서리</v>
      </c>
      <c r="R1548" t="str">
        <f>VLOOKUP(D1548,상품정보!$A$2:$D$151,4,FALSE)</f>
        <v>브랜드B</v>
      </c>
    </row>
    <row r="1549" spans="1:18" x14ac:dyDescent="0.45">
      <c r="A1549" t="s">
        <v>164</v>
      </c>
      <c r="B1549" t="s">
        <v>1948</v>
      </c>
      <c r="C1549" t="s">
        <v>2423</v>
      </c>
      <c r="D1549" t="s">
        <v>2595</v>
      </c>
      <c r="E1549">
        <v>5</v>
      </c>
      <c r="F1549">
        <v>12700</v>
      </c>
      <c r="G1549">
        <v>1000</v>
      </c>
      <c r="H1549">
        <v>0</v>
      </c>
      <c r="I1549" t="s">
        <v>2652</v>
      </c>
      <c r="J1549" s="4">
        <f t="shared" si="72"/>
        <v>64500</v>
      </c>
      <c r="K1549" s="4" t="str">
        <f t="shared" si="73"/>
        <v>2024-05</v>
      </c>
      <c r="L1549" s="4" t="str">
        <f t="shared" si="74"/>
        <v>금</v>
      </c>
      <c r="M1549" s="2" t="str">
        <f>VLOOKUP($C1549, 고객정보!$A$2:$E$151, 2, FALSE)</f>
        <v>수원</v>
      </c>
      <c r="N1549" t="str">
        <f>VLOOKUP(C1549,고객정보!$A$2:$D$151,4,FALSE)</f>
        <v>L5</v>
      </c>
      <c r="O1549" t="str">
        <f>VLOOKUP($C1549, 고객정보!$A$2:$E$151, 5, FALSE)</f>
        <v>30대</v>
      </c>
      <c r="P1549" t="str">
        <f>VLOOKUP(D1549,상품정보!$A$2:$E$61,2,FALSE)</f>
        <v>반지</v>
      </c>
      <c r="Q1549" t="str">
        <f>VLOOKUP(D1549,상품정보!$A$2:$D$151,3,FALSE)</f>
        <v>액세서리</v>
      </c>
      <c r="R1549" t="str">
        <f>VLOOKUP(D1549,상품정보!$A$2:$D$151,4,FALSE)</f>
        <v>브랜드C</v>
      </c>
    </row>
    <row r="1550" spans="1:18" x14ac:dyDescent="0.45">
      <c r="A1550" t="s">
        <v>69</v>
      </c>
      <c r="B1550" t="s">
        <v>1949</v>
      </c>
      <c r="C1550" t="s">
        <v>2524</v>
      </c>
      <c r="D1550" t="s">
        <v>2555</v>
      </c>
      <c r="E1550">
        <v>1</v>
      </c>
      <c r="F1550">
        <v>8300</v>
      </c>
      <c r="G1550">
        <v>0</v>
      </c>
      <c r="H1550">
        <v>0</v>
      </c>
      <c r="I1550" t="s">
        <v>2652</v>
      </c>
      <c r="J1550" s="4">
        <f t="shared" si="72"/>
        <v>8300</v>
      </c>
      <c r="K1550" s="4" t="str">
        <f t="shared" si="73"/>
        <v>2024-04</v>
      </c>
      <c r="L1550" s="4" t="str">
        <f t="shared" si="74"/>
        <v>수</v>
      </c>
      <c r="M1550" s="2" t="str">
        <f>VLOOKUP($C1550, 고객정보!$A$2:$E$151, 2, FALSE)</f>
        <v>서울</v>
      </c>
      <c r="N1550" t="str">
        <f>VLOOKUP(C1550,고객정보!$A$2:$D$151,4,FALSE)</f>
        <v>L5</v>
      </c>
      <c r="O1550" t="str">
        <f>VLOOKUP($C1550, 고객정보!$A$2:$E$151, 5, FALSE)</f>
        <v>10대</v>
      </c>
      <c r="P1550" t="str">
        <f>VLOOKUP(D1550,상품정보!$A$2:$E$61,2,FALSE)</f>
        <v>청바지</v>
      </c>
      <c r="Q1550" t="str">
        <f>VLOOKUP(D1550,상품정보!$A$2:$D$151,3,FALSE)</f>
        <v>의류</v>
      </c>
      <c r="R1550" t="str">
        <f>VLOOKUP(D1550,상품정보!$A$2:$D$151,4,FALSE)</f>
        <v>브랜드E</v>
      </c>
    </row>
    <row r="1551" spans="1:18" x14ac:dyDescent="0.45">
      <c r="A1551" t="s">
        <v>376</v>
      </c>
      <c r="B1551" t="s">
        <v>1950</v>
      </c>
      <c r="C1551" t="s">
        <v>2525</v>
      </c>
      <c r="D1551" t="s">
        <v>2595</v>
      </c>
      <c r="E1551">
        <v>1</v>
      </c>
      <c r="F1551">
        <v>12700</v>
      </c>
      <c r="G1551">
        <v>1500</v>
      </c>
      <c r="H1551">
        <v>0</v>
      </c>
      <c r="I1551" t="s">
        <v>2652</v>
      </c>
      <c r="J1551" s="4">
        <f t="shared" si="72"/>
        <v>14200</v>
      </c>
      <c r="K1551" s="4" t="str">
        <f t="shared" si="73"/>
        <v>2024-11</v>
      </c>
      <c r="L1551" s="4" t="str">
        <f t="shared" si="74"/>
        <v>금</v>
      </c>
      <c r="M1551" s="2" t="str">
        <f>VLOOKUP($C1551, 고객정보!$A$2:$E$151, 2, FALSE)</f>
        <v>수원</v>
      </c>
      <c r="N1551" t="str">
        <f>VLOOKUP(C1551,고객정보!$A$2:$D$151,4,FALSE)</f>
        <v>L4</v>
      </c>
      <c r="O1551" t="str">
        <f>VLOOKUP($C1551, 고객정보!$A$2:$E$151, 5, FALSE)</f>
        <v>20대</v>
      </c>
      <c r="P1551" t="str">
        <f>VLOOKUP(D1551,상품정보!$A$2:$E$61,2,FALSE)</f>
        <v>반지</v>
      </c>
      <c r="Q1551" t="str">
        <f>VLOOKUP(D1551,상품정보!$A$2:$D$151,3,FALSE)</f>
        <v>액세서리</v>
      </c>
      <c r="R1551" t="str">
        <f>VLOOKUP(D1551,상품정보!$A$2:$D$151,4,FALSE)</f>
        <v>브랜드C</v>
      </c>
    </row>
    <row r="1552" spans="1:18" x14ac:dyDescent="0.45">
      <c r="A1552" t="s">
        <v>145</v>
      </c>
      <c r="B1552" t="s">
        <v>1951</v>
      </c>
      <c r="C1552" t="s">
        <v>2462</v>
      </c>
      <c r="D1552" t="s">
        <v>2598</v>
      </c>
      <c r="E1552">
        <v>4</v>
      </c>
      <c r="F1552">
        <v>77300</v>
      </c>
      <c r="G1552">
        <v>500</v>
      </c>
      <c r="H1552">
        <v>26500</v>
      </c>
      <c r="I1552" t="s">
        <v>2613</v>
      </c>
      <c r="J1552" s="4">
        <f t="shared" si="72"/>
        <v>283200</v>
      </c>
      <c r="K1552" s="4" t="str">
        <f t="shared" si="73"/>
        <v>2024-05</v>
      </c>
      <c r="L1552" s="4" t="str">
        <f t="shared" si="74"/>
        <v>일</v>
      </c>
      <c r="M1552" s="2" t="str">
        <f>VLOOKUP($C1552, 고객정보!$A$2:$E$151, 2, FALSE)</f>
        <v>광주</v>
      </c>
      <c r="N1552" t="str">
        <f>VLOOKUP(C1552,고객정보!$A$2:$D$151,4,FALSE)</f>
        <v>L5</v>
      </c>
      <c r="O1552" t="str">
        <f>VLOOKUP($C1552, 고객정보!$A$2:$E$151, 5, FALSE)</f>
        <v>50대 이상</v>
      </c>
      <c r="P1552" t="str">
        <f>VLOOKUP(D1552,상품정보!$A$2:$E$61,2,FALSE)</f>
        <v>청바지</v>
      </c>
      <c r="Q1552" t="str">
        <f>VLOOKUP(D1552,상품정보!$A$2:$D$151,3,FALSE)</f>
        <v>의류</v>
      </c>
      <c r="R1552" t="str">
        <f>VLOOKUP(D1552,상품정보!$A$2:$D$151,4,FALSE)</f>
        <v>브랜드F</v>
      </c>
    </row>
    <row r="1553" spans="1:18" x14ac:dyDescent="0.45">
      <c r="A1553" t="s">
        <v>285</v>
      </c>
      <c r="B1553" t="s">
        <v>1952</v>
      </c>
      <c r="C1553" t="s">
        <v>2510</v>
      </c>
      <c r="D1553" t="s">
        <v>2555</v>
      </c>
      <c r="E1553">
        <v>3</v>
      </c>
      <c r="F1553">
        <v>8300</v>
      </c>
      <c r="G1553">
        <v>1000</v>
      </c>
      <c r="H1553">
        <v>0</v>
      </c>
      <c r="I1553" t="s">
        <v>2652</v>
      </c>
      <c r="J1553" s="4">
        <f t="shared" si="72"/>
        <v>25900</v>
      </c>
      <c r="K1553" s="4" t="str">
        <f t="shared" si="73"/>
        <v>2024-01</v>
      </c>
      <c r="L1553" s="4" t="str">
        <f t="shared" si="74"/>
        <v>수</v>
      </c>
      <c r="M1553" s="2" t="str">
        <f>VLOOKUP($C1553, 고객정보!$A$2:$E$151, 2, FALSE)</f>
        <v>부산</v>
      </c>
      <c r="N1553" t="str">
        <f>VLOOKUP(C1553,고객정보!$A$2:$D$151,4,FALSE)</f>
        <v>L3</v>
      </c>
      <c r="O1553" t="str">
        <f>VLOOKUP($C1553, 고객정보!$A$2:$E$151, 5, FALSE)</f>
        <v>20대</v>
      </c>
      <c r="P1553" t="str">
        <f>VLOOKUP(D1553,상품정보!$A$2:$E$61,2,FALSE)</f>
        <v>청바지</v>
      </c>
      <c r="Q1553" t="str">
        <f>VLOOKUP(D1553,상품정보!$A$2:$D$151,3,FALSE)</f>
        <v>의류</v>
      </c>
      <c r="R1553" t="str">
        <f>VLOOKUP(D1553,상품정보!$A$2:$D$151,4,FALSE)</f>
        <v>브랜드E</v>
      </c>
    </row>
    <row r="1554" spans="1:18" x14ac:dyDescent="0.45">
      <c r="A1554" t="s">
        <v>392</v>
      </c>
      <c r="B1554" t="s">
        <v>1953</v>
      </c>
      <c r="C1554" t="s">
        <v>2474</v>
      </c>
      <c r="D1554" t="s">
        <v>2596</v>
      </c>
      <c r="E1554">
        <v>5</v>
      </c>
      <c r="F1554">
        <v>59700</v>
      </c>
      <c r="G1554">
        <v>1500</v>
      </c>
      <c r="H1554">
        <v>14100</v>
      </c>
      <c r="I1554" t="s">
        <v>2613</v>
      </c>
      <c r="J1554" s="4">
        <f t="shared" si="72"/>
        <v>285900</v>
      </c>
      <c r="K1554" s="4" t="str">
        <f t="shared" si="73"/>
        <v>2024-01</v>
      </c>
      <c r="L1554" s="4" t="str">
        <f t="shared" si="74"/>
        <v>금</v>
      </c>
      <c r="M1554" s="2" t="str">
        <f>VLOOKUP($C1554, 고객정보!$A$2:$E$151, 2, FALSE)</f>
        <v>인천</v>
      </c>
      <c r="N1554" t="str">
        <f>VLOOKUP(C1554,고객정보!$A$2:$D$151,4,FALSE)</f>
        <v>L2</v>
      </c>
      <c r="O1554" t="str">
        <f>VLOOKUP($C1554, 고객정보!$A$2:$E$151, 5, FALSE)</f>
        <v>10대</v>
      </c>
      <c r="P1554" t="str">
        <f>VLOOKUP(D1554,상품정보!$A$2:$E$61,2,FALSE)</f>
        <v>청바지</v>
      </c>
      <c r="Q1554" t="str">
        <f>VLOOKUP(D1554,상품정보!$A$2:$D$151,3,FALSE)</f>
        <v>의류</v>
      </c>
      <c r="R1554" t="str">
        <f>VLOOKUP(D1554,상품정보!$A$2:$D$151,4,FALSE)</f>
        <v>브랜드A</v>
      </c>
    </row>
    <row r="1555" spans="1:18" x14ac:dyDescent="0.45">
      <c r="A1555" t="s">
        <v>164</v>
      </c>
      <c r="B1555" t="s">
        <v>1954</v>
      </c>
      <c r="C1555" t="s">
        <v>2543</v>
      </c>
      <c r="D1555" t="s">
        <v>2591</v>
      </c>
      <c r="E1555">
        <v>3</v>
      </c>
      <c r="F1555">
        <v>69200</v>
      </c>
      <c r="G1555">
        <v>1000</v>
      </c>
      <c r="H1555">
        <v>5000</v>
      </c>
      <c r="I1555" t="s">
        <v>2614</v>
      </c>
      <c r="J1555" s="4">
        <f t="shared" si="72"/>
        <v>203600</v>
      </c>
      <c r="K1555" s="4" t="str">
        <f t="shared" si="73"/>
        <v>2024-05</v>
      </c>
      <c r="L1555" s="4" t="str">
        <f t="shared" si="74"/>
        <v>금</v>
      </c>
      <c r="M1555" s="2" t="str">
        <f>VLOOKUP($C1555, 고객정보!$A$2:$E$151, 2, FALSE)</f>
        <v>대구</v>
      </c>
      <c r="N1555" t="str">
        <f>VLOOKUP(C1555,고객정보!$A$2:$D$151,4,FALSE)</f>
        <v>L2</v>
      </c>
      <c r="O1555" t="str">
        <f>VLOOKUP($C1555, 고객정보!$A$2:$E$151, 5, FALSE)</f>
        <v>10대</v>
      </c>
      <c r="P1555" t="str">
        <f>VLOOKUP(D1555,상품정보!$A$2:$E$61,2,FALSE)</f>
        <v>셔츠</v>
      </c>
      <c r="Q1555" t="str">
        <f>VLOOKUP(D1555,상품정보!$A$2:$D$151,3,FALSE)</f>
        <v>의류</v>
      </c>
      <c r="R1555" t="str">
        <f>VLOOKUP(D1555,상품정보!$A$2:$D$151,4,FALSE)</f>
        <v>브랜드F</v>
      </c>
    </row>
    <row r="1556" spans="1:18" x14ac:dyDescent="0.45">
      <c r="A1556" t="s">
        <v>296</v>
      </c>
      <c r="B1556" t="s">
        <v>1955</v>
      </c>
      <c r="C1556" t="s">
        <v>2475</v>
      </c>
      <c r="D1556" t="s">
        <v>2588</v>
      </c>
      <c r="E1556">
        <v>4</v>
      </c>
      <c r="F1556">
        <v>7700</v>
      </c>
      <c r="G1556">
        <v>0</v>
      </c>
      <c r="H1556">
        <v>0</v>
      </c>
      <c r="I1556" t="s">
        <v>2652</v>
      </c>
      <c r="J1556" s="4">
        <f t="shared" si="72"/>
        <v>30800</v>
      </c>
      <c r="K1556" s="4" t="str">
        <f t="shared" si="73"/>
        <v>2025-01</v>
      </c>
      <c r="L1556" s="4" t="str">
        <f t="shared" si="74"/>
        <v>화</v>
      </c>
      <c r="M1556" s="2" t="str">
        <f>VLOOKUP($C1556, 고객정보!$A$2:$E$151, 2, FALSE)</f>
        <v>서울</v>
      </c>
      <c r="N1556" t="str">
        <f>VLOOKUP(C1556,고객정보!$A$2:$D$151,4,FALSE)</f>
        <v>L2</v>
      </c>
      <c r="O1556" t="str">
        <f>VLOOKUP($C1556, 고객정보!$A$2:$E$151, 5, FALSE)</f>
        <v>10대</v>
      </c>
      <c r="P1556" t="str">
        <f>VLOOKUP(D1556,상품정보!$A$2:$E$61,2,FALSE)</f>
        <v>귀걸이</v>
      </c>
      <c r="Q1556" t="str">
        <f>VLOOKUP(D1556,상품정보!$A$2:$D$151,3,FALSE)</f>
        <v>액세서리</v>
      </c>
      <c r="R1556" t="str">
        <f>VLOOKUP(D1556,상품정보!$A$2:$D$151,4,FALSE)</f>
        <v>브랜드D</v>
      </c>
    </row>
    <row r="1557" spans="1:18" x14ac:dyDescent="0.45">
      <c r="A1557" t="s">
        <v>185</v>
      </c>
      <c r="B1557" t="s">
        <v>1956</v>
      </c>
      <c r="C1557" t="s">
        <v>2435</v>
      </c>
      <c r="D1557" t="s">
        <v>2607</v>
      </c>
      <c r="E1557">
        <v>1</v>
      </c>
      <c r="F1557">
        <v>16000</v>
      </c>
      <c r="G1557">
        <v>500</v>
      </c>
      <c r="H1557">
        <v>0</v>
      </c>
      <c r="I1557" t="s">
        <v>2652</v>
      </c>
      <c r="J1557" s="4">
        <f t="shared" si="72"/>
        <v>16500</v>
      </c>
      <c r="K1557" s="4" t="str">
        <f t="shared" si="73"/>
        <v>2024-03</v>
      </c>
      <c r="L1557" s="4" t="str">
        <f t="shared" si="74"/>
        <v>월</v>
      </c>
      <c r="M1557" s="2" t="str">
        <f>VLOOKUP($C1557, 고객정보!$A$2:$E$151, 2, FALSE)</f>
        <v>인천</v>
      </c>
      <c r="N1557" t="str">
        <f>VLOOKUP(C1557,고객정보!$A$2:$D$151,4,FALSE)</f>
        <v>L5</v>
      </c>
      <c r="O1557" t="str">
        <f>VLOOKUP($C1557, 고객정보!$A$2:$E$151, 5, FALSE)</f>
        <v>30대</v>
      </c>
      <c r="P1557" t="str">
        <f>VLOOKUP(D1557,상품정보!$A$2:$E$61,2,FALSE)</f>
        <v>목걸이</v>
      </c>
      <c r="Q1557" t="str">
        <f>VLOOKUP(D1557,상품정보!$A$2:$D$151,3,FALSE)</f>
        <v>액세서리</v>
      </c>
      <c r="R1557" t="str">
        <f>VLOOKUP(D1557,상품정보!$A$2:$D$151,4,FALSE)</f>
        <v>브랜드E</v>
      </c>
    </row>
    <row r="1558" spans="1:18" x14ac:dyDescent="0.45">
      <c r="A1558" t="s">
        <v>316</v>
      </c>
      <c r="B1558" t="s">
        <v>1957</v>
      </c>
      <c r="C1558" t="s">
        <v>2514</v>
      </c>
      <c r="D1558" t="s">
        <v>2583</v>
      </c>
      <c r="E1558">
        <v>2</v>
      </c>
      <c r="F1558">
        <v>6600</v>
      </c>
      <c r="G1558">
        <v>0</v>
      </c>
      <c r="H1558">
        <v>0</v>
      </c>
      <c r="I1558" t="s">
        <v>2652</v>
      </c>
      <c r="J1558" s="4">
        <f t="shared" si="72"/>
        <v>13200</v>
      </c>
      <c r="K1558" s="4" t="str">
        <f t="shared" si="73"/>
        <v>2024-06</v>
      </c>
      <c r="L1558" s="4" t="str">
        <f t="shared" si="74"/>
        <v>월</v>
      </c>
      <c r="M1558" s="2" t="str">
        <f>VLOOKUP($C1558, 고객정보!$A$2:$E$151, 2, FALSE)</f>
        <v>대구</v>
      </c>
      <c r="N1558" t="str">
        <f>VLOOKUP(C1558,고객정보!$A$2:$D$151,4,FALSE)</f>
        <v>L1</v>
      </c>
      <c r="O1558" t="str">
        <f>VLOOKUP($C1558, 고객정보!$A$2:$E$151, 5, FALSE)</f>
        <v>20대</v>
      </c>
      <c r="P1558" t="str">
        <f>VLOOKUP(D1558,상품정보!$A$2:$E$61,2,FALSE)</f>
        <v>셔츠</v>
      </c>
      <c r="Q1558" t="str">
        <f>VLOOKUP(D1558,상품정보!$A$2:$D$151,3,FALSE)</f>
        <v>의류</v>
      </c>
      <c r="R1558" t="str">
        <f>VLOOKUP(D1558,상품정보!$A$2:$D$151,4,FALSE)</f>
        <v>브랜드E</v>
      </c>
    </row>
    <row r="1559" spans="1:18" x14ac:dyDescent="0.45">
      <c r="A1559" t="s">
        <v>282</v>
      </c>
      <c r="B1559" t="s">
        <v>1958</v>
      </c>
      <c r="C1559" t="s">
        <v>2537</v>
      </c>
      <c r="D1559" t="s">
        <v>2600</v>
      </c>
      <c r="E1559">
        <v>4</v>
      </c>
      <c r="F1559">
        <v>10900</v>
      </c>
      <c r="G1559">
        <v>1000</v>
      </c>
      <c r="H1559">
        <v>0</v>
      </c>
      <c r="I1559" t="s">
        <v>2652</v>
      </c>
      <c r="J1559" s="4">
        <f t="shared" si="72"/>
        <v>44600</v>
      </c>
      <c r="K1559" s="4" t="str">
        <f t="shared" si="73"/>
        <v>2024-07</v>
      </c>
      <c r="L1559" s="4" t="str">
        <f t="shared" si="74"/>
        <v>화</v>
      </c>
      <c r="M1559" s="2" t="str">
        <f>VLOOKUP($C1559, 고객정보!$A$2:$E$151, 2, FALSE)</f>
        <v>광주</v>
      </c>
      <c r="N1559" t="str">
        <f>VLOOKUP(C1559,고객정보!$A$2:$D$151,4,FALSE)</f>
        <v>L2</v>
      </c>
      <c r="O1559" t="str">
        <f>VLOOKUP($C1559, 고객정보!$A$2:$E$151, 5, FALSE)</f>
        <v>40대</v>
      </c>
      <c r="P1559" t="str">
        <f>VLOOKUP(D1559,상품정보!$A$2:$E$61,2,FALSE)</f>
        <v>셔츠</v>
      </c>
      <c r="Q1559" t="str">
        <f>VLOOKUP(D1559,상품정보!$A$2:$D$151,3,FALSE)</f>
        <v>의류</v>
      </c>
      <c r="R1559" t="str">
        <f>VLOOKUP(D1559,상품정보!$A$2:$D$151,4,FALSE)</f>
        <v>브랜드E</v>
      </c>
    </row>
    <row r="1560" spans="1:18" x14ac:dyDescent="0.45">
      <c r="A1560" t="s">
        <v>61</v>
      </c>
      <c r="B1560" t="s">
        <v>1959</v>
      </c>
      <c r="C1560" t="s">
        <v>2507</v>
      </c>
      <c r="D1560" t="s">
        <v>2606</v>
      </c>
      <c r="E1560">
        <v>1</v>
      </c>
      <c r="F1560">
        <v>15000</v>
      </c>
      <c r="G1560">
        <v>1000</v>
      </c>
      <c r="H1560">
        <v>500</v>
      </c>
      <c r="I1560" t="s">
        <v>2613</v>
      </c>
      <c r="J1560" s="4">
        <f t="shared" si="72"/>
        <v>15500</v>
      </c>
      <c r="K1560" s="4" t="str">
        <f t="shared" si="73"/>
        <v>2024-06</v>
      </c>
      <c r="L1560" s="4" t="str">
        <f t="shared" si="74"/>
        <v>화</v>
      </c>
      <c r="M1560" s="2" t="str">
        <f>VLOOKUP($C1560, 고객정보!$A$2:$E$151, 2, FALSE)</f>
        <v>대전</v>
      </c>
      <c r="N1560" t="str">
        <f>VLOOKUP(C1560,고객정보!$A$2:$D$151,4,FALSE)</f>
        <v>L2</v>
      </c>
      <c r="O1560" t="str">
        <f>VLOOKUP($C1560, 고객정보!$A$2:$E$151, 5, FALSE)</f>
        <v>40대</v>
      </c>
      <c r="P1560" t="str">
        <f>VLOOKUP(D1560,상품정보!$A$2:$E$61,2,FALSE)</f>
        <v>귀걸이</v>
      </c>
      <c r="Q1560" t="str">
        <f>VLOOKUP(D1560,상품정보!$A$2:$D$151,3,FALSE)</f>
        <v>액세서리</v>
      </c>
      <c r="R1560" t="str">
        <f>VLOOKUP(D1560,상품정보!$A$2:$D$151,4,FALSE)</f>
        <v>브랜드E</v>
      </c>
    </row>
    <row r="1561" spans="1:18" x14ac:dyDescent="0.45">
      <c r="A1561" t="s">
        <v>259</v>
      </c>
      <c r="B1561" t="s">
        <v>1960</v>
      </c>
      <c r="C1561" t="s">
        <v>2414</v>
      </c>
      <c r="D1561" t="s">
        <v>2569</v>
      </c>
      <c r="E1561">
        <v>2</v>
      </c>
      <c r="F1561">
        <v>11400</v>
      </c>
      <c r="G1561">
        <v>0</v>
      </c>
      <c r="H1561">
        <v>800</v>
      </c>
      <c r="I1561" t="s">
        <v>2613</v>
      </c>
      <c r="J1561" s="4">
        <f t="shared" si="72"/>
        <v>22000</v>
      </c>
      <c r="K1561" s="4" t="str">
        <f t="shared" si="73"/>
        <v>2024-01</v>
      </c>
      <c r="L1561" s="4" t="str">
        <f t="shared" si="74"/>
        <v>월</v>
      </c>
      <c r="M1561" s="2" t="str">
        <f>VLOOKUP($C1561, 고객정보!$A$2:$E$151, 2, FALSE)</f>
        <v>대구</v>
      </c>
      <c r="N1561" t="str">
        <f>VLOOKUP(C1561,고객정보!$A$2:$D$151,4,FALSE)</f>
        <v>L3</v>
      </c>
      <c r="O1561" t="str">
        <f>VLOOKUP($C1561, 고객정보!$A$2:$E$151, 5, FALSE)</f>
        <v>30대</v>
      </c>
      <c r="P1561" t="str">
        <f>VLOOKUP(D1561,상품정보!$A$2:$E$61,2,FALSE)</f>
        <v>귀걸이</v>
      </c>
      <c r="Q1561" t="str">
        <f>VLOOKUP(D1561,상품정보!$A$2:$D$151,3,FALSE)</f>
        <v>액세서리</v>
      </c>
      <c r="R1561" t="str">
        <f>VLOOKUP(D1561,상품정보!$A$2:$D$151,4,FALSE)</f>
        <v>브랜드E</v>
      </c>
    </row>
    <row r="1562" spans="1:18" x14ac:dyDescent="0.45">
      <c r="A1562" t="s">
        <v>194</v>
      </c>
      <c r="B1562" t="s">
        <v>1961</v>
      </c>
      <c r="C1562" t="s">
        <v>2425</v>
      </c>
      <c r="D1562" t="s">
        <v>2587</v>
      </c>
      <c r="E1562">
        <v>4</v>
      </c>
      <c r="F1562">
        <v>50200</v>
      </c>
      <c r="G1562">
        <v>0</v>
      </c>
      <c r="H1562">
        <v>0</v>
      </c>
      <c r="I1562" t="s">
        <v>2652</v>
      </c>
      <c r="J1562" s="4">
        <f t="shared" si="72"/>
        <v>200800</v>
      </c>
      <c r="K1562" s="4" t="str">
        <f t="shared" si="73"/>
        <v>2024-02</v>
      </c>
      <c r="L1562" s="4" t="str">
        <f t="shared" si="74"/>
        <v>화</v>
      </c>
      <c r="M1562" s="2" t="str">
        <f>VLOOKUP($C1562, 고객정보!$A$2:$E$151, 2, FALSE)</f>
        <v>서울</v>
      </c>
      <c r="N1562" t="str">
        <f>VLOOKUP(C1562,고객정보!$A$2:$D$151,4,FALSE)</f>
        <v>L4</v>
      </c>
      <c r="O1562" t="str">
        <f>VLOOKUP($C1562, 고객정보!$A$2:$E$151, 5, FALSE)</f>
        <v>30대</v>
      </c>
      <c r="P1562" t="str">
        <f>VLOOKUP(D1562,상품정보!$A$2:$E$61,2,FALSE)</f>
        <v>반지</v>
      </c>
      <c r="Q1562" t="str">
        <f>VLOOKUP(D1562,상품정보!$A$2:$D$151,3,FALSE)</f>
        <v>액세서리</v>
      </c>
      <c r="R1562" t="str">
        <f>VLOOKUP(D1562,상품정보!$A$2:$D$151,4,FALSE)</f>
        <v>브랜드B</v>
      </c>
    </row>
    <row r="1563" spans="1:18" x14ac:dyDescent="0.45">
      <c r="A1563" t="s">
        <v>179</v>
      </c>
      <c r="B1563" t="s">
        <v>1962</v>
      </c>
      <c r="C1563" t="s">
        <v>2403</v>
      </c>
      <c r="D1563" t="s">
        <v>2608</v>
      </c>
      <c r="E1563">
        <v>2</v>
      </c>
      <c r="F1563">
        <v>10600</v>
      </c>
      <c r="G1563">
        <v>1500</v>
      </c>
      <c r="H1563">
        <v>0</v>
      </c>
      <c r="I1563" t="s">
        <v>2652</v>
      </c>
      <c r="J1563" s="4">
        <f t="shared" si="72"/>
        <v>22700</v>
      </c>
      <c r="K1563" s="4" t="str">
        <f t="shared" si="73"/>
        <v>2024-04</v>
      </c>
      <c r="L1563" s="4" t="str">
        <f t="shared" si="74"/>
        <v>월</v>
      </c>
      <c r="M1563" s="2" t="str">
        <f>VLOOKUP($C1563, 고객정보!$A$2:$E$151, 2, FALSE)</f>
        <v>수원</v>
      </c>
      <c r="N1563" t="str">
        <f>VLOOKUP(C1563,고객정보!$A$2:$D$151,4,FALSE)</f>
        <v>L3</v>
      </c>
      <c r="O1563" t="str">
        <f>VLOOKUP($C1563, 고객정보!$A$2:$E$151, 5, FALSE)</f>
        <v>30대</v>
      </c>
      <c r="P1563" t="str">
        <f>VLOOKUP(D1563,상품정보!$A$2:$E$61,2,FALSE)</f>
        <v>셔츠</v>
      </c>
      <c r="Q1563" t="str">
        <f>VLOOKUP(D1563,상품정보!$A$2:$D$151,3,FALSE)</f>
        <v>의류</v>
      </c>
      <c r="R1563" t="str">
        <f>VLOOKUP(D1563,상품정보!$A$2:$D$151,4,FALSE)</f>
        <v>브랜드D</v>
      </c>
    </row>
    <row r="1564" spans="1:18" x14ac:dyDescent="0.45">
      <c r="A1564" t="s">
        <v>387</v>
      </c>
      <c r="B1564" t="s">
        <v>1963</v>
      </c>
      <c r="C1564" t="s">
        <v>2531</v>
      </c>
      <c r="D1564" t="s">
        <v>2602</v>
      </c>
      <c r="E1564">
        <v>4</v>
      </c>
      <c r="F1564">
        <v>59900</v>
      </c>
      <c r="G1564">
        <v>0</v>
      </c>
      <c r="H1564">
        <v>12000</v>
      </c>
      <c r="I1564" t="s">
        <v>2612</v>
      </c>
      <c r="J1564" s="4">
        <f t="shared" si="72"/>
        <v>227600</v>
      </c>
      <c r="K1564" s="4" t="str">
        <f t="shared" si="73"/>
        <v>2024-01</v>
      </c>
      <c r="L1564" s="4" t="str">
        <f t="shared" si="74"/>
        <v>일</v>
      </c>
      <c r="M1564" s="2" t="str">
        <f>VLOOKUP($C1564, 고객정보!$A$2:$E$151, 2, FALSE)</f>
        <v>서울</v>
      </c>
      <c r="N1564" t="str">
        <f>VLOOKUP(C1564,고객정보!$A$2:$D$151,4,FALSE)</f>
        <v>L4</v>
      </c>
      <c r="O1564" t="str">
        <f>VLOOKUP($C1564, 고객정보!$A$2:$E$151, 5, FALSE)</f>
        <v>40대</v>
      </c>
      <c r="P1564" t="str">
        <f>VLOOKUP(D1564,상품정보!$A$2:$E$61,2,FALSE)</f>
        <v>셔츠</v>
      </c>
      <c r="Q1564" t="str">
        <f>VLOOKUP(D1564,상품정보!$A$2:$D$151,3,FALSE)</f>
        <v>의류</v>
      </c>
      <c r="R1564" t="str">
        <f>VLOOKUP(D1564,상품정보!$A$2:$D$151,4,FALSE)</f>
        <v>브랜드A</v>
      </c>
    </row>
    <row r="1565" spans="1:18" x14ac:dyDescent="0.45">
      <c r="A1565" t="s">
        <v>217</v>
      </c>
      <c r="B1565" t="s">
        <v>1964</v>
      </c>
      <c r="C1565" t="s">
        <v>2487</v>
      </c>
      <c r="D1565" t="s">
        <v>2587</v>
      </c>
      <c r="E1565">
        <v>2</v>
      </c>
      <c r="F1565">
        <v>50200</v>
      </c>
      <c r="G1565">
        <v>0</v>
      </c>
      <c r="H1565">
        <v>0</v>
      </c>
      <c r="I1565" t="s">
        <v>2652</v>
      </c>
      <c r="J1565" s="4">
        <f t="shared" si="72"/>
        <v>100400</v>
      </c>
      <c r="K1565" s="4" t="str">
        <f t="shared" si="73"/>
        <v>2024-07</v>
      </c>
      <c r="L1565" s="4" t="str">
        <f t="shared" si="74"/>
        <v>화</v>
      </c>
      <c r="M1565" s="2" t="str">
        <f>VLOOKUP($C1565, 고객정보!$A$2:$E$151, 2, FALSE)</f>
        <v>서울</v>
      </c>
      <c r="N1565" t="str">
        <f>VLOOKUP(C1565,고객정보!$A$2:$D$151,4,FALSE)</f>
        <v>L1</v>
      </c>
      <c r="O1565" t="str">
        <f>VLOOKUP($C1565, 고객정보!$A$2:$E$151, 5, FALSE)</f>
        <v>10대</v>
      </c>
      <c r="P1565" t="str">
        <f>VLOOKUP(D1565,상품정보!$A$2:$E$61,2,FALSE)</f>
        <v>반지</v>
      </c>
      <c r="Q1565" t="str">
        <f>VLOOKUP(D1565,상품정보!$A$2:$D$151,3,FALSE)</f>
        <v>액세서리</v>
      </c>
      <c r="R1565" t="str">
        <f>VLOOKUP(D1565,상품정보!$A$2:$D$151,4,FALSE)</f>
        <v>브랜드B</v>
      </c>
    </row>
    <row r="1566" spans="1:18" x14ac:dyDescent="0.45">
      <c r="A1566" t="s">
        <v>312</v>
      </c>
      <c r="B1566" t="s">
        <v>1965</v>
      </c>
      <c r="C1566" t="s">
        <v>2459</v>
      </c>
      <c r="D1566" t="s">
        <v>2585</v>
      </c>
      <c r="E1566">
        <v>1</v>
      </c>
      <c r="F1566">
        <v>14900</v>
      </c>
      <c r="G1566">
        <v>0</v>
      </c>
      <c r="H1566">
        <v>3800</v>
      </c>
      <c r="I1566" t="s">
        <v>2612</v>
      </c>
      <c r="J1566" s="4">
        <f t="shared" si="72"/>
        <v>11100</v>
      </c>
      <c r="K1566" s="4" t="str">
        <f t="shared" si="73"/>
        <v>2024-04</v>
      </c>
      <c r="L1566" s="4" t="str">
        <f t="shared" si="74"/>
        <v>목</v>
      </c>
      <c r="M1566" s="2" t="str">
        <f>VLOOKUP($C1566, 고객정보!$A$2:$E$151, 2, FALSE)</f>
        <v>광주</v>
      </c>
      <c r="N1566" t="str">
        <f>VLOOKUP(C1566,고객정보!$A$2:$D$151,4,FALSE)</f>
        <v>L4</v>
      </c>
      <c r="O1566" t="str">
        <f>VLOOKUP($C1566, 고객정보!$A$2:$E$151, 5, FALSE)</f>
        <v>50대 이상</v>
      </c>
      <c r="P1566" t="str">
        <f>VLOOKUP(D1566,상품정보!$A$2:$E$61,2,FALSE)</f>
        <v>반팔 티셔츠</v>
      </c>
      <c r="Q1566" t="str">
        <f>VLOOKUP(D1566,상품정보!$A$2:$D$151,3,FALSE)</f>
        <v>의류</v>
      </c>
      <c r="R1566" t="str">
        <f>VLOOKUP(D1566,상품정보!$A$2:$D$151,4,FALSE)</f>
        <v>브랜드C</v>
      </c>
    </row>
    <row r="1567" spans="1:18" x14ac:dyDescent="0.45">
      <c r="A1567" t="s">
        <v>372</v>
      </c>
      <c r="B1567" t="s">
        <v>1966</v>
      </c>
      <c r="C1567" t="s">
        <v>2413</v>
      </c>
      <c r="D1567" t="s">
        <v>2574</v>
      </c>
      <c r="E1567">
        <v>1</v>
      </c>
      <c r="F1567">
        <v>8600</v>
      </c>
      <c r="G1567">
        <v>0</v>
      </c>
      <c r="H1567">
        <v>0</v>
      </c>
      <c r="I1567" t="s">
        <v>2652</v>
      </c>
      <c r="J1567" s="4">
        <f t="shared" si="72"/>
        <v>8600</v>
      </c>
      <c r="K1567" s="4" t="str">
        <f t="shared" si="73"/>
        <v>2024-09</v>
      </c>
      <c r="L1567" s="4" t="str">
        <f t="shared" si="74"/>
        <v>월</v>
      </c>
      <c r="M1567" s="2" t="str">
        <f>VLOOKUP($C1567, 고객정보!$A$2:$E$151, 2, FALSE)</f>
        <v>서울</v>
      </c>
      <c r="N1567" t="str">
        <f>VLOOKUP(C1567,고객정보!$A$2:$D$151,4,FALSE)</f>
        <v>L5</v>
      </c>
      <c r="O1567" t="str">
        <f>VLOOKUP($C1567, 고객정보!$A$2:$E$151, 5, FALSE)</f>
        <v>30대</v>
      </c>
      <c r="P1567" t="str">
        <f>VLOOKUP(D1567,상품정보!$A$2:$E$61,2,FALSE)</f>
        <v>셔츠</v>
      </c>
      <c r="Q1567" t="str">
        <f>VLOOKUP(D1567,상품정보!$A$2:$D$151,3,FALSE)</f>
        <v>의류</v>
      </c>
      <c r="R1567" t="str">
        <f>VLOOKUP(D1567,상품정보!$A$2:$D$151,4,FALSE)</f>
        <v>브랜드D</v>
      </c>
    </row>
    <row r="1568" spans="1:18" x14ac:dyDescent="0.45">
      <c r="A1568" t="s">
        <v>373</v>
      </c>
      <c r="B1568" t="s">
        <v>1967</v>
      </c>
      <c r="C1568" t="s">
        <v>2420</v>
      </c>
      <c r="D1568" t="s">
        <v>2608</v>
      </c>
      <c r="E1568">
        <v>4</v>
      </c>
      <c r="F1568">
        <v>10600</v>
      </c>
      <c r="G1568">
        <v>500</v>
      </c>
      <c r="H1568">
        <v>0</v>
      </c>
      <c r="I1568" t="s">
        <v>2652</v>
      </c>
      <c r="J1568" s="4">
        <f t="shared" si="72"/>
        <v>42900</v>
      </c>
      <c r="K1568" s="4" t="str">
        <f t="shared" si="73"/>
        <v>2024-12</v>
      </c>
      <c r="L1568" s="4" t="str">
        <f t="shared" si="74"/>
        <v>토</v>
      </c>
      <c r="M1568" s="2" t="str">
        <f>VLOOKUP($C1568, 고객정보!$A$2:$E$151, 2, FALSE)</f>
        <v>대전</v>
      </c>
      <c r="N1568" t="str">
        <f>VLOOKUP(C1568,고객정보!$A$2:$D$151,4,FALSE)</f>
        <v>L3</v>
      </c>
      <c r="O1568" t="str">
        <f>VLOOKUP($C1568, 고객정보!$A$2:$E$151, 5, FALSE)</f>
        <v>30대</v>
      </c>
      <c r="P1568" t="str">
        <f>VLOOKUP(D1568,상품정보!$A$2:$E$61,2,FALSE)</f>
        <v>셔츠</v>
      </c>
      <c r="Q1568" t="str">
        <f>VLOOKUP(D1568,상품정보!$A$2:$D$151,3,FALSE)</f>
        <v>의류</v>
      </c>
      <c r="R1568" t="str">
        <f>VLOOKUP(D1568,상품정보!$A$2:$D$151,4,FALSE)</f>
        <v>브랜드D</v>
      </c>
    </row>
    <row r="1569" spans="1:18" x14ac:dyDescent="0.45">
      <c r="A1569" t="s">
        <v>272</v>
      </c>
      <c r="B1569" t="s">
        <v>1968</v>
      </c>
      <c r="C1569" t="s">
        <v>2488</v>
      </c>
      <c r="D1569" t="s">
        <v>2568</v>
      </c>
      <c r="E1569">
        <v>3</v>
      </c>
      <c r="F1569">
        <v>16800</v>
      </c>
      <c r="G1569">
        <v>500</v>
      </c>
      <c r="H1569">
        <v>0</v>
      </c>
      <c r="I1569" t="s">
        <v>2652</v>
      </c>
      <c r="J1569" s="4">
        <f t="shared" si="72"/>
        <v>50900</v>
      </c>
      <c r="K1569" s="4" t="str">
        <f t="shared" si="73"/>
        <v>2024-03</v>
      </c>
      <c r="L1569" s="4" t="str">
        <f t="shared" si="74"/>
        <v>금</v>
      </c>
      <c r="M1569" s="2" t="str">
        <f>VLOOKUP($C1569, 고객정보!$A$2:$E$151, 2, FALSE)</f>
        <v>서울</v>
      </c>
      <c r="N1569" t="str">
        <f>VLOOKUP(C1569,고객정보!$A$2:$D$151,4,FALSE)</f>
        <v>L3</v>
      </c>
      <c r="O1569" t="str">
        <f>VLOOKUP($C1569, 고객정보!$A$2:$E$151, 5, FALSE)</f>
        <v>40대</v>
      </c>
      <c r="P1569" t="str">
        <f>VLOOKUP(D1569,상품정보!$A$2:$E$61,2,FALSE)</f>
        <v>청바지</v>
      </c>
      <c r="Q1569" t="str">
        <f>VLOOKUP(D1569,상품정보!$A$2:$D$151,3,FALSE)</f>
        <v>의류</v>
      </c>
      <c r="R1569" t="str">
        <f>VLOOKUP(D1569,상품정보!$A$2:$D$151,4,FALSE)</f>
        <v>브랜드C</v>
      </c>
    </row>
    <row r="1570" spans="1:18" x14ac:dyDescent="0.45">
      <c r="A1570" t="s">
        <v>372</v>
      </c>
      <c r="B1570" t="s">
        <v>1969</v>
      </c>
      <c r="C1570" t="s">
        <v>2476</v>
      </c>
      <c r="D1570" t="s">
        <v>2574</v>
      </c>
      <c r="E1570">
        <v>5</v>
      </c>
      <c r="F1570">
        <v>8600</v>
      </c>
      <c r="G1570">
        <v>0</v>
      </c>
      <c r="H1570">
        <v>0</v>
      </c>
      <c r="I1570" t="s">
        <v>2652</v>
      </c>
      <c r="J1570" s="4">
        <f t="shared" si="72"/>
        <v>43000</v>
      </c>
      <c r="K1570" s="4" t="str">
        <f t="shared" si="73"/>
        <v>2024-09</v>
      </c>
      <c r="L1570" s="4" t="str">
        <f t="shared" si="74"/>
        <v>월</v>
      </c>
      <c r="M1570" s="2" t="str">
        <f>VLOOKUP($C1570, 고객정보!$A$2:$E$151, 2, FALSE)</f>
        <v>서울</v>
      </c>
      <c r="N1570" t="str">
        <f>VLOOKUP(C1570,고객정보!$A$2:$D$151,4,FALSE)</f>
        <v>L2</v>
      </c>
      <c r="O1570" t="str">
        <f>VLOOKUP($C1570, 고객정보!$A$2:$E$151, 5, FALSE)</f>
        <v>10대</v>
      </c>
      <c r="P1570" t="str">
        <f>VLOOKUP(D1570,상품정보!$A$2:$E$61,2,FALSE)</f>
        <v>셔츠</v>
      </c>
      <c r="Q1570" t="str">
        <f>VLOOKUP(D1570,상품정보!$A$2:$D$151,3,FALSE)</f>
        <v>의류</v>
      </c>
      <c r="R1570" t="str">
        <f>VLOOKUP(D1570,상품정보!$A$2:$D$151,4,FALSE)</f>
        <v>브랜드D</v>
      </c>
    </row>
    <row r="1571" spans="1:18" x14ac:dyDescent="0.45">
      <c r="A1571" t="s">
        <v>376</v>
      </c>
      <c r="B1571" t="s">
        <v>1970</v>
      </c>
      <c r="C1571" t="s">
        <v>2487</v>
      </c>
      <c r="D1571" t="s">
        <v>2605</v>
      </c>
      <c r="E1571">
        <v>4</v>
      </c>
      <c r="F1571">
        <v>6800</v>
      </c>
      <c r="G1571">
        <v>500</v>
      </c>
      <c r="H1571">
        <v>0</v>
      </c>
      <c r="I1571" t="s">
        <v>2652</v>
      </c>
      <c r="J1571" s="4">
        <f t="shared" si="72"/>
        <v>27700</v>
      </c>
      <c r="K1571" s="4" t="str">
        <f t="shared" si="73"/>
        <v>2024-11</v>
      </c>
      <c r="L1571" s="4" t="str">
        <f t="shared" si="74"/>
        <v>금</v>
      </c>
      <c r="M1571" s="2" t="str">
        <f>VLOOKUP($C1571, 고객정보!$A$2:$E$151, 2, FALSE)</f>
        <v>서울</v>
      </c>
      <c r="N1571" t="str">
        <f>VLOOKUP(C1571,고객정보!$A$2:$D$151,4,FALSE)</f>
        <v>L1</v>
      </c>
      <c r="O1571" t="str">
        <f>VLOOKUP($C1571, 고객정보!$A$2:$E$151, 5, FALSE)</f>
        <v>10대</v>
      </c>
      <c r="P1571" t="str">
        <f>VLOOKUP(D1571,상품정보!$A$2:$E$61,2,FALSE)</f>
        <v>핸드폰케이스</v>
      </c>
      <c r="Q1571" t="str">
        <f>VLOOKUP(D1571,상품정보!$A$2:$D$151,3,FALSE)</f>
        <v>액세서리</v>
      </c>
      <c r="R1571" t="str">
        <f>VLOOKUP(D1571,상품정보!$A$2:$D$151,4,FALSE)</f>
        <v>브랜드D</v>
      </c>
    </row>
    <row r="1572" spans="1:18" x14ac:dyDescent="0.45">
      <c r="A1572" t="s">
        <v>333</v>
      </c>
      <c r="B1572" t="s">
        <v>1971</v>
      </c>
      <c r="C1572" t="s">
        <v>2528</v>
      </c>
      <c r="D1572" t="s">
        <v>2555</v>
      </c>
      <c r="E1572">
        <v>3</v>
      </c>
      <c r="F1572">
        <v>8300</v>
      </c>
      <c r="G1572">
        <v>0</v>
      </c>
      <c r="H1572">
        <v>0</v>
      </c>
      <c r="I1572" t="s">
        <v>2652</v>
      </c>
      <c r="J1572" s="4">
        <f t="shared" si="72"/>
        <v>24900</v>
      </c>
      <c r="K1572" s="4" t="str">
        <f t="shared" si="73"/>
        <v>2024-01</v>
      </c>
      <c r="L1572" s="4" t="str">
        <f t="shared" si="74"/>
        <v>토</v>
      </c>
      <c r="M1572" s="2" t="str">
        <f>VLOOKUP($C1572, 고객정보!$A$2:$E$151, 2, FALSE)</f>
        <v>광주</v>
      </c>
      <c r="N1572" t="str">
        <f>VLOOKUP(C1572,고객정보!$A$2:$D$151,4,FALSE)</f>
        <v>L3</v>
      </c>
      <c r="O1572" t="str">
        <f>VLOOKUP($C1572, 고객정보!$A$2:$E$151, 5, FALSE)</f>
        <v>10대</v>
      </c>
      <c r="P1572" t="str">
        <f>VLOOKUP(D1572,상품정보!$A$2:$E$61,2,FALSE)</f>
        <v>청바지</v>
      </c>
      <c r="Q1572" t="str">
        <f>VLOOKUP(D1572,상품정보!$A$2:$D$151,3,FALSE)</f>
        <v>의류</v>
      </c>
      <c r="R1572" t="str">
        <f>VLOOKUP(D1572,상품정보!$A$2:$D$151,4,FALSE)</f>
        <v>브랜드E</v>
      </c>
    </row>
    <row r="1573" spans="1:18" x14ac:dyDescent="0.45">
      <c r="A1573" t="s">
        <v>388</v>
      </c>
      <c r="B1573" t="s">
        <v>1972</v>
      </c>
      <c r="C1573" t="s">
        <v>2410</v>
      </c>
      <c r="D1573" t="s">
        <v>2580</v>
      </c>
      <c r="E1573">
        <v>2</v>
      </c>
      <c r="F1573">
        <v>77800</v>
      </c>
      <c r="G1573">
        <v>1000</v>
      </c>
      <c r="H1573">
        <v>0</v>
      </c>
      <c r="I1573" t="s">
        <v>2652</v>
      </c>
      <c r="J1573" s="4">
        <f t="shared" si="72"/>
        <v>156600</v>
      </c>
      <c r="K1573" s="4" t="str">
        <f t="shared" si="73"/>
        <v>2024-11</v>
      </c>
      <c r="L1573" s="4" t="str">
        <f t="shared" si="74"/>
        <v>수</v>
      </c>
      <c r="M1573" s="2" t="str">
        <f>VLOOKUP($C1573, 고객정보!$A$2:$E$151, 2, FALSE)</f>
        <v>대전</v>
      </c>
      <c r="N1573" t="str">
        <f>VLOOKUP(C1573,고객정보!$A$2:$D$151,4,FALSE)</f>
        <v>L2</v>
      </c>
      <c r="O1573" t="str">
        <f>VLOOKUP($C1573, 고객정보!$A$2:$E$151, 5, FALSE)</f>
        <v>10대</v>
      </c>
      <c r="P1573" t="str">
        <f>VLOOKUP(D1573,상품정보!$A$2:$E$61,2,FALSE)</f>
        <v>청바지</v>
      </c>
      <c r="Q1573" t="str">
        <f>VLOOKUP(D1573,상품정보!$A$2:$D$151,3,FALSE)</f>
        <v>의류</v>
      </c>
      <c r="R1573" t="str">
        <f>VLOOKUP(D1573,상품정보!$A$2:$D$151,4,FALSE)</f>
        <v>브랜드A</v>
      </c>
    </row>
    <row r="1574" spans="1:18" x14ac:dyDescent="0.45">
      <c r="A1574" t="s">
        <v>73</v>
      </c>
      <c r="B1574" t="s">
        <v>1973</v>
      </c>
      <c r="C1574" t="s">
        <v>2485</v>
      </c>
      <c r="D1574" t="s">
        <v>2597</v>
      </c>
      <c r="E1574">
        <v>1</v>
      </c>
      <c r="F1574">
        <v>65300</v>
      </c>
      <c r="G1574">
        <v>2000</v>
      </c>
      <c r="H1574">
        <v>200</v>
      </c>
      <c r="I1574" t="s">
        <v>2614</v>
      </c>
      <c r="J1574" s="4">
        <f t="shared" si="72"/>
        <v>67100</v>
      </c>
      <c r="K1574" s="4" t="str">
        <f t="shared" si="73"/>
        <v>2024-03</v>
      </c>
      <c r="L1574" s="4" t="str">
        <f t="shared" si="74"/>
        <v>화</v>
      </c>
      <c r="M1574" s="2" t="str">
        <f>VLOOKUP($C1574, 고객정보!$A$2:$E$151, 2, FALSE)</f>
        <v>서울</v>
      </c>
      <c r="N1574" t="str">
        <f>VLOOKUP(C1574,고객정보!$A$2:$D$151,4,FALSE)</f>
        <v>L4</v>
      </c>
      <c r="O1574" t="str">
        <f>VLOOKUP($C1574, 고객정보!$A$2:$E$151, 5, FALSE)</f>
        <v>40대</v>
      </c>
      <c r="P1574" t="str">
        <f>VLOOKUP(D1574,상품정보!$A$2:$E$61,2,FALSE)</f>
        <v>반지</v>
      </c>
      <c r="Q1574" t="str">
        <f>VLOOKUP(D1574,상품정보!$A$2:$D$151,3,FALSE)</f>
        <v>액세서리</v>
      </c>
      <c r="R1574" t="str">
        <f>VLOOKUP(D1574,상품정보!$A$2:$D$151,4,FALSE)</f>
        <v>브랜드F</v>
      </c>
    </row>
    <row r="1575" spans="1:18" x14ac:dyDescent="0.45">
      <c r="A1575" t="s">
        <v>34</v>
      </c>
      <c r="B1575" t="s">
        <v>1974</v>
      </c>
      <c r="C1575" t="s">
        <v>2508</v>
      </c>
      <c r="D1575" t="s">
        <v>2589</v>
      </c>
      <c r="E1575">
        <v>1</v>
      </c>
      <c r="F1575">
        <v>71400</v>
      </c>
      <c r="G1575">
        <v>0</v>
      </c>
      <c r="H1575">
        <v>6900</v>
      </c>
      <c r="I1575" t="s">
        <v>2613</v>
      </c>
      <c r="J1575" s="4">
        <f t="shared" si="72"/>
        <v>64500</v>
      </c>
      <c r="K1575" s="4" t="str">
        <f t="shared" si="73"/>
        <v>2024-07</v>
      </c>
      <c r="L1575" s="4" t="str">
        <f t="shared" si="74"/>
        <v>일</v>
      </c>
      <c r="M1575" s="2" t="str">
        <f>VLOOKUP($C1575, 고객정보!$A$2:$E$151, 2, FALSE)</f>
        <v>광주</v>
      </c>
      <c r="N1575" t="str">
        <f>VLOOKUP(C1575,고객정보!$A$2:$D$151,4,FALSE)</f>
        <v>L1</v>
      </c>
      <c r="O1575" t="str">
        <f>VLOOKUP($C1575, 고객정보!$A$2:$E$151, 5, FALSE)</f>
        <v>50대 이상</v>
      </c>
      <c r="P1575" t="str">
        <f>VLOOKUP(D1575,상품정보!$A$2:$E$61,2,FALSE)</f>
        <v>셔츠</v>
      </c>
      <c r="Q1575" t="str">
        <f>VLOOKUP(D1575,상품정보!$A$2:$D$151,3,FALSE)</f>
        <v>의류</v>
      </c>
      <c r="R1575" t="str">
        <f>VLOOKUP(D1575,상품정보!$A$2:$D$151,4,FALSE)</f>
        <v>브랜드A</v>
      </c>
    </row>
    <row r="1576" spans="1:18" x14ac:dyDescent="0.45">
      <c r="A1576" t="s">
        <v>379</v>
      </c>
      <c r="B1576" t="s">
        <v>1975</v>
      </c>
      <c r="C1576" t="s">
        <v>2422</v>
      </c>
      <c r="D1576" t="s">
        <v>2594</v>
      </c>
      <c r="E1576">
        <v>1</v>
      </c>
      <c r="F1576">
        <v>73000</v>
      </c>
      <c r="G1576">
        <v>0</v>
      </c>
      <c r="H1576">
        <v>0</v>
      </c>
      <c r="I1576" t="s">
        <v>2652</v>
      </c>
      <c r="J1576" s="4">
        <f t="shared" si="72"/>
        <v>73000</v>
      </c>
      <c r="K1576" s="4" t="str">
        <f t="shared" si="73"/>
        <v>2024-10</v>
      </c>
      <c r="L1576" s="4" t="str">
        <f t="shared" si="74"/>
        <v>목</v>
      </c>
      <c r="M1576" s="2" t="str">
        <f>VLOOKUP($C1576, 고객정보!$A$2:$E$151, 2, FALSE)</f>
        <v>광주</v>
      </c>
      <c r="N1576" t="str">
        <f>VLOOKUP(C1576,고객정보!$A$2:$D$151,4,FALSE)</f>
        <v>L5</v>
      </c>
      <c r="O1576" t="str">
        <f>VLOOKUP($C1576, 고객정보!$A$2:$E$151, 5, FALSE)</f>
        <v>30대</v>
      </c>
      <c r="P1576" t="str">
        <f>VLOOKUP(D1576,상품정보!$A$2:$E$61,2,FALSE)</f>
        <v>자켓</v>
      </c>
      <c r="Q1576" t="str">
        <f>VLOOKUP(D1576,상품정보!$A$2:$D$151,3,FALSE)</f>
        <v>의류</v>
      </c>
      <c r="R1576" t="str">
        <f>VLOOKUP(D1576,상품정보!$A$2:$D$151,4,FALSE)</f>
        <v>브랜드A</v>
      </c>
    </row>
    <row r="1577" spans="1:18" x14ac:dyDescent="0.45">
      <c r="A1577" t="s">
        <v>16</v>
      </c>
      <c r="B1577" t="s">
        <v>1976</v>
      </c>
      <c r="C1577" t="s">
        <v>2446</v>
      </c>
      <c r="D1577" t="s">
        <v>2606</v>
      </c>
      <c r="E1577">
        <v>5</v>
      </c>
      <c r="F1577">
        <v>15000</v>
      </c>
      <c r="G1577">
        <v>0</v>
      </c>
      <c r="H1577">
        <v>0</v>
      </c>
      <c r="I1577" t="s">
        <v>2652</v>
      </c>
      <c r="J1577" s="4">
        <f t="shared" si="72"/>
        <v>75000</v>
      </c>
      <c r="K1577" s="4" t="str">
        <f t="shared" si="73"/>
        <v>2024-03</v>
      </c>
      <c r="L1577" s="4" t="str">
        <f t="shared" si="74"/>
        <v>수</v>
      </c>
      <c r="M1577" s="2" t="str">
        <f>VLOOKUP($C1577, 고객정보!$A$2:$E$151, 2, FALSE)</f>
        <v>대전</v>
      </c>
      <c r="N1577" t="str">
        <f>VLOOKUP(C1577,고객정보!$A$2:$D$151,4,FALSE)</f>
        <v>L2</v>
      </c>
      <c r="O1577" t="str">
        <f>VLOOKUP($C1577, 고객정보!$A$2:$E$151, 5, FALSE)</f>
        <v>50대 이상</v>
      </c>
      <c r="P1577" t="str">
        <f>VLOOKUP(D1577,상품정보!$A$2:$E$61,2,FALSE)</f>
        <v>귀걸이</v>
      </c>
      <c r="Q1577" t="str">
        <f>VLOOKUP(D1577,상품정보!$A$2:$D$151,3,FALSE)</f>
        <v>액세서리</v>
      </c>
      <c r="R1577" t="str">
        <f>VLOOKUP(D1577,상품정보!$A$2:$D$151,4,FALSE)</f>
        <v>브랜드E</v>
      </c>
    </row>
    <row r="1578" spans="1:18" x14ac:dyDescent="0.45">
      <c r="A1578" t="s">
        <v>300</v>
      </c>
      <c r="B1578" t="s">
        <v>1977</v>
      </c>
      <c r="C1578" t="s">
        <v>2440</v>
      </c>
      <c r="D1578" t="s">
        <v>2587</v>
      </c>
      <c r="E1578">
        <v>1</v>
      </c>
      <c r="F1578">
        <v>50200</v>
      </c>
      <c r="G1578">
        <v>1000</v>
      </c>
      <c r="H1578">
        <v>0</v>
      </c>
      <c r="I1578" t="s">
        <v>2652</v>
      </c>
      <c r="J1578" s="4">
        <f t="shared" si="72"/>
        <v>51200</v>
      </c>
      <c r="K1578" s="4" t="str">
        <f t="shared" si="73"/>
        <v>2024-05</v>
      </c>
      <c r="L1578" s="4" t="str">
        <f t="shared" si="74"/>
        <v>화</v>
      </c>
      <c r="M1578" s="2" t="str">
        <f>VLOOKUP($C1578, 고객정보!$A$2:$E$151, 2, FALSE)</f>
        <v>대구</v>
      </c>
      <c r="N1578" t="str">
        <f>VLOOKUP(C1578,고객정보!$A$2:$D$151,4,FALSE)</f>
        <v>L2</v>
      </c>
      <c r="O1578" t="str">
        <f>VLOOKUP($C1578, 고객정보!$A$2:$E$151, 5, FALSE)</f>
        <v>10대</v>
      </c>
      <c r="P1578" t="str">
        <f>VLOOKUP(D1578,상품정보!$A$2:$E$61,2,FALSE)</f>
        <v>반지</v>
      </c>
      <c r="Q1578" t="str">
        <f>VLOOKUP(D1578,상품정보!$A$2:$D$151,3,FALSE)</f>
        <v>액세서리</v>
      </c>
      <c r="R1578" t="str">
        <f>VLOOKUP(D1578,상품정보!$A$2:$D$151,4,FALSE)</f>
        <v>브랜드B</v>
      </c>
    </row>
    <row r="1579" spans="1:18" x14ac:dyDescent="0.45">
      <c r="A1579" t="s">
        <v>382</v>
      </c>
      <c r="B1579" t="s">
        <v>1978</v>
      </c>
      <c r="C1579" t="s">
        <v>2432</v>
      </c>
      <c r="D1579" t="s">
        <v>2583</v>
      </c>
      <c r="E1579">
        <v>1</v>
      </c>
      <c r="F1579">
        <v>6600</v>
      </c>
      <c r="G1579">
        <v>2000</v>
      </c>
      <c r="H1579">
        <v>0</v>
      </c>
      <c r="I1579" t="s">
        <v>2652</v>
      </c>
      <c r="J1579" s="4">
        <f t="shared" si="72"/>
        <v>8600</v>
      </c>
      <c r="K1579" s="4" t="str">
        <f t="shared" si="73"/>
        <v>2024-12</v>
      </c>
      <c r="L1579" s="4" t="str">
        <f t="shared" si="74"/>
        <v>화</v>
      </c>
      <c r="M1579" s="2" t="str">
        <f>VLOOKUP($C1579, 고객정보!$A$2:$E$151, 2, FALSE)</f>
        <v>서울</v>
      </c>
      <c r="N1579" t="str">
        <f>VLOOKUP(C1579,고객정보!$A$2:$D$151,4,FALSE)</f>
        <v>L5</v>
      </c>
      <c r="O1579" t="str">
        <f>VLOOKUP($C1579, 고객정보!$A$2:$E$151, 5, FALSE)</f>
        <v>20대</v>
      </c>
      <c r="P1579" t="str">
        <f>VLOOKUP(D1579,상품정보!$A$2:$E$61,2,FALSE)</f>
        <v>셔츠</v>
      </c>
      <c r="Q1579" t="str">
        <f>VLOOKUP(D1579,상품정보!$A$2:$D$151,3,FALSE)</f>
        <v>의류</v>
      </c>
      <c r="R1579" t="str">
        <f>VLOOKUP(D1579,상품정보!$A$2:$D$151,4,FALSE)</f>
        <v>브랜드E</v>
      </c>
    </row>
    <row r="1580" spans="1:18" x14ac:dyDescent="0.45">
      <c r="A1580" t="s">
        <v>353</v>
      </c>
      <c r="B1580" t="s">
        <v>1979</v>
      </c>
      <c r="C1580" t="s">
        <v>2450</v>
      </c>
      <c r="D1580" t="s">
        <v>2568</v>
      </c>
      <c r="E1580">
        <v>1</v>
      </c>
      <c r="F1580">
        <v>16800</v>
      </c>
      <c r="G1580">
        <v>0</v>
      </c>
      <c r="H1580">
        <v>0</v>
      </c>
      <c r="I1580" t="s">
        <v>2652</v>
      </c>
      <c r="J1580" s="4">
        <f t="shared" si="72"/>
        <v>16800</v>
      </c>
      <c r="K1580" s="4" t="str">
        <f t="shared" si="73"/>
        <v>2024-01</v>
      </c>
      <c r="L1580" s="4" t="str">
        <f t="shared" si="74"/>
        <v>수</v>
      </c>
      <c r="M1580" s="2" t="str">
        <f>VLOOKUP($C1580, 고객정보!$A$2:$E$151, 2, FALSE)</f>
        <v>인천</v>
      </c>
      <c r="N1580" t="str">
        <f>VLOOKUP(C1580,고객정보!$A$2:$D$151,4,FALSE)</f>
        <v>L5</v>
      </c>
      <c r="O1580" t="str">
        <f>VLOOKUP($C1580, 고객정보!$A$2:$E$151, 5, FALSE)</f>
        <v>40대</v>
      </c>
      <c r="P1580" t="str">
        <f>VLOOKUP(D1580,상품정보!$A$2:$E$61,2,FALSE)</f>
        <v>청바지</v>
      </c>
      <c r="Q1580" t="str">
        <f>VLOOKUP(D1580,상품정보!$A$2:$D$151,3,FALSE)</f>
        <v>의류</v>
      </c>
      <c r="R1580" t="str">
        <f>VLOOKUP(D1580,상품정보!$A$2:$D$151,4,FALSE)</f>
        <v>브랜드C</v>
      </c>
    </row>
    <row r="1581" spans="1:18" x14ac:dyDescent="0.45">
      <c r="A1581" t="s">
        <v>27</v>
      </c>
      <c r="B1581" t="s">
        <v>1980</v>
      </c>
      <c r="C1581" t="s">
        <v>2529</v>
      </c>
      <c r="D1581" t="s">
        <v>2593</v>
      </c>
      <c r="E1581">
        <v>2</v>
      </c>
      <c r="F1581">
        <v>74600</v>
      </c>
      <c r="G1581">
        <v>2000</v>
      </c>
      <c r="H1581">
        <v>0</v>
      </c>
      <c r="I1581" t="s">
        <v>2652</v>
      </c>
      <c r="J1581" s="4">
        <f t="shared" si="72"/>
        <v>151200</v>
      </c>
      <c r="K1581" s="4" t="str">
        <f t="shared" si="73"/>
        <v>2024-12</v>
      </c>
      <c r="L1581" s="4" t="str">
        <f t="shared" si="74"/>
        <v>수</v>
      </c>
      <c r="M1581" s="2" t="str">
        <f>VLOOKUP($C1581, 고객정보!$A$2:$E$151, 2, FALSE)</f>
        <v>인천</v>
      </c>
      <c r="N1581" t="str">
        <f>VLOOKUP(C1581,고객정보!$A$2:$D$151,4,FALSE)</f>
        <v>L2</v>
      </c>
      <c r="O1581" t="str">
        <f>VLOOKUP($C1581, 고객정보!$A$2:$E$151, 5, FALSE)</f>
        <v>30대</v>
      </c>
      <c r="P1581" t="str">
        <f>VLOOKUP(D1581,상품정보!$A$2:$E$61,2,FALSE)</f>
        <v>반팔 티셔츠</v>
      </c>
      <c r="Q1581" t="str">
        <f>VLOOKUP(D1581,상품정보!$A$2:$D$151,3,FALSE)</f>
        <v>의류</v>
      </c>
      <c r="R1581" t="str">
        <f>VLOOKUP(D1581,상품정보!$A$2:$D$151,4,FALSE)</f>
        <v>브랜드B</v>
      </c>
    </row>
    <row r="1582" spans="1:18" x14ac:dyDescent="0.45">
      <c r="A1582" t="s">
        <v>218</v>
      </c>
      <c r="B1582" t="s">
        <v>1981</v>
      </c>
      <c r="C1582" t="s">
        <v>2436</v>
      </c>
      <c r="D1582" t="s">
        <v>2577</v>
      </c>
      <c r="E1582">
        <v>1</v>
      </c>
      <c r="F1582">
        <v>10200</v>
      </c>
      <c r="G1582">
        <v>1500</v>
      </c>
      <c r="H1582">
        <v>0</v>
      </c>
      <c r="I1582" t="s">
        <v>2652</v>
      </c>
      <c r="J1582" s="4">
        <f t="shared" si="72"/>
        <v>11700</v>
      </c>
      <c r="K1582" s="4" t="str">
        <f t="shared" si="73"/>
        <v>2024-03</v>
      </c>
      <c r="L1582" s="4" t="str">
        <f t="shared" si="74"/>
        <v>화</v>
      </c>
      <c r="M1582" s="2" t="str">
        <f>VLOOKUP($C1582, 고객정보!$A$2:$E$151, 2, FALSE)</f>
        <v>인천</v>
      </c>
      <c r="N1582" t="str">
        <f>VLOOKUP(C1582,고객정보!$A$2:$D$151,4,FALSE)</f>
        <v>L4</v>
      </c>
      <c r="O1582" t="str">
        <f>VLOOKUP($C1582, 고객정보!$A$2:$E$151, 5, FALSE)</f>
        <v>10대</v>
      </c>
      <c r="P1582" t="str">
        <f>VLOOKUP(D1582,상품정보!$A$2:$E$61,2,FALSE)</f>
        <v>셔츠</v>
      </c>
      <c r="Q1582" t="str">
        <f>VLOOKUP(D1582,상품정보!$A$2:$D$151,3,FALSE)</f>
        <v>의류</v>
      </c>
      <c r="R1582" t="str">
        <f>VLOOKUP(D1582,상품정보!$A$2:$D$151,4,FALSE)</f>
        <v>브랜드C</v>
      </c>
    </row>
    <row r="1583" spans="1:18" x14ac:dyDescent="0.45">
      <c r="A1583" t="s">
        <v>187</v>
      </c>
      <c r="B1583" t="s">
        <v>1982</v>
      </c>
      <c r="C1583" t="s">
        <v>2452</v>
      </c>
      <c r="D1583" t="s">
        <v>2607</v>
      </c>
      <c r="E1583">
        <v>3</v>
      </c>
      <c r="F1583">
        <v>16000</v>
      </c>
      <c r="G1583">
        <v>0</v>
      </c>
      <c r="H1583">
        <v>0</v>
      </c>
      <c r="I1583" t="s">
        <v>2652</v>
      </c>
      <c r="J1583" s="4">
        <f t="shared" si="72"/>
        <v>48000</v>
      </c>
      <c r="K1583" s="4" t="str">
        <f t="shared" si="73"/>
        <v>2024-10</v>
      </c>
      <c r="L1583" s="4" t="str">
        <f t="shared" si="74"/>
        <v>토</v>
      </c>
      <c r="M1583" s="2" t="str">
        <f>VLOOKUP($C1583, 고객정보!$A$2:$E$151, 2, FALSE)</f>
        <v>서울</v>
      </c>
      <c r="N1583" t="str">
        <f>VLOOKUP(C1583,고객정보!$A$2:$D$151,4,FALSE)</f>
        <v>L3</v>
      </c>
      <c r="O1583" t="str">
        <f>VLOOKUP($C1583, 고객정보!$A$2:$E$151, 5, FALSE)</f>
        <v>30대</v>
      </c>
      <c r="P1583" t="str">
        <f>VLOOKUP(D1583,상품정보!$A$2:$E$61,2,FALSE)</f>
        <v>목걸이</v>
      </c>
      <c r="Q1583" t="str">
        <f>VLOOKUP(D1583,상품정보!$A$2:$D$151,3,FALSE)</f>
        <v>액세서리</v>
      </c>
      <c r="R1583" t="str">
        <f>VLOOKUP(D1583,상품정보!$A$2:$D$151,4,FALSE)</f>
        <v>브랜드E</v>
      </c>
    </row>
    <row r="1584" spans="1:18" x14ac:dyDescent="0.45">
      <c r="A1584" t="s">
        <v>291</v>
      </c>
      <c r="B1584" t="s">
        <v>1983</v>
      </c>
      <c r="C1584" t="s">
        <v>2412</v>
      </c>
      <c r="D1584" t="s">
        <v>2570</v>
      </c>
      <c r="E1584">
        <v>4</v>
      </c>
      <c r="F1584">
        <v>73900</v>
      </c>
      <c r="G1584">
        <v>500</v>
      </c>
      <c r="H1584">
        <v>0</v>
      </c>
      <c r="I1584" t="s">
        <v>2652</v>
      </c>
      <c r="J1584" s="4">
        <f t="shared" si="72"/>
        <v>296100</v>
      </c>
      <c r="K1584" s="4" t="str">
        <f t="shared" si="73"/>
        <v>2025-01</v>
      </c>
      <c r="L1584" s="4" t="str">
        <f t="shared" si="74"/>
        <v>금</v>
      </c>
      <c r="M1584" s="2" t="str">
        <f>VLOOKUP($C1584, 고객정보!$A$2:$E$151, 2, FALSE)</f>
        <v>대전</v>
      </c>
      <c r="N1584" t="str">
        <f>VLOOKUP(C1584,고객정보!$A$2:$D$151,4,FALSE)</f>
        <v>L4</v>
      </c>
      <c r="O1584" t="str">
        <f>VLOOKUP($C1584, 고객정보!$A$2:$E$151, 5, FALSE)</f>
        <v>30대</v>
      </c>
      <c r="P1584" t="str">
        <f>VLOOKUP(D1584,상품정보!$A$2:$E$61,2,FALSE)</f>
        <v>반지</v>
      </c>
      <c r="Q1584" t="str">
        <f>VLOOKUP(D1584,상품정보!$A$2:$D$151,3,FALSE)</f>
        <v>액세서리</v>
      </c>
      <c r="R1584" t="str">
        <f>VLOOKUP(D1584,상품정보!$A$2:$D$151,4,FALSE)</f>
        <v>브랜드B</v>
      </c>
    </row>
    <row r="1585" spans="1:18" x14ac:dyDescent="0.45">
      <c r="A1585" t="s">
        <v>18</v>
      </c>
      <c r="B1585" t="s">
        <v>1984</v>
      </c>
      <c r="C1585" t="s">
        <v>2512</v>
      </c>
      <c r="D1585" t="s">
        <v>2551</v>
      </c>
      <c r="E1585">
        <v>4</v>
      </c>
      <c r="F1585">
        <v>66600</v>
      </c>
      <c r="G1585">
        <v>1500</v>
      </c>
      <c r="H1585">
        <v>0</v>
      </c>
      <c r="I1585" t="s">
        <v>2652</v>
      </c>
      <c r="J1585" s="4">
        <f t="shared" si="72"/>
        <v>267900</v>
      </c>
      <c r="K1585" s="4" t="str">
        <f t="shared" si="73"/>
        <v>2024-07</v>
      </c>
      <c r="L1585" s="4" t="str">
        <f t="shared" si="74"/>
        <v>화</v>
      </c>
      <c r="M1585" s="2" t="str">
        <f>VLOOKUP($C1585, 고객정보!$A$2:$E$151, 2, FALSE)</f>
        <v>서울</v>
      </c>
      <c r="N1585" t="str">
        <f>VLOOKUP(C1585,고객정보!$A$2:$D$151,4,FALSE)</f>
        <v>L1</v>
      </c>
      <c r="O1585" t="str">
        <f>VLOOKUP($C1585, 고객정보!$A$2:$E$151, 5, FALSE)</f>
        <v>10대</v>
      </c>
      <c r="P1585" t="str">
        <f>VLOOKUP(D1585,상품정보!$A$2:$E$61,2,FALSE)</f>
        <v>반지</v>
      </c>
      <c r="Q1585" t="str">
        <f>VLOOKUP(D1585,상품정보!$A$2:$D$151,3,FALSE)</f>
        <v>액세서리</v>
      </c>
      <c r="R1585" t="str">
        <f>VLOOKUP(D1585,상품정보!$A$2:$D$151,4,FALSE)</f>
        <v>브랜드B</v>
      </c>
    </row>
    <row r="1586" spans="1:18" x14ac:dyDescent="0.45">
      <c r="A1586" t="s">
        <v>396</v>
      </c>
      <c r="B1586" t="s">
        <v>1985</v>
      </c>
      <c r="C1586" t="s">
        <v>2525</v>
      </c>
      <c r="D1586" t="s">
        <v>2605</v>
      </c>
      <c r="E1586">
        <v>1</v>
      </c>
      <c r="F1586">
        <v>6800</v>
      </c>
      <c r="G1586">
        <v>0</v>
      </c>
      <c r="H1586">
        <v>1000</v>
      </c>
      <c r="I1586" t="s">
        <v>2614</v>
      </c>
      <c r="J1586" s="4">
        <f t="shared" si="72"/>
        <v>5800</v>
      </c>
      <c r="K1586" s="4" t="str">
        <f t="shared" si="73"/>
        <v>2024-09</v>
      </c>
      <c r="L1586" s="4" t="str">
        <f t="shared" si="74"/>
        <v>목</v>
      </c>
      <c r="M1586" s="2" t="str">
        <f>VLOOKUP($C1586, 고객정보!$A$2:$E$151, 2, FALSE)</f>
        <v>수원</v>
      </c>
      <c r="N1586" t="str">
        <f>VLOOKUP(C1586,고객정보!$A$2:$D$151,4,FALSE)</f>
        <v>L4</v>
      </c>
      <c r="O1586" t="str">
        <f>VLOOKUP($C1586, 고객정보!$A$2:$E$151, 5, FALSE)</f>
        <v>20대</v>
      </c>
      <c r="P1586" t="str">
        <f>VLOOKUP(D1586,상품정보!$A$2:$E$61,2,FALSE)</f>
        <v>핸드폰케이스</v>
      </c>
      <c r="Q1586" t="str">
        <f>VLOOKUP(D1586,상품정보!$A$2:$D$151,3,FALSE)</f>
        <v>액세서리</v>
      </c>
      <c r="R1586" t="str">
        <f>VLOOKUP(D1586,상품정보!$A$2:$D$151,4,FALSE)</f>
        <v>브랜드D</v>
      </c>
    </row>
    <row r="1587" spans="1:18" x14ac:dyDescent="0.45">
      <c r="A1587" t="s">
        <v>326</v>
      </c>
      <c r="B1587" t="s">
        <v>1986</v>
      </c>
      <c r="C1587" t="s">
        <v>2470</v>
      </c>
      <c r="D1587" t="s">
        <v>2562</v>
      </c>
      <c r="E1587">
        <v>3</v>
      </c>
      <c r="F1587">
        <v>15600</v>
      </c>
      <c r="G1587">
        <v>0</v>
      </c>
      <c r="H1587">
        <v>0</v>
      </c>
      <c r="I1587" t="s">
        <v>2652</v>
      </c>
      <c r="J1587" s="4">
        <f t="shared" si="72"/>
        <v>46800</v>
      </c>
      <c r="K1587" s="4" t="str">
        <f t="shared" si="73"/>
        <v>2024-10</v>
      </c>
      <c r="L1587" s="4" t="str">
        <f t="shared" si="74"/>
        <v>금</v>
      </c>
      <c r="M1587" s="2" t="str">
        <f>VLOOKUP($C1587, 고객정보!$A$2:$E$151, 2, FALSE)</f>
        <v>대전</v>
      </c>
      <c r="N1587" t="str">
        <f>VLOOKUP(C1587,고객정보!$A$2:$D$151,4,FALSE)</f>
        <v>L5</v>
      </c>
      <c r="O1587" t="str">
        <f>VLOOKUP($C1587, 고객정보!$A$2:$E$151, 5, FALSE)</f>
        <v>20대</v>
      </c>
      <c r="P1587" t="str">
        <f>VLOOKUP(D1587,상품정보!$A$2:$E$61,2,FALSE)</f>
        <v>반팔 티셔츠</v>
      </c>
      <c r="Q1587" t="str">
        <f>VLOOKUP(D1587,상품정보!$A$2:$D$151,3,FALSE)</f>
        <v>의류</v>
      </c>
      <c r="R1587" t="str">
        <f>VLOOKUP(D1587,상품정보!$A$2:$D$151,4,FALSE)</f>
        <v>브랜드E</v>
      </c>
    </row>
    <row r="1588" spans="1:18" x14ac:dyDescent="0.45">
      <c r="A1588" t="s">
        <v>80</v>
      </c>
      <c r="B1588" t="s">
        <v>1987</v>
      </c>
      <c r="C1588" t="s">
        <v>2510</v>
      </c>
      <c r="D1588" t="s">
        <v>2555</v>
      </c>
      <c r="E1588">
        <v>5</v>
      </c>
      <c r="F1588">
        <v>8300</v>
      </c>
      <c r="G1588">
        <v>0</v>
      </c>
      <c r="H1588">
        <v>0</v>
      </c>
      <c r="I1588" t="s">
        <v>2652</v>
      </c>
      <c r="J1588" s="4">
        <f t="shared" si="72"/>
        <v>41500</v>
      </c>
      <c r="K1588" s="4" t="str">
        <f t="shared" si="73"/>
        <v>2024-04</v>
      </c>
      <c r="L1588" s="4" t="str">
        <f t="shared" si="74"/>
        <v>금</v>
      </c>
      <c r="M1588" s="2" t="str">
        <f>VLOOKUP($C1588, 고객정보!$A$2:$E$151, 2, FALSE)</f>
        <v>부산</v>
      </c>
      <c r="N1588" t="str">
        <f>VLOOKUP(C1588,고객정보!$A$2:$D$151,4,FALSE)</f>
        <v>L3</v>
      </c>
      <c r="O1588" t="str">
        <f>VLOOKUP($C1588, 고객정보!$A$2:$E$151, 5, FALSE)</f>
        <v>20대</v>
      </c>
      <c r="P1588" t="str">
        <f>VLOOKUP(D1588,상품정보!$A$2:$E$61,2,FALSE)</f>
        <v>청바지</v>
      </c>
      <c r="Q1588" t="str">
        <f>VLOOKUP(D1588,상품정보!$A$2:$D$151,3,FALSE)</f>
        <v>의류</v>
      </c>
      <c r="R1588" t="str">
        <f>VLOOKUP(D1588,상품정보!$A$2:$D$151,4,FALSE)</f>
        <v>브랜드E</v>
      </c>
    </row>
    <row r="1589" spans="1:18" x14ac:dyDescent="0.45">
      <c r="A1589" t="s">
        <v>320</v>
      </c>
      <c r="B1589" t="s">
        <v>1988</v>
      </c>
      <c r="C1589" t="s">
        <v>2403</v>
      </c>
      <c r="D1589" t="s">
        <v>2603</v>
      </c>
      <c r="E1589">
        <v>3</v>
      </c>
      <c r="F1589">
        <v>8200</v>
      </c>
      <c r="G1589">
        <v>500</v>
      </c>
      <c r="H1589">
        <v>0</v>
      </c>
      <c r="I1589" t="s">
        <v>2652</v>
      </c>
      <c r="J1589" s="4">
        <f t="shared" si="72"/>
        <v>25100</v>
      </c>
      <c r="K1589" s="4" t="str">
        <f t="shared" si="73"/>
        <v>2025-01</v>
      </c>
      <c r="L1589" s="4" t="str">
        <f t="shared" si="74"/>
        <v>목</v>
      </c>
      <c r="M1589" s="2" t="str">
        <f>VLOOKUP($C1589, 고객정보!$A$2:$E$151, 2, FALSE)</f>
        <v>수원</v>
      </c>
      <c r="N1589" t="str">
        <f>VLOOKUP(C1589,고객정보!$A$2:$D$151,4,FALSE)</f>
        <v>L3</v>
      </c>
      <c r="O1589" t="str">
        <f>VLOOKUP($C1589, 고객정보!$A$2:$E$151, 5, FALSE)</f>
        <v>30대</v>
      </c>
      <c r="P1589" t="str">
        <f>VLOOKUP(D1589,상품정보!$A$2:$E$61,2,FALSE)</f>
        <v>목걸이</v>
      </c>
      <c r="Q1589" t="str">
        <f>VLOOKUP(D1589,상품정보!$A$2:$D$151,3,FALSE)</f>
        <v>액세서리</v>
      </c>
      <c r="R1589" t="str">
        <f>VLOOKUP(D1589,상품정보!$A$2:$D$151,4,FALSE)</f>
        <v>브랜드E</v>
      </c>
    </row>
    <row r="1590" spans="1:18" x14ac:dyDescent="0.45">
      <c r="A1590" t="s">
        <v>41</v>
      </c>
      <c r="B1590" t="s">
        <v>1989</v>
      </c>
      <c r="C1590" t="s">
        <v>2434</v>
      </c>
      <c r="D1590" t="s">
        <v>2565</v>
      </c>
      <c r="E1590">
        <v>5</v>
      </c>
      <c r="F1590">
        <v>50000</v>
      </c>
      <c r="G1590">
        <v>0</v>
      </c>
      <c r="H1590">
        <v>0</v>
      </c>
      <c r="I1590" t="s">
        <v>2652</v>
      </c>
      <c r="J1590" s="4">
        <f t="shared" si="72"/>
        <v>250000</v>
      </c>
      <c r="K1590" s="4" t="str">
        <f t="shared" si="73"/>
        <v>2024-10</v>
      </c>
      <c r="L1590" s="4" t="str">
        <f t="shared" si="74"/>
        <v>목</v>
      </c>
      <c r="M1590" s="2" t="str">
        <f>VLOOKUP($C1590, 고객정보!$A$2:$E$151, 2, FALSE)</f>
        <v>대구</v>
      </c>
      <c r="N1590" t="str">
        <f>VLOOKUP(C1590,고객정보!$A$2:$D$151,4,FALSE)</f>
        <v>L1</v>
      </c>
      <c r="O1590" t="str">
        <f>VLOOKUP($C1590, 고객정보!$A$2:$E$151, 5, FALSE)</f>
        <v>10대</v>
      </c>
      <c r="P1590" t="str">
        <f>VLOOKUP(D1590,상품정보!$A$2:$E$61,2,FALSE)</f>
        <v>핸드폰케이스</v>
      </c>
      <c r="Q1590" t="str">
        <f>VLOOKUP(D1590,상품정보!$A$2:$D$151,3,FALSE)</f>
        <v>액세서리</v>
      </c>
      <c r="R1590" t="str">
        <f>VLOOKUP(D1590,상품정보!$A$2:$D$151,4,FALSE)</f>
        <v>브랜드B</v>
      </c>
    </row>
    <row r="1591" spans="1:18" x14ac:dyDescent="0.45">
      <c r="A1591" t="s">
        <v>16</v>
      </c>
      <c r="B1591" t="s">
        <v>1990</v>
      </c>
      <c r="C1591" t="s">
        <v>2541</v>
      </c>
      <c r="D1591" t="s">
        <v>2571</v>
      </c>
      <c r="E1591">
        <v>5</v>
      </c>
      <c r="F1591">
        <v>55600</v>
      </c>
      <c r="G1591">
        <v>500</v>
      </c>
      <c r="H1591">
        <v>11600</v>
      </c>
      <c r="I1591" t="s">
        <v>2613</v>
      </c>
      <c r="J1591" s="4">
        <f t="shared" si="72"/>
        <v>266900</v>
      </c>
      <c r="K1591" s="4" t="str">
        <f t="shared" si="73"/>
        <v>2024-03</v>
      </c>
      <c r="L1591" s="4" t="str">
        <f t="shared" si="74"/>
        <v>수</v>
      </c>
      <c r="M1591" s="2" t="str">
        <f>VLOOKUP($C1591, 고객정보!$A$2:$E$151, 2, FALSE)</f>
        <v>대구</v>
      </c>
      <c r="N1591" t="str">
        <f>VLOOKUP(C1591,고객정보!$A$2:$D$151,4,FALSE)</f>
        <v>L5</v>
      </c>
      <c r="O1591" t="str">
        <f>VLOOKUP($C1591, 고객정보!$A$2:$E$151, 5, FALSE)</f>
        <v>30대</v>
      </c>
      <c r="P1591" t="str">
        <f>VLOOKUP(D1591,상품정보!$A$2:$E$61,2,FALSE)</f>
        <v>자켓</v>
      </c>
      <c r="Q1591" t="str">
        <f>VLOOKUP(D1591,상품정보!$A$2:$D$151,3,FALSE)</f>
        <v>의류</v>
      </c>
      <c r="R1591" t="str">
        <f>VLOOKUP(D1591,상품정보!$A$2:$D$151,4,FALSE)</f>
        <v>브랜드B</v>
      </c>
    </row>
    <row r="1592" spans="1:18" x14ac:dyDescent="0.45">
      <c r="A1592" t="s">
        <v>326</v>
      </c>
      <c r="B1592" t="s">
        <v>1991</v>
      </c>
      <c r="C1592" t="s">
        <v>2516</v>
      </c>
      <c r="D1592" t="s">
        <v>2595</v>
      </c>
      <c r="E1592">
        <v>3</v>
      </c>
      <c r="F1592">
        <v>12700</v>
      </c>
      <c r="G1592">
        <v>0</v>
      </c>
      <c r="H1592">
        <v>0</v>
      </c>
      <c r="I1592" t="s">
        <v>2652</v>
      </c>
      <c r="J1592" s="4">
        <f t="shared" si="72"/>
        <v>38100</v>
      </c>
      <c r="K1592" s="4" t="str">
        <f t="shared" si="73"/>
        <v>2024-10</v>
      </c>
      <c r="L1592" s="4" t="str">
        <f t="shared" si="74"/>
        <v>금</v>
      </c>
      <c r="M1592" s="2" t="str">
        <f>VLOOKUP($C1592, 고객정보!$A$2:$E$151, 2, FALSE)</f>
        <v>대전</v>
      </c>
      <c r="N1592" t="str">
        <f>VLOOKUP(C1592,고객정보!$A$2:$D$151,4,FALSE)</f>
        <v>L3</v>
      </c>
      <c r="O1592" t="str">
        <f>VLOOKUP($C1592, 고객정보!$A$2:$E$151, 5, FALSE)</f>
        <v>10대</v>
      </c>
      <c r="P1592" t="str">
        <f>VLOOKUP(D1592,상품정보!$A$2:$E$61,2,FALSE)</f>
        <v>반지</v>
      </c>
      <c r="Q1592" t="str">
        <f>VLOOKUP(D1592,상품정보!$A$2:$D$151,3,FALSE)</f>
        <v>액세서리</v>
      </c>
      <c r="R1592" t="str">
        <f>VLOOKUP(D1592,상품정보!$A$2:$D$151,4,FALSE)</f>
        <v>브랜드C</v>
      </c>
    </row>
    <row r="1593" spans="1:18" x14ac:dyDescent="0.45">
      <c r="A1593" t="s">
        <v>376</v>
      </c>
      <c r="B1593" t="s">
        <v>1992</v>
      </c>
      <c r="C1593" t="s">
        <v>2419</v>
      </c>
      <c r="D1593" t="s">
        <v>2581</v>
      </c>
      <c r="E1593">
        <v>1</v>
      </c>
      <c r="F1593">
        <v>72900</v>
      </c>
      <c r="G1593">
        <v>0</v>
      </c>
      <c r="H1593">
        <v>100</v>
      </c>
      <c r="I1593" t="s">
        <v>2611</v>
      </c>
      <c r="J1593" s="4">
        <f t="shared" si="72"/>
        <v>72800</v>
      </c>
      <c r="K1593" s="4" t="str">
        <f t="shared" si="73"/>
        <v>2024-11</v>
      </c>
      <c r="L1593" s="4" t="str">
        <f t="shared" si="74"/>
        <v>금</v>
      </c>
      <c r="M1593" s="2" t="str">
        <f>VLOOKUP($C1593, 고객정보!$A$2:$E$151, 2, FALSE)</f>
        <v>대구</v>
      </c>
      <c r="N1593" t="str">
        <f>VLOOKUP(C1593,고객정보!$A$2:$D$151,4,FALSE)</f>
        <v>L2</v>
      </c>
      <c r="O1593" t="str">
        <f>VLOOKUP($C1593, 고객정보!$A$2:$E$151, 5, FALSE)</f>
        <v>20대</v>
      </c>
      <c r="P1593" t="str">
        <f>VLOOKUP(D1593,상품정보!$A$2:$E$61,2,FALSE)</f>
        <v>귀걸이</v>
      </c>
      <c r="Q1593" t="str">
        <f>VLOOKUP(D1593,상품정보!$A$2:$D$151,3,FALSE)</f>
        <v>액세서리</v>
      </c>
      <c r="R1593" t="str">
        <f>VLOOKUP(D1593,상품정보!$A$2:$D$151,4,FALSE)</f>
        <v>브랜드F</v>
      </c>
    </row>
    <row r="1594" spans="1:18" x14ac:dyDescent="0.45">
      <c r="A1594" t="s">
        <v>285</v>
      </c>
      <c r="B1594" t="s">
        <v>1993</v>
      </c>
      <c r="C1594" t="s">
        <v>2439</v>
      </c>
      <c r="D1594" t="s">
        <v>2559</v>
      </c>
      <c r="E1594">
        <v>2</v>
      </c>
      <c r="F1594">
        <v>5400</v>
      </c>
      <c r="G1594">
        <v>2000</v>
      </c>
      <c r="H1594">
        <v>0</v>
      </c>
      <c r="I1594" t="s">
        <v>2652</v>
      </c>
      <c r="J1594" s="4">
        <f t="shared" si="72"/>
        <v>12800</v>
      </c>
      <c r="K1594" s="4" t="str">
        <f t="shared" si="73"/>
        <v>2024-01</v>
      </c>
      <c r="L1594" s="4" t="str">
        <f t="shared" si="74"/>
        <v>수</v>
      </c>
      <c r="M1594" s="2" t="str">
        <f>VLOOKUP($C1594, 고객정보!$A$2:$E$151, 2, FALSE)</f>
        <v>대구</v>
      </c>
      <c r="N1594" t="str">
        <f>VLOOKUP(C1594,고객정보!$A$2:$D$151,4,FALSE)</f>
        <v>L3</v>
      </c>
      <c r="O1594" t="str">
        <f>VLOOKUP($C1594, 고객정보!$A$2:$E$151, 5, FALSE)</f>
        <v>30대</v>
      </c>
      <c r="P1594" t="str">
        <f>VLOOKUP(D1594,상품정보!$A$2:$E$61,2,FALSE)</f>
        <v>반지</v>
      </c>
      <c r="Q1594" t="str">
        <f>VLOOKUP(D1594,상품정보!$A$2:$D$151,3,FALSE)</f>
        <v>액세서리</v>
      </c>
      <c r="R1594" t="str">
        <f>VLOOKUP(D1594,상품정보!$A$2:$D$151,4,FALSE)</f>
        <v>브랜드D</v>
      </c>
    </row>
    <row r="1595" spans="1:18" x14ac:dyDescent="0.45">
      <c r="A1595" t="s">
        <v>51</v>
      </c>
      <c r="B1595" t="s">
        <v>1994</v>
      </c>
      <c r="C1595" t="s">
        <v>2419</v>
      </c>
      <c r="D1595" t="s">
        <v>2587</v>
      </c>
      <c r="E1595">
        <v>5</v>
      </c>
      <c r="F1595">
        <v>50200</v>
      </c>
      <c r="G1595">
        <v>0</v>
      </c>
      <c r="H1595">
        <v>0</v>
      </c>
      <c r="I1595" t="s">
        <v>2652</v>
      </c>
      <c r="J1595" s="4">
        <f t="shared" si="72"/>
        <v>251000</v>
      </c>
      <c r="K1595" s="4" t="str">
        <f t="shared" si="73"/>
        <v>2024-05</v>
      </c>
      <c r="L1595" s="4" t="str">
        <f t="shared" si="74"/>
        <v>목</v>
      </c>
      <c r="M1595" s="2" t="str">
        <f>VLOOKUP($C1595, 고객정보!$A$2:$E$151, 2, FALSE)</f>
        <v>대구</v>
      </c>
      <c r="N1595" t="str">
        <f>VLOOKUP(C1595,고객정보!$A$2:$D$151,4,FALSE)</f>
        <v>L2</v>
      </c>
      <c r="O1595" t="str">
        <f>VLOOKUP($C1595, 고객정보!$A$2:$E$151, 5, FALSE)</f>
        <v>20대</v>
      </c>
      <c r="P1595" t="str">
        <f>VLOOKUP(D1595,상품정보!$A$2:$E$61,2,FALSE)</f>
        <v>반지</v>
      </c>
      <c r="Q1595" t="str">
        <f>VLOOKUP(D1595,상품정보!$A$2:$D$151,3,FALSE)</f>
        <v>액세서리</v>
      </c>
      <c r="R1595" t="str">
        <f>VLOOKUP(D1595,상품정보!$A$2:$D$151,4,FALSE)</f>
        <v>브랜드B</v>
      </c>
    </row>
    <row r="1596" spans="1:18" x14ac:dyDescent="0.45">
      <c r="A1596" t="s">
        <v>360</v>
      </c>
      <c r="B1596" t="s">
        <v>1995</v>
      </c>
      <c r="C1596" t="s">
        <v>2442</v>
      </c>
      <c r="D1596" t="s">
        <v>2586</v>
      </c>
      <c r="E1596">
        <v>1</v>
      </c>
      <c r="F1596">
        <v>73000</v>
      </c>
      <c r="G1596">
        <v>1500</v>
      </c>
      <c r="H1596">
        <v>500</v>
      </c>
      <c r="I1596" t="s">
        <v>2611</v>
      </c>
      <c r="J1596" s="4">
        <f t="shared" si="72"/>
        <v>74000</v>
      </c>
      <c r="K1596" s="4" t="str">
        <f t="shared" si="73"/>
        <v>2024-12</v>
      </c>
      <c r="L1596" s="4" t="str">
        <f t="shared" si="74"/>
        <v>화</v>
      </c>
      <c r="M1596" s="2" t="str">
        <f>VLOOKUP($C1596, 고객정보!$A$2:$E$151, 2, FALSE)</f>
        <v>부산</v>
      </c>
      <c r="N1596" t="str">
        <f>VLOOKUP(C1596,고객정보!$A$2:$D$151,4,FALSE)</f>
        <v>L1</v>
      </c>
      <c r="O1596" t="str">
        <f>VLOOKUP($C1596, 고객정보!$A$2:$E$151, 5, FALSE)</f>
        <v>40대</v>
      </c>
      <c r="P1596" t="str">
        <f>VLOOKUP(D1596,상품정보!$A$2:$E$61,2,FALSE)</f>
        <v>귀걸이</v>
      </c>
      <c r="Q1596" t="str">
        <f>VLOOKUP(D1596,상품정보!$A$2:$D$151,3,FALSE)</f>
        <v>액세서리</v>
      </c>
      <c r="R1596" t="str">
        <f>VLOOKUP(D1596,상품정보!$A$2:$D$151,4,FALSE)</f>
        <v>브랜드B</v>
      </c>
    </row>
    <row r="1597" spans="1:18" x14ac:dyDescent="0.45">
      <c r="A1597" t="s">
        <v>64</v>
      </c>
      <c r="B1597" t="s">
        <v>1996</v>
      </c>
      <c r="C1597" t="s">
        <v>2436</v>
      </c>
      <c r="D1597" t="s">
        <v>2602</v>
      </c>
      <c r="E1597">
        <v>4</v>
      </c>
      <c r="F1597">
        <v>59900</v>
      </c>
      <c r="G1597">
        <v>1500</v>
      </c>
      <c r="H1597">
        <v>0</v>
      </c>
      <c r="I1597" t="s">
        <v>2652</v>
      </c>
      <c r="J1597" s="4">
        <f t="shared" si="72"/>
        <v>241100</v>
      </c>
      <c r="K1597" s="4" t="str">
        <f t="shared" si="73"/>
        <v>2024-04</v>
      </c>
      <c r="L1597" s="4" t="str">
        <f t="shared" si="74"/>
        <v>일</v>
      </c>
      <c r="M1597" s="2" t="str">
        <f>VLOOKUP($C1597, 고객정보!$A$2:$E$151, 2, FALSE)</f>
        <v>인천</v>
      </c>
      <c r="N1597" t="str">
        <f>VLOOKUP(C1597,고객정보!$A$2:$D$151,4,FALSE)</f>
        <v>L4</v>
      </c>
      <c r="O1597" t="str">
        <f>VLOOKUP($C1597, 고객정보!$A$2:$E$151, 5, FALSE)</f>
        <v>10대</v>
      </c>
      <c r="P1597" t="str">
        <f>VLOOKUP(D1597,상품정보!$A$2:$E$61,2,FALSE)</f>
        <v>셔츠</v>
      </c>
      <c r="Q1597" t="str">
        <f>VLOOKUP(D1597,상품정보!$A$2:$D$151,3,FALSE)</f>
        <v>의류</v>
      </c>
      <c r="R1597" t="str">
        <f>VLOOKUP(D1597,상품정보!$A$2:$D$151,4,FALSE)</f>
        <v>브랜드A</v>
      </c>
    </row>
    <row r="1598" spans="1:18" x14ac:dyDescent="0.45">
      <c r="A1598" t="s">
        <v>135</v>
      </c>
      <c r="B1598" t="s">
        <v>1997</v>
      </c>
      <c r="C1598" t="s">
        <v>2513</v>
      </c>
      <c r="D1598" t="s">
        <v>2579</v>
      </c>
      <c r="E1598">
        <v>4</v>
      </c>
      <c r="F1598">
        <v>51000</v>
      </c>
      <c r="G1598">
        <v>0</v>
      </c>
      <c r="H1598">
        <v>0</v>
      </c>
      <c r="I1598" t="s">
        <v>2652</v>
      </c>
      <c r="J1598" s="4">
        <f t="shared" si="72"/>
        <v>204000</v>
      </c>
      <c r="K1598" s="4" t="str">
        <f t="shared" si="73"/>
        <v>2025-01</v>
      </c>
      <c r="L1598" s="4" t="str">
        <f t="shared" si="74"/>
        <v>월</v>
      </c>
      <c r="M1598" s="2" t="str">
        <f>VLOOKUP($C1598, 고객정보!$A$2:$E$151, 2, FALSE)</f>
        <v>수원</v>
      </c>
      <c r="N1598" t="str">
        <f>VLOOKUP(C1598,고객정보!$A$2:$D$151,4,FALSE)</f>
        <v>L5</v>
      </c>
      <c r="O1598" t="str">
        <f>VLOOKUP($C1598, 고객정보!$A$2:$E$151, 5, FALSE)</f>
        <v>20대</v>
      </c>
      <c r="P1598" t="str">
        <f>VLOOKUP(D1598,상품정보!$A$2:$E$61,2,FALSE)</f>
        <v>핸드폰케이스</v>
      </c>
      <c r="Q1598" t="str">
        <f>VLOOKUP(D1598,상품정보!$A$2:$D$151,3,FALSE)</f>
        <v>액세서리</v>
      </c>
      <c r="R1598" t="str">
        <f>VLOOKUP(D1598,상품정보!$A$2:$D$151,4,FALSE)</f>
        <v>브랜드F</v>
      </c>
    </row>
    <row r="1599" spans="1:18" x14ac:dyDescent="0.45">
      <c r="A1599" t="s">
        <v>90</v>
      </c>
      <c r="B1599" t="s">
        <v>1998</v>
      </c>
      <c r="C1599" t="s">
        <v>2472</v>
      </c>
      <c r="D1599" t="s">
        <v>2573</v>
      </c>
      <c r="E1599">
        <v>5</v>
      </c>
      <c r="F1599">
        <v>6400</v>
      </c>
      <c r="G1599">
        <v>0</v>
      </c>
      <c r="H1599">
        <v>0</v>
      </c>
      <c r="I1599" t="s">
        <v>2652</v>
      </c>
      <c r="J1599" s="4">
        <f t="shared" si="72"/>
        <v>32000</v>
      </c>
      <c r="K1599" s="4" t="str">
        <f t="shared" si="73"/>
        <v>2024-05</v>
      </c>
      <c r="L1599" s="4" t="str">
        <f t="shared" si="74"/>
        <v>금</v>
      </c>
      <c r="M1599" s="2" t="str">
        <f>VLOOKUP($C1599, 고객정보!$A$2:$E$151, 2, FALSE)</f>
        <v>서울</v>
      </c>
      <c r="N1599" t="str">
        <f>VLOOKUP(C1599,고객정보!$A$2:$D$151,4,FALSE)</f>
        <v>L1</v>
      </c>
      <c r="O1599" t="str">
        <f>VLOOKUP($C1599, 고객정보!$A$2:$E$151, 5, FALSE)</f>
        <v>20대</v>
      </c>
      <c r="P1599" t="str">
        <f>VLOOKUP(D1599,상품정보!$A$2:$E$61,2,FALSE)</f>
        <v>귀걸이</v>
      </c>
      <c r="Q1599" t="str">
        <f>VLOOKUP(D1599,상품정보!$A$2:$D$151,3,FALSE)</f>
        <v>액세서리</v>
      </c>
      <c r="R1599" t="str">
        <f>VLOOKUP(D1599,상품정보!$A$2:$D$151,4,FALSE)</f>
        <v>브랜드E</v>
      </c>
    </row>
    <row r="1600" spans="1:18" x14ac:dyDescent="0.45">
      <c r="A1600" t="s">
        <v>241</v>
      </c>
      <c r="B1600" t="s">
        <v>1999</v>
      </c>
      <c r="C1600" t="s">
        <v>2442</v>
      </c>
      <c r="D1600" t="s">
        <v>2592</v>
      </c>
      <c r="E1600">
        <v>3</v>
      </c>
      <c r="F1600">
        <v>72700</v>
      </c>
      <c r="G1600">
        <v>1000</v>
      </c>
      <c r="H1600">
        <v>0</v>
      </c>
      <c r="I1600" t="s">
        <v>2652</v>
      </c>
      <c r="J1600" s="4">
        <f t="shared" si="72"/>
        <v>219100</v>
      </c>
      <c r="K1600" s="4" t="str">
        <f t="shared" si="73"/>
        <v>2024-02</v>
      </c>
      <c r="L1600" s="4" t="str">
        <f t="shared" si="74"/>
        <v>월</v>
      </c>
      <c r="M1600" s="2" t="str">
        <f>VLOOKUP($C1600, 고객정보!$A$2:$E$151, 2, FALSE)</f>
        <v>부산</v>
      </c>
      <c r="N1600" t="str">
        <f>VLOOKUP(C1600,고객정보!$A$2:$D$151,4,FALSE)</f>
        <v>L1</v>
      </c>
      <c r="O1600" t="str">
        <f>VLOOKUP($C1600, 고객정보!$A$2:$E$151, 5, FALSE)</f>
        <v>40대</v>
      </c>
      <c r="P1600" t="str">
        <f>VLOOKUP(D1600,상품정보!$A$2:$E$61,2,FALSE)</f>
        <v>귀걸이</v>
      </c>
      <c r="Q1600" t="str">
        <f>VLOOKUP(D1600,상품정보!$A$2:$D$151,3,FALSE)</f>
        <v>액세서리</v>
      </c>
      <c r="R1600" t="str">
        <f>VLOOKUP(D1600,상품정보!$A$2:$D$151,4,FALSE)</f>
        <v>브랜드A</v>
      </c>
    </row>
    <row r="1601" spans="1:18" x14ac:dyDescent="0.45">
      <c r="A1601" t="s">
        <v>19</v>
      </c>
      <c r="B1601" t="s">
        <v>2000</v>
      </c>
      <c r="C1601" t="s">
        <v>2454</v>
      </c>
      <c r="D1601" t="s">
        <v>2578</v>
      </c>
      <c r="E1601">
        <v>1</v>
      </c>
      <c r="F1601">
        <v>78000</v>
      </c>
      <c r="G1601">
        <v>1500</v>
      </c>
      <c r="H1601">
        <v>200</v>
      </c>
      <c r="I1601" t="s">
        <v>2614</v>
      </c>
      <c r="J1601" s="4">
        <f t="shared" si="72"/>
        <v>79300</v>
      </c>
      <c r="K1601" s="4" t="str">
        <f t="shared" si="73"/>
        <v>2024-01</v>
      </c>
      <c r="L1601" s="4" t="str">
        <f t="shared" si="74"/>
        <v>화</v>
      </c>
      <c r="M1601" s="2" t="str">
        <f>VLOOKUP($C1601, 고객정보!$A$2:$E$151, 2, FALSE)</f>
        <v>부산</v>
      </c>
      <c r="N1601" t="str">
        <f>VLOOKUP(C1601,고객정보!$A$2:$D$151,4,FALSE)</f>
        <v>L3</v>
      </c>
      <c r="O1601" t="str">
        <f>VLOOKUP($C1601, 고객정보!$A$2:$E$151, 5, FALSE)</f>
        <v>40대</v>
      </c>
      <c r="P1601" t="str">
        <f>VLOOKUP(D1601,상품정보!$A$2:$E$61,2,FALSE)</f>
        <v>귀걸이</v>
      </c>
      <c r="Q1601" t="str">
        <f>VLOOKUP(D1601,상품정보!$A$2:$D$151,3,FALSE)</f>
        <v>액세서리</v>
      </c>
      <c r="R1601" t="str">
        <f>VLOOKUP(D1601,상품정보!$A$2:$D$151,4,FALSE)</f>
        <v>브랜드B</v>
      </c>
    </row>
    <row r="1602" spans="1:18" x14ac:dyDescent="0.45">
      <c r="A1602" t="s">
        <v>293</v>
      </c>
      <c r="B1602" t="s">
        <v>2001</v>
      </c>
      <c r="C1602" t="s">
        <v>2469</v>
      </c>
      <c r="D1602" t="s">
        <v>2604</v>
      </c>
      <c r="E1602">
        <v>1</v>
      </c>
      <c r="F1602">
        <v>9700</v>
      </c>
      <c r="G1602">
        <v>0</v>
      </c>
      <c r="H1602">
        <v>0</v>
      </c>
      <c r="I1602" t="s">
        <v>2652</v>
      </c>
      <c r="J1602" s="4">
        <f t="shared" si="72"/>
        <v>9700</v>
      </c>
      <c r="K1602" s="4" t="str">
        <f t="shared" si="73"/>
        <v>2024-04</v>
      </c>
      <c r="L1602" s="4" t="str">
        <f t="shared" si="74"/>
        <v>토</v>
      </c>
      <c r="M1602" s="2" t="str">
        <f>VLOOKUP($C1602, 고객정보!$A$2:$E$151, 2, FALSE)</f>
        <v>수원</v>
      </c>
      <c r="N1602" t="str">
        <f>VLOOKUP(C1602,고객정보!$A$2:$D$151,4,FALSE)</f>
        <v>L5</v>
      </c>
      <c r="O1602" t="str">
        <f>VLOOKUP($C1602, 고객정보!$A$2:$E$151, 5, FALSE)</f>
        <v>20대</v>
      </c>
      <c r="P1602" t="str">
        <f>VLOOKUP(D1602,상품정보!$A$2:$E$61,2,FALSE)</f>
        <v>반팔 티셔츠</v>
      </c>
      <c r="Q1602" t="str">
        <f>VLOOKUP(D1602,상품정보!$A$2:$D$151,3,FALSE)</f>
        <v>의류</v>
      </c>
      <c r="R1602" t="str">
        <f>VLOOKUP(D1602,상품정보!$A$2:$D$151,4,FALSE)</f>
        <v>브랜드E</v>
      </c>
    </row>
    <row r="1603" spans="1:18" x14ac:dyDescent="0.45">
      <c r="A1603" t="s">
        <v>71</v>
      </c>
      <c r="B1603" t="s">
        <v>2002</v>
      </c>
      <c r="C1603" t="s">
        <v>2438</v>
      </c>
      <c r="D1603" t="s">
        <v>2583</v>
      </c>
      <c r="E1603">
        <v>2</v>
      </c>
      <c r="F1603">
        <v>6600</v>
      </c>
      <c r="G1603">
        <v>500</v>
      </c>
      <c r="H1603">
        <v>0</v>
      </c>
      <c r="I1603" t="s">
        <v>2652</v>
      </c>
      <c r="J1603" s="4">
        <f t="shared" ref="J1603:J1666" si="75">E1603*F1603+G1603-H1603</f>
        <v>13700</v>
      </c>
      <c r="K1603" s="4" t="str">
        <f t="shared" ref="K1603:K1666" si="76">LEFT(A1603,7)</f>
        <v>2024-02</v>
      </c>
      <c r="L1603" s="4" t="str">
        <f t="shared" ref="L1603:L1666" si="77">TEXT(WEEKDAY(A1603),"aaa")</f>
        <v>화</v>
      </c>
      <c r="M1603" s="2" t="str">
        <f>VLOOKUP($C1603, 고객정보!$A$2:$E$151, 2, FALSE)</f>
        <v>대구</v>
      </c>
      <c r="N1603" t="str">
        <f>VLOOKUP(C1603,고객정보!$A$2:$D$151,4,FALSE)</f>
        <v>L4</v>
      </c>
      <c r="O1603" t="str">
        <f>VLOOKUP($C1603, 고객정보!$A$2:$E$151, 5, FALSE)</f>
        <v>30대</v>
      </c>
      <c r="P1603" t="str">
        <f>VLOOKUP(D1603,상품정보!$A$2:$E$61,2,FALSE)</f>
        <v>셔츠</v>
      </c>
      <c r="Q1603" t="str">
        <f>VLOOKUP(D1603,상품정보!$A$2:$D$151,3,FALSE)</f>
        <v>의류</v>
      </c>
      <c r="R1603" t="str">
        <f>VLOOKUP(D1603,상품정보!$A$2:$D$151,4,FALSE)</f>
        <v>브랜드E</v>
      </c>
    </row>
    <row r="1604" spans="1:18" x14ac:dyDescent="0.45">
      <c r="A1604" t="s">
        <v>254</v>
      </c>
      <c r="B1604" t="s">
        <v>2003</v>
      </c>
      <c r="C1604" t="s">
        <v>2404</v>
      </c>
      <c r="D1604" t="s">
        <v>2563</v>
      </c>
      <c r="E1604">
        <v>4</v>
      </c>
      <c r="F1604">
        <v>6900</v>
      </c>
      <c r="G1604">
        <v>500</v>
      </c>
      <c r="H1604">
        <v>0</v>
      </c>
      <c r="I1604" t="s">
        <v>2652</v>
      </c>
      <c r="J1604" s="4">
        <f t="shared" si="75"/>
        <v>28100</v>
      </c>
      <c r="K1604" s="4" t="str">
        <f t="shared" si="76"/>
        <v>2024-12</v>
      </c>
      <c r="L1604" s="4" t="str">
        <f t="shared" si="77"/>
        <v>월</v>
      </c>
      <c r="M1604" s="2" t="str">
        <f>VLOOKUP($C1604, 고객정보!$A$2:$E$151, 2, FALSE)</f>
        <v>대구</v>
      </c>
      <c r="N1604" t="str">
        <f>VLOOKUP(C1604,고객정보!$A$2:$D$151,4,FALSE)</f>
        <v>L1</v>
      </c>
      <c r="O1604" t="str">
        <f>VLOOKUP($C1604, 고객정보!$A$2:$E$151, 5, FALSE)</f>
        <v>30대</v>
      </c>
      <c r="P1604" t="str">
        <f>VLOOKUP(D1604,상품정보!$A$2:$E$61,2,FALSE)</f>
        <v>귀걸이</v>
      </c>
      <c r="Q1604" t="str">
        <f>VLOOKUP(D1604,상품정보!$A$2:$D$151,3,FALSE)</f>
        <v>액세서리</v>
      </c>
      <c r="R1604" t="str">
        <f>VLOOKUP(D1604,상품정보!$A$2:$D$151,4,FALSE)</f>
        <v>브랜드D</v>
      </c>
    </row>
    <row r="1605" spans="1:18" x14ac:dyDescent="0.45">
      <c r="A1605" t="s">
        <v>27</v>
      </c>
      <c r="B1605" t="s">
        <v>2004</v>
      </c>
      <c r="C1605" t="s">
        <v>2510</v>
      </c>
      <c r="D1605" t="s">
        <v>2578</v>
      </c>
      <c r="E1605">
        <v>5</v>
      </c>
      <c r="F1605">
        <v>78000</v>
      </c>
      <c r="G1605">
        <v>0</v>
      </c>
      <c r="H1605">
        <v>0</v>
      </c>
      <c r="I1605" t="s">
        <v>2652</v>
      </c>
      <c r="J1605" s="4">
        <f t="shared" si="75"/>
        <v>390000</v>
      </c>
      <c r="K1605" s="4" t="str">
        <f t="shared" si="76"/>
        <v>2024-12</v>
      </c>
      <c r="L1605" s="4" t="str">
        <f t="shared" si="77"/>
        <v>수</v>
      </c>
      <c r="M1605" s="2" t="str">
        <f>VLOOKUP($C1605, 고객정보!$A$2:$E$151, 2, FALSE)</f>
        <v>부산</v>
      </c>
      <c r="N1605" t="str">
        <f>VLOOKUP(C1605,고객정보!$A$2:$D$151,4,FALSE)</f>
        <v>L3</v>
      </c>
      <c r="O1605" t="str">
        <f>VLOOKUP($C1605, 고객정보!$A$2:$E$151, 5, FALSE)</f>
        <v>20대</v>
      </c>
      <c r="P1605" t="str">
        <f>VLOOKUP(D1605,상품정보!$A$2:$E$61,2,FALSE)</f>
        <v>귀걸이</v>
      </c>
      <c r="Q1605" t="str">
        <f>VLOOKUP(D1605,상품정보!$A$2:$D$151,3,FALSE)</f>
        <v>액세서리</v>
      </c>
      <c r="R1605" t="str">
        <f>VLOOKUP(D1605,상품정보!$A$2:$D$151,4,FALSE)</f>
        <v>브랜드B</v>
      </c>
    </row>
    <row r="1606" spans="1:18" x14ac:dyDescent="0.45">
      <c r="A1606" t="s">
        <v>235</v>
      </c>
      <c r="B1606" t="s">
        <v>2005</v>
      </c>
      <c r="C1606" t="s">
        <v>2505</v>
      </c>
      <c r="D1606" t="s">
        <v>2596</v>
      </c>
      <c r="E1606">
        <v>3</v>
      </c>
      <c r="F1606">
        <v>59700</v>
      </c>
      <c r="G1606">
        <v>0</v>
      </c>
      <c r="H1606">
        <v>0</v>
      </c>
      <c r="I1606" t="s">
        <v>2652</v>
      </c>
      <c r="J1606" s="4">
        <f t="shared" si="75"/>
        <v>179100</v>
      </c>
      <c r="K1606" s="4" t="str">
        <f t="shared" si="76"/>
        <v>2024-04</v>
      </c>
      <c r="L1606" s="4" t="str">
        <f t="shared" si="77"/>
        <v>화</v>
      </c>
      <c r="M1606" s="2" t="str">
        <f>VLOOKUP($C1606, 고객정보!$A$2:$E$151, 2, FALSE)</f>
        <v>대구</v>
      </c>
      <c r="N1606" t="str">
        <f>VLOOKUP(C1606,고객정보!$A$2:$D$151,4,FALSE)</f>
        <v>L4</v>
      </c>
      <c r="O1606" t="str">
        <f>VLOOKUP($C1606, 고객정보!$A$2:$E$151, 5, FALSE)</f>
        <v>40대</v>
      </c>
      <c r="P1606" t="str">
        <f>VLOOKUP(D1606,상품정보!$A$2:$E$61,2,FALSE)</f>
        <v>청바지</v>
      </c>
      <c r="Q1606" t="str">
        <f>VLOOKUP(D1606,상품정보!$A$2:$D$151,3,FALSE)</f>
        <v>의류</v>
      </c>
      <c r="R1606" t="str">
        <f>VLOOKUP(D1606,상품정보!$A$2:$D$151,4,FALSE)</f>
        <v>브랜드A</v>
      </c>
    </row>
    <row r="1607" spans="1:18" x14ac:dyDescent="0.45">
      <c r="A1607" t="s">
        <v>127</v>
      </c>
      <c r="B1607" t="s">
        <v>2006</v>
      </c>
      <c r="C1607" t="s">
        <v>2421</v>
      </c>
      <c r="D1607" t="s">
        <v>2594</v>
      </c>
      <c r="E1607">
        <v>2</v>
      </c>
      <c r="F1607">
        <v>73000</v>
      </c>
      <c r="G1607">
        <v>0</v>
      </c>
      <c r="H1607">
        <v>0</v>
      </c>
      <c r="I1607" t="s">
        <v>2652</v>
      </c>
      <c r="J1607" s="4">
        <f t="shared" si="75"/>
        <v>146000</v>
      </c>
      <c r="K1607" s="4" t="str">
        <f t="shared" si="76"/>
        <v>2024-12</v>
      </c>
      <c r="L1607" s="4" t="str">
        <f t="shared" si="77"/>
        <v>일</v>
      </c>
      <c r="M1607" s="2" t="str">
        <f>VLOOKUP($C1607, 고객정보!$A$2:$E$151, 2, FALSE)</f>
        <v>부산</v>
      </c>
      <c r="N1607" t="str">
        <f>VLOOKUP(C1607,고객정보!$A$2:$D$151,4,FALSE)</f>
        <v>L3</v>
      </c>
      <c r="O1607" t="str">
        <f>VLOOKUP($C1607, 고객정보!$A$2:$E$151, 5, FALSE)</f>
        <v>30대</v>
      </c>
      <c r="P1607" t="str">
        <f>VLOOKUP(D1607,상품정보!$A$2:$E$61,2,FALSE)</f>
        <v>자켓</v>
      </c>
      <c r="Q1607" t="str">
        <f>VLOOKUP(D1607,상품정보!$A$2:$D$151,3,FALSE)</f>
        <v>의류</v>
      </c>
      <c r="R1607" t="str">
        <f>VLOOKUP(D1607,상품정보!$A$2:$D$151,4,FALSE)</f>
        <v>브랜드A</v>
      </c>
    </row>
    <row r="1608" spans="1:18" x14ac:dyDescent="0.45">
      <c r="A1608" t="s">
        <v>232</v>
      </c>
      <c r="B1608" t="s">
        <v>2007</v>
      </c>
      <c r="C1608" t="s">
        <v>2510</v>
      </c>
      <c r="D1608" t="s">
        <v>2568</v>
      </c>
      <c r="E1608">
        <v>1</v>
      </c>
      <c r="F1608">
        <v>16800</v>
      </c>
      <c r="G1608">
        <v>0</v>
      </c>
      <c r="H1608">
        <v>0</v>
      </c>
      <c r="I1608" t="s">
        <v>2652</v>
      </c>
      <c r="J1608" s="4">
        <f t="shared" si="75"/>
        <v>16800</v>
      </c>
      <c r="K1608" s="4" t="str">
        <f t="shared" si="76"/>
        <v>2024-08</v>
      </c>
      <c r="L1608" s="4" t="str">
        <f t="shared" si="77"/>
        <v>화</v>
      </c>
      <c r="M1608" s="2" t="str">
        <f>VLOOKUP($C1608, 고객정보!$A$2:$E$151, 2, FALSE)</f>
        <v>부산</v>
      </c>
      <c r="N1608" t="str">
        <f>VLOOKUP(C1608,고객정보!$A$2:$D$151,4,FALSE)</f>
        <v>L3</v>
      </c>
      <c r="O1608" t="str">
        <f>VLOOKUP($C1608, 고객정보!$A$2:$E$151, 5, FALSE)</f>
        <v>20대</v>
      </c>
      <c r="P1608" t="str">
        <f>VLOOKUP(D1608,상품정보!$A$2:$E$61,2,FALSE)</f>
        <v>청바지</v>
      </c>
      <c r="Q1608" t="str">
        <f>VLOOKUP(D1608,상품정보!$A$2:$D$151,3,FALSE)</f>
        <v>의류</v>
      </c>
      <c r="R1608" t="str">
        <f>VLOOKUP(D1608,상품정보!$A$2:$D$151,4,FALSE)</f>
        <v>브랜드C</v>
      </c>
    </row>
    <row r="1609" spans="1:18" x14ac:dyDescent="0.45">
      <c r="A1609" t="s">
        <v>89</v>
      </c>
      <c r="B1609" t="s">
        <v>2008</v>
      </c>
      <c r="C1609" t="s">
        <v>2497</v>
      </c>
      <c r="D1609" t="s">
        <v>2599</v>
      </c>
      <c r="E1609">
        <v>5</v>
      </c>
      <c r="F1609">
        <v>73800</v>
      </c>
      <c r="G1609">
        <v>0</v>
      </c>
      <c r="H1609">
        <v>1500</v>
      </c>
      <c r="I1609" t="s">
        <v>2614</v>
      </c>
      <c r="J1609" s="4">
        <f t="shared" si="75"/>
        <v>367500</v>
      </c>
      <c r="K1609" s="4" t="str">
        <f t="shared" si="76"/>
        <v>2025-01</v>
      </c>
      <c r="L1609" s="4" t="str">
        <f t="shared" si="77"/>
        <v>수</v>
      </c>
      <c r="M1609" s="2" t="str">
        <f>VLOOKUP($C1609, 고객정보!$A$2:$E$151, 2, FALSE)</f>
        <v>서울</v>
      </c>
      <c r="N1609" t="str">
        <f>VLOOKUP(C1609,고객정보!$A$2:$D$151,4,FALSE)</f>
        <v>L3</v>
      </c>
      <c r="O1609" t="str">
        <f>VLOOKUP($C1609, 고객정보!$A$2:$E$151, 5, FALSE)</f>
        <v>10대</v>
      </c>
      <c r="P1609" t="str">
        <f>VLOOKUP(D1609,상품정보!$A$2:$E$61,2,FALSE)</f>
        <v>핸드폰케이스</v>
      </c>
      <c r="Q1609" t="str">
        <f>VLOOKUP(D1609,상품정보!$A$2:$D$151,3,FALSE)</f>
        <v>액세서리</v>
      </c>
      <c r="R1609" t="str">
        <f>VLOOKUP(D1609,상품정보!$A$2:$D$151,4,FALSE)</f>
        <v>브랜드F</v>
      </c>
    </row>
    <row r="1610" spans="1:18" x14ac:dyDescent="0.45">
      <c r="A1610" t="s">
        <v>111</v>
      </c>
      <c r="B1610" t="s">
        <v>2009</v>
      </c>
      <c r="C1610" t="s">
        <v>2515</v>
      </c>
      <c r="D1610" t="s">
        <v>2602</v>
      </c>
      <c r="E1610">
        <v>3</v>
      </c>
      <c r="F1610">
        <v>59900</v>
      </c>
      <c r="G1610">
        <v>500</v>
      </c>
      <c r="H1610">
        <v>0</v>
      </c>
      <c r="I1610" t="s">
        <v>2652</v>
      </c>
      <c r="J1610" s="4">
        <f t="shared" si="75"/>
        <v>180200</v>
      </c>
      <c r="K1610" s="4" t="str">
        <f t="shared" si="76"/>
        <v>2024-12</v>
      </c>
      <c r="L1610" s="4" t="str">
        <f t="shared" si="77"/>
        <v>토</v>
      </c>
      <c r="M1610" s="2" t="str">
        <f>VLOOKUP($C1610, 고객정보!$A$2:$E$151, 2, FALSE)</f>
        <v>부산</v>
      </c>
      <c r="N1610" t="str">
        <f>VLOOKUP(C1610,고객정보!$A$2:$D$151,4,FALSE)</f>
        <v>L5</v>
      </c>
      <c r="O1610" t="str">
        <f>VLOOKUP($C1610, 고객정보!$A$2:$E$151, 5, FALSE)</f>
        <v>40대</v>
      </c>
      <c r="P1610" t="str">
        <f>VLOOKUP(D1610,상품정보!$A$2:$E$61,2,FALSE)</f>
        <v>셔츠</v>
      </c>
      <c r="Q1610" t="str">
        <f>VLOOKUP(D1610,상품정보!$A$2:$D$151,3,FALSE)</f>
        <v>의류</v>
      </c>
      <c r="R1610" t="str">
        <f>VLOOKUP(D1610,상품정보!$A$2:$D$151,4,FALSE)</f>
        <v>브랜드A</v>
      </c>
    </row>
    <row r="1611" spans="1:18" x14ac:dyDescent="0.45">
      <c r="A1611" t="s">
        <v>197</v>
      </c>
      <c r="B1611" t="s">
        <v>2010</v>
      </c>
      <c r="C1611" t="s">
        <v>2443</v>
      </c>
      <c r="D1611" t="s">
        <v>2602</v>
      </c>
      <c r="E1611">
        <v>5</v>
      </c>
      <c r="F1611">
        <v>59900</v>
      </c>
      <c r="G1611">
        <v>500</v>
      </c>
      <c r="H1611">
        <v>0</v>
      </c>
      <c r="I1611" t="s">
        <v>2652</v>
      </c>
      <c r="J1611" s="4">
        <f t="shared" si="75"/>
        <v>300000</v>
      </c>
      <c r="K1611" s="4" t="str">
        <f t="shared" si="76"/>
        <v>2024-05</v>
      </c>
      <c r="L1611" s="4" t="str">
        <f t="shared" si="77"/>
        <v>목</v>
      </c>
      <c r="M1611" s="2" t="str">
        <f>VLOOKUP($C1611, 고객정보!$A$2:$E$151, 2, FALSE)</f>
        <v>서울</v>
      </c>
      <c r="N1611" t="str">
        <f>VLOOKUP(C1611,고객정보!$A$2:$D$151,4,FALSE)</f>
        <v>L4</v>
      </c>
      <c r="O1611" t="str">
        <f>VLOOKUP($C1611, 고객정보!$A$2:$E$151, 5, FALSE)</f>
        <v>30대</v>
      </c>
      <c r="P1611" t="str">
        <f>VLOOKUP(D1611,상품정보!$A$2:$E$61,2,FALSE)</f>
        <v>셔츠</v>
      </c>
      <c r="Q1611" t="str">
        <f>VLOOKUP(D1611,상품정보!$A$2:$D$151,3,FALSE)</f>
        <v>의류</v>
      </c>
      <c r="R1611" t="str">
        <f>VLOOKUP(D1611,상품정보!$A$2:$D$151,4,FALSE)</f>
        <v>브랜드A</v>
      </c>
    </row>
    <row r="1612" spans="1:18" x14ac:dyDescent="0.45">
      <c r="A1612" t="s">
        <v>186</v>
      </c>
      <c r="B1612" t="s">
        <v>2011</v>
      </c>
      <c r="C1612" t="s">
        <v>2441</v>
      </c>
      <c r="D1612" t="s">
        <v>2564</v>
      </c>
      <c r="E1612">
        <v>1</v>
      </c>
      <c r="F1612">
        <v>66600</v>
      </c>
      <c r="G1612">
        <v>1500</v>
      </c>
      <c r="H1612">
        <v>700</v>
      </c>
      <c r="I1612" t="s">
        <v>2614</v>
      </c>
      <c r="J1612" s="4">
        <f t="shared" si="75"/>
        <v>67400</v>
      </c>
      <c r="K1612" s="4" t="str">
        <f t="shared" si="76"/>
        <v>2024-06</v>
      </c>
      <c r="L1612" s="4" t="str">
        <f t="shared" si="77"/>
        <v>화</v>
      </c>
      <c r="M1612" s="2" t="str">
        <f>VLOOKUP($C1612, 고객정보!$A$2:$E$151, 2, FALSE)</f>
        <v>부산</v>
      </c>
      <c r="N1612" t="str">
        <f>VLOOKUP(C1612,고객정보!$A$2:$D$151,4,FALSE)</f>
        <v>L2</v>
      </c>
      <c r="O1612" t="str">
        <f>VLOOKUP($C1612, 고객정보!$A$2:$E$151, 5, FALSE)</f>
        <v>20대</v>
      </c>
      <c r="P1612" t="str">
        <f>VLOOKUP(D1612,상품정보!$A$2:$E$61,2,FALSE)</f>
        <v>청바지</v>
      </c>
      <c r="Q1612" t="str">
        <f>VLOOKUP(D1612,상품정보!$A$2:$D$151,3,FALSE)</f>
        <v>의류</v>
      </c>
      <c r="R1612" t="str">
        <f>VLOOKUP(D1612,상품정보!$A$2:$D$151,4,FALSE)</f>
        <v>브랜드B</v>
      </c>
    </row>
    <row r="1613" spans="1:18" x14ac:dyDescent="0.45">
      <c r="A1613" t="s">
        <v>377</v>
      </c>
      <c r="B1613" t="s">
        <v>2012</v>
      </c>
      <c r="C1613" t="s">
        <v>2532</v>
      </c>
      <c r="D1613" t="s">
        <v>2572</v>
      </c>
      <c r="E1613">
        <v>5</v>
      </c>
      <c r="F1613">
        <v>61700</v>
      </c>
      <c r="G1613">
        <v>2000</v>
      </c>
      <c r="H1613">
        <v>0</v>
      </c>
      <c r="I1613" t="s">
        <v>2652</v>
      </c>
      <c r="J1613" s="4">
        <f t="shared" si="75"/>
        <v>310500</v>
      </c>
      <c r="K1613" s="4" t="str">
        <f t="shared" si="76"/>
        <v>2024-02</v>
      </c>
      <c r="L1613" s="4" t="str">
        <f t="shared" si="77"/>
        <v>월</v>
      </c>
      <c r="M1613" s="2" t="str">
        <f>VLOOKUP($C1613, 고객정보!$A$2:$E$151, 2, FALSE)</f>
        <v>서울</v>
      </c>
      <c r="N1613" t="str">
        <f>VLOOKUP(C1613,고객정보!$A$2:$D$151,4,FALSE)</f>
        <v>L2</v>
      </c>
      <c r="O1613" t="str">
        <f>VLOOKUP($C1613, 고객정보!$A$2:$E$151, 5, FALSE)</f>
        <v>50대 이상</v>
      </c>
      <c r="P1613" t="str">
        <f>VLOOKUP(D1613,상품정보!$A$2:$E$61,2,FALSE)</f>
        <v>반팔 티셔츠</v>
      </c>
      <c r="Q1613" t="str">
        <f>VLOOKUP(D1613,상품정보!$A$2:$D$151,3,FALSE)</f>
        <v>의류</v>
      </c>
      <c r="R1613" t="str">
        <f>VLOOKUP(D1613,상품정보!$A$2:$D$151,4,FALSE)</f>
        <v>브랜드F</v>
      </c>
    </row>
    <row r="1614" spans="1:18" x14ac:dyDescent="0.45">
      <c r="A1614" t="s">
        <v>397</v>
      </c>
      <c r="B1614" t="s">
        <v>2013</v>
      </c>
      <c r="C1614" t="s">
        <v>2527</v>
      </c>
      <c r="D1614" t="s">
        <v>2586</v>
      </c>
      <c r="E1614">
        <v>2</v>
      </c>
      <c r="F1614">
        <v>73000</v>
      </c>
      <c r="G1614">
        <v>1000</v>
      </c>
      <c r="H1614">
        <v>0</v>
      </c>
      <c r="I1614" t="s">
        <v>2652</v>
      </c>
      <c r="J1614" s="4">
        <f t="shared" si="75"/>
        <v>147000</v>
      </c>
      <c r="K1614" s="4" t="str">
        <f t="shared" si="76"/>
        <v>2024-09</v>
      </c>
      <c r="L1614" s="4" t="str">
        <f t="shared" si="77"/>
        <v>일</v>
      </c>
      <c r="M1614" s="2" t="str">
        <f>VLOOKUP($C1614, 고객정보!$A$2:$E$151, 2, FALSE)</f>
        <v>광주</v>
      </c>
      <c r="N1614" t="str">
        <f>VLOOKUP(C1614,고객정보!$A$2:$D$151,4,FALSE)</f>
        <v>L2</v>
      </c>
      <c r="O1614" t="str">
        <f>VLOOKUP($C1614, 고객정보!$A$2:$E$151, 5, FALSE)</f>
        <v>30대</v>
      </c>
      <c r="P1614" t="str">
        <f>VLOOKUP(D1614,상품정보!$A$2:$E$61,2,FALSE)</f>
        <v>귀걸이</v>
      </c>
      <c r="Q1614" t="str">
        <f>VLOOKUP(D1614,상품정보!$A$2:$D$151,3,FALSE)</f>
        <v>액세서리</v>
      </c>
      <c r="R1614" t="str">
        <f>VLOOKUP(D1614,상품정보!$A$2:$D$151,4,FALSE)</f>
        <v>브랜드B</v>
      </c>
    </row>
    <row r="1615" spans="1:18" x14ac:dyDescent="0.45">
      <c r="A1615" t="s">
        <v>367</v>
      </c>
      <c r="B1615" t="s">
        <v>2014</v>
      </c>
      <c r="C1615" t="s">
        <v>2496</v>
      </c>
      <c r="D1615" t="s">
        <v>2555</v>
      </c>
      <c r="E1615">
        <v>2</v>
      </c>
      <c r="F1615">
        <v>8300</v>
      </c>
      <c r="G1615">
        <v>0</v>
      </c>
      <c r="H1615">
        <v>0</v>
      </c>
      <c r="I1615" t="s">
        <v>2652</v>
      </c>
      <c r="J1615" s="4">
        <f t="shared" si="75"/>
        <v>16600</v>
      </c>
      <c r="K1615" s="4" t="str">
        <f t="shared" si="76"/>
        <v>2024-09</v>
      </c>
      <c r="L1615" s="4" t="str">
        <f t="shared" si="77"/>
        <v>목</v>
      </c>
      <c r="M1615" s="2" t="str">
        <f>VLOOKUP($C1615, 고객정보!$A$2:$E$151, 2, FALSE)</f>
        <v>서울</v>
      </c>
      <c r="N1615" t="str">
        <f>VLOOKUP(C1615,고객정보!$A$2:$D$151,4,FALSE)</f>
        <v>L3</v>
      </c>
      <c r="O1615" t="str">
        <f>VLOOKUP($C1615, 고객정보!$A$2:$E$151, 5, FALSE)</f>
        <v>50대 이상</v>
      </c>
      <c r="P1615" t="str">
        <f>VLOOKUP(D1615,상품정보!$A$2:$E$61,2,FALSE)</f>
        <v>청바지</v>
      </c>
      <c r="Q1615" t="str">
        <f>VLOOKUP(D1615,상품정보!$A$2:$D$151,3,FALSE)</f>
        <v>의류</v>
      </c>
      <c r="R1615" t="str">
        <f>VLOOKUP(D1615,상품정보!$A$2:$D$151,4,FALSE)</f>
        <v>브랜드E</v>
      </c>
    </row>
    <row r="1616" spans="1:18" x14ac:dyDescent="0.45">
      <c r="A1616" t="s">
        <v>187</v>
      </c>
      <c r="B1616" t="s">
        <v>2015</v>
      </c>
      <c r="C1616" t="s">
        <v>2427</v>
      </c>
      <c r="D1616" t="s">
        <v>2563</v>
      </c>
      <c r="E1616">
        <v>2</v>
      </c>
      <c r="F1616">
        <v>6900</v>
      </c>
      <c r="G1616">
        <v>0</v>
      </c>
      <c r="H1616">
        <v>0</v>
      </c>
      <c r="I1616" t="s">
        <v>2652</v>
      </c>
      <c r="J1616" s="4">
        <f t="shared" si="75"/>
        <v>13800</v>
      </c>
      <c r="K1616" s="4" t="str">
        <f t="shared" si="76"/>
        <v>2024-10</v>
      </c>
      <c r="L1616" s="4" t="str">
        <f t="shared" si="77"/>
        <v>토</v>
      </c>
      <c r="M1616" s="2" t="str">
        <f>VLOOKUP($C1616, 고객정보!$A$2:$E$151, 2, FALSE)</f>
        <v>부산</v>
      </c>
      <c r="N1616" t="str">
        <f>VLOOKUP(C1616,고객정보!$A$2:$D$151,4,FALSE)</f>
        <v>L4</v>
      </c>
      <c r="O1616" t="str">
        <f>VLOOKUP($C1616, 고객정보!$A$2:$E$151, 5, FALSE)</f>
        <v>20대</v>
      </c>
      <c r="P1616" t="str">
        <f>VLOOKUP(D1616,상품정보!$A$2:$E$61,2,FALSE)</f>
        <v>귀걸이</v>
      </c>
      <c r="Q1616" t="str">
        <f>VLOOKUP(D1616,상품정보!$A$2:$D$151,3,FALSE)</f>
        <v>액세서리</v>
      </c>
      <c r="R1616" t="str">
        <f>VLOOKUP(D1616,상품정보!$A$2:$D$151,4,FALSE)</f>
        <v>브랜드D</v>
      </c>
    </row>
    <row r="1617" spans="1:18" x14ac:dyDescent="0.45">
      <c r="A1617" t="s">
        <v>135</v>
      </c>
      <c r="B1617" t="s">
        <v>2016</v>
      </c>
      <c r="C1617" t="s">
        <v>2463</v>
      </c>
      <c r="D1617" t="s">
        <v>2592</v>
      </c>
      <c r="E1617">
        <v>1</v>
      </c>
      <c r="F1617">
        <v>72700</v>
      </c>
      <c r="G1617">
        <v>0</v>
      </c>
      <c r="H1617">
        <v>0</v>
      </c>
      <c r="I1617" t="s">
        <v>2652</v>
      </c>
      <c r="J1617" s="4">
        <f t="shared" si="75"/>
        <v>72700</v>
      </c>
      <c r="K1617" s="4" t="str">
        <f t="shared" si="76"/>
        <v>2025-01</v>
      </c>
      <c r="L1617" s="4" t="str">
        <f t="shared" si="77"/>
        <v>월</v>
      </c>
      <c r="M1617" s="2" t="str">
        <f>VLOOKUP($C1617, 고객정보!$A$2:$E$151, 2, FALSE)</f>
        <v>대구</v>
      </c>
      <c r="N1617" t="str">
        <f>VLOOKUP(C1617,고객정보!$A$2:$D$151,4,FALSE)</f>
        <v>L4</v>
      </c>
      <c r="O1617" t="str">
        <f>VLOOKUP($C1617, 고객정보!$A$2:$E$151, 5, FALSE)</f>
        <v>20대</v>
      </c>
      <c r="P1617" t="str">
        <f>VLOOKUP(D1617,상품정보!$A$2:$E$61,2,FALSE)</f>
        <v>귀걸이</v>
      </c>
      <c r="Q1617" t="str">
        <f>VLOOKUP(D1617,상품정보!$A$2:$D$151,3,FALSE)</f>
        <v>액세서리</v>
      </c>
      <c r="R1617" t="str">
        <f>VLOOKUP(D1617,상품정보!$A$2:$D$151,4,FALSE)</f>
        <v>브랜드A</v>
      </c>
    </row>
    <row r="1618" spans="1:18" x14ac:dyDescent="0.45">
      <c r="A1618" t="s">
        <v>27</v>
      </c>
      <c r="B1618" t="s">
        <v>2017</v>
      </c>
      <c r="C1618" t="s">
        <v>2494</v>
      </c>
      <c r="D1618" t="s">
        <v>2603</v>
      </c>
      <c r="E1618">
        <v>4</v>
      </c>
      <c r="F1618">
        <v>8200</v>
      </c>
      <c r="G1618">
        <v>0</v>
      </c>
      <c r="H1618">
        <v>100</v>
      </c>
      <c r="I1618" t="s">
        <v>2612</v>
      </c>
      <c r="J1618" s="4">
        <f t="shared" si="75"/>
        <v>32700</v>
      </c>
      <c r="K1618" s="4" t="str">
        <f t="shared" si="76"/>
        <v>2024-12</v>
      </c>
      <c r="L1618" s="4" t="str">
        <f t="shared" si="77"/>
        <v>수</v>
      </c>
      <c r="M1618" s="2" t="str">
        <f>VLOOKUP($C1618, 고객정보!$A$2:$E$151, 2, FALSE)</f>
        <v>대구</v>
      </c>
      <c r="N1618" t="str">
        <f>VLOOKUP(C1618,고객정보!$A$2:$D$151,4,FALSE)</f>
        <v>L4</v>
      </c>
      <c r="O1618" t="str">
        <f>VLOOKUP($C1618, 고객정보!$A$2:$E$151, 5, FALSE)</f>
        <v>40대</v>
      </c>
      <c r="P1618" t="str">
        <f>VLOOKUP(D1618,상품정보!$A$2:$E$61,2,FALSE)</f>
        <v>목걸이</v>
      </c>
      <c r="Q1618" t="str">
        <f>VLOOKUP(D1618,상품정보!$A$2:$D$151,3,FALSE)</f>
        <v>액세서리</v>
      </c>
      <c r="R1618" t="str">
        <f>VLOOKUP(D1618,상품정보!$A$2:$D$151,4,FALSE)</f>
        <v>브랜드E</v>
      </c>
    </row>
    <row r="1619" spans="1:18" x14ac:dyDescent="0.45">
      <c r="A1619" t="s">
        <v>73</v>
      </c>
      <c r="B1619" t="s">
        <v>2018</v>
      </c>
      <c r="C1619" t="s">
        <v>2501</v>
      </c>
      <c r="D1619" t="s">
        <v>2584</v>
      </c>
      <c r="E1619">
        <v>1</v>
      </c>
      <c r="F1619">
        <v>59700</v>
      </c>
      <c r="G1619">
        <v>1500</v>
      </c>
      <c r="H1619">
        <v>0</v>
      </c>
      <c r="I1619" t="s">
        <v>2652</v>
      </c>
      <c r="J1619" s="4">
        <f t="shared" si="75"/>
        <v>61200</v>
      </c>
      <c r="K1619" s="4" t="str">
        <f t="shared" si="76"/>
        <v>2024-03</v>
      </c>
      <c r="L1619" s="4" t="str">
        <f t="shared" si="77"/>
        <v>화</v>
      </c>
      <c r="M1619" s="2" t="str">
        <f>VLOOKUP($C1619, 고객정보!$A$2:$E$151, 2, FALSE)</f>
        <v>서울</v>
      </c>
      <c r="N1619" t="str">
        <f>VLOOKUP(C1619,고객정보!$A$2:$D$151,4,FALSE)</f>
        <v>L4</v>
      </c>
      <c r="O1619" t="str">
        <f>VLOOKUP($C1619, 고객정보!$A$2:$E$151, 5, FALSE)</f>
        <v>50대 이상</v>
      </c>
      <c r="P1619" t="str">
        <f>VLOOKUP(D1619,상품정보!$A$2:$E$61,2,FALSE)</f>
        <v>목걸이</v>
      </c>
      <c r="Q1619" t="str">
        <f>VLOOKUP(D1619,상품정보!$A$2:$D$151,3,FALSE)</f>
        <v>액세서리</v>
      </c>
      <c r="R1619" t="str">
        <f>VLOOKUP(D1619,상품정보!$A$2:$D$151,4,FALSE)</f>
        <v>브랜드B</v>
      </c>
    </row>
    <row r="1620" spans="1:18" x14ac:dyDescent="0.45">
      <c r="A1620" t="s">
        <v>248</v>
      </c>
      <c r="B1620" t="s">
        <v>2019</v>
      </c>
      <c r="C1620" t="s">
        <v>2522</v>
      </c>
      <c r="D1620" t="s">
        <v>2562</v>
      </c>
      <c r="E1620">
        <v>4</v>
      </c>
      <c r="F1620">
        <v>15600</v>
      </c>
      <c r="G1620">
        <v>0</v>
      </c>
      <c r="H1620">
        <v>0</v>
      </c>
      <c r="I1620" t="s">
        <v>2652</v>
      </c>
      <c r="J1620" s="4">
        <f t="shared" si="75"/>
        <v>62400</v>
      </c>
      <c r="K1620" s="4" t="str">
        <f t="shared" si="76"/>
        <v>2024-09</v>
      </c>
      <c r="L1620" s="4" t="str">
        <f t="shared" si="77"/>
        <v>일</v>
      </c>
      <c r="M1620" s="2" t="str">
        <f>VLOOKUP($C1620, 고객정보!$A$2:$E$151, 2, FALSE)</f>
        <v>부산</v>
      </c>
      <c r="N1620" t="str">
        <f>VLOOKUP(C1620,고객정보!$A$2:$D$151,4,FALSE)</f>
        <v>L4</v>
      </c>
      <c r="O1620" t="str">
        <f>VLOOKUP($C1620, 고객정보!$A$2:$E$151, 5, FALSE)</f>
        <v>40대</v>
      </c>
      <c r="P1620" t="str">
        <f>VLOOKUP(D1620,상품정보!$A$2:$E$61,2,FALSE)</f>
        <v>반팔 티셔츠</v>
      </c>
      <c r="Q1620" t="str">
        <f>VLOOKUP(D1620,상품정보!$A$2:$D$151,3,FALSE)</f>
        <v>의류</v>
      </c>
      <c r="R1620" t="str">
        <f>VLOOKUP(D1620,상품정보!$A$2:$D$151,4,FALSE)</f>
        <v>브랜드E</v>
      </c>
    </row>
    <row r="1621" spans="1:18" x14ac:dyDescent="0.45">
      <c r="A1621" t="s">
        <v>28</v>
      </c>
      <c r="B1621" t="s">
        <v>2020</v>
      </c>
      <c r="C1621" t="s">
        <v>2450</v>
      </c>
      <c r="D1621" t="s">
        <v>2567</v>
      </c>
      <c r="E1621">
        <v>2</v>
      </c>
      <c r="F1621">
        <v>58600</v>
      </c>
      <c r="G1621">
        <v>500</v>
      </c>
      <c r="H1621">
        <v>1600</v>
      </c>
      <c r="I1621" t="s">
        <v>2612</v>
      </c>
      <c r="J1621" s="4">
        <f t="shared" si="75"/>
        <v>116100</v>
      </c>
      <c r="K1621" s="4" t="str">
        <f t="shared" si="76"/>
        <v>2024-09</v>
      </c>
      <c r="L1621" s="4" t="str">
        <f t="shared" si="77"/>
        <v>월</v>
      </c>
      <c r="M1621" s="2" t="str">
        <f>VLOOKUP($C1621, 고객정보!$A$2:$E$151, 2, FALSE)</f>
        <v>인천</v>
      </c>
      <c r="N1621" t="str">
        <f>VLOOKUP(C1621,고객정보!$A$2:$D$151,4,FALSE)</f>
        <v>L5</v>
      </c>
      <c r="O1621" t="str">
        <f>VLOOKUP($C1621, 고객정보!$A$2:$E$151, 5, FALSE)</f>
        <v>40대</v>
      </c>
      <c r="P1621" t="str">
        <f>VLOOKUP(D1621,상품정보!$A$2:$E$61,2,FALSE)</f>
        <v>귀걸이</v>
      </c>
      <c r="Q1621" t="str">
        <f>VLOOKUP(D1621,상품정보!$A$2:$D$151,3,FALSE)</f>
        <v>액세서리</v>
      </c>
      <c r="R1621" t="str">
        <f>VLOOKUP(D1621,상품정보!$A$2:$D$151,4,FALSE)</f>
        <v>브랜드B</v>
      </c>
    </row>
    <row r="1622" spans="1:18" x14ac:dyDescent="0.45">
      <c r="A1622" t="s">
        <v>352</v>
      </c>
      <c r="B1622" t="s">
        <v>2021</v>
      </c>
      <c r="C1622" t="s">
        <v>2459</v>
      </c>
      <c r="D1622" t="s">
        <v>2568</v>
      </c>
      <c r="E1622">
        <v>3</v>
      </c>
      <c r="F1622">
        <v>16800</v>
      </c>
      <c r="G1622">
        <v>2000</v>
      </c>
      <c r="H1622">
        <v>0</v>
      </c>
      <c r="I1622" t="s">
        <v>2652</v>
      </c>
      <c r="J1622" s="4">
        <f t="shared" si="75"/>
        <v>52400</v>
      </c>
      <c r="K1622" s="4" t="str">
        <f t="shared" si="76"/>
        <v>2024-06</v>
      </c>
      <c r="L1622" s="4" t="str">
        <f t="shared" si="77"/>
        <v>월</v>
      </c>
      <c r="M1622" s="2" t="str">
        <f>VLOOKUP($C1622, 고객정보!$A$2:$E$151, 2, FALSE)</f>
        <v>광주</v>
      </c>
      <c r="N1622" t="str">
        <f>VLOOKUP(C1622,고객정보!$A$2:$D$151,4,FALSE)</f>
        <v>L4</v>
      </c>
      <c r="O1622" t="str">
        <f>VLOOKUP($C1622, 고객정보!$A$2:$E$151, 5, FALSE)</f>
        <v>50대 이상</v>
      </c>
      <c r="P1622" t="str">
        <f>VLOOKUP(D1622,상품정보!$A$2:$E$61,2,FALSE)</f>
        <v>청바지</v>
      </c>
      <c r="Q1622" t="str">
        <f>VLOOKUP(D1622,상품정보!$A$2:$D$151,3,FALSE)</f>
        <v>의류</v>
      </c>
      <c r="R1622" t="str">
        <f>VLOOKUP(D1622,상품정보!$A$2:$D$151,4,FALSE)</f>
        <v>브랜드C</v>
      </c>
    </row>
    <row r="1623" spans="1:18" x14ac:dyDescent="0.45">
      <c r="A1623" t="s">
        <v>249</v>
      </c>
      <c r="B1623" t="s">
        <v>2022</v>
      </c>
      <c r="C1623" t="s">
        <v>2495</v>
      </c>
      <c r="D1623" t="s">
        <v>2597</v>
      </c>
      <c r="E1623">
        <v>3</v>
      </c>
      <c r="F1623">
        <v>65300</v>
      </c>
      <c r="G1623">
        <v>0</v>
      </c>
      <c r="H1623">
        <v>0</v>
      </c>
      <c r="I1623" t="s">
        <v>2652</v>
      </c>
      <c r="J1623" s="4">
        <f t="shared" si="75"/>
        <v>195900</v>
      </c>
      <c r="K1623" s="4" t="str">
        <f t="shared" si="76"/>
        <v>2024-07</v>
      </c>
      <c r="L1623" s="4" t="str">
        <f t="shared" si="77"/>
        <v>화</v>
      </c>
      <c r="M1623" s="2" t="str">
        <f>VLOOKUP($C1623, 고객정보!$A$2:$E$151, 2, FALSE)</f>
        <v>N/A</v>
      </c>
      <c r="N1623" t="str">
        <f>VLOOKUP(C1623,고객정보!$A$2:$D$151,4,FALSE)</f>
        <v>L1</v>
      </c>
      <c r="O1623" t="str">
        <f>VLOOKUP($C1623, 고객정보!$A$2:$E$151, 5, FALSE)</f>
        <v>50대 이상</v>
      </c>
      <c r="P1623" t="str">
        <f>VLOOKUP(D1623,상품정보!$A$2:$E$61,2,FALSE)</f>
        <v>반지</v>
      </c>
      <c r="Q1623" t="str">
        <f>VLOOKUP(D1623,상품정보!$A$2:$D$151,3,FALSE)</f>
        <v>액세서리</v>
      </c>
      <c r="R1623" t="str">
        <f>VLOOKUP(D1623,상품정보!$A$2:$D$151,4,FALSE)</f>
        <v>브랜드F</v>
      </c>
    </row>
    <row r="1624" spans="1:18" x14ac:dyDescent="0.45">
      <c r="A1624" t="s">
        <v>298</v>
      </c>
      <c r="B1624" t="s">
        <v>2023</v>
      </c>
      <c r="C1624" t="s">
        <v>2491</v>
      </c>
      <c r="D1624" t="s">
        <v>2602</v>
      </c>
      <c r="E1624">
        <v>3</v>
      </c>
      <c r="F1624">
        <v>59900</v>
      </c>
      <c r="G1624">
        <v>0</v>
      </c>
      <c r="H1624">
        <v>0</v>
      </c>
      <c r="I1624" t="s">
        <v>2652</v>
      </c>
      <c r="J1624" s="4">
        <f t="shared" si="75"/>
        <v>179700</v>
      </c>
      <c r="K1624" s="4" t="str">
        <f t="shared" si="76"/>
        <v>2024-11</v>
      </c>
      <c r="L1624" s="4" t="str">
        <f t="shared" si="77"/>
        <v>목</v>
      </c>
      <c r="M1624" s="2" t="str">
        <f>VLOOKUP($C1624, 고객정보!$A$2:$E$151, 2, FALSE)</f>
        <v>서울</v>
      </c>
      <c r="N1624" t="str">
        <f>VLOOKUP(C1624,고객정보!$A$2:$D$151,4,FALSE)</f>
        <v>L5</v>
      </c>
      <c r="O1624" t="str">
        <f>VLOOKUP($C1624, 고객정보!$A$2:$E$151, 5, FALSE)</f>
        <v>30대</v>
      </c>
      <c r="P1624" t="str">
        <f>VLOOKUP(D1624,상품정보!$A$2:$E$61,2,FALSE)</f>
        <v>셔츠</v>
      </c>
      <c r="Q1624" t="str">
        <f>VLOOKUP(D1624,상품정보!$A$2:$D$151,3,FALSE)</f>
        <v>의류</v>
      </c>
      <c r="R1624" t="str">
        <f>VLOOKUP(D1624,상품정보!$A$2:$D$151,4,FALSE)</f>
        <v>브랜드A</v>
      </c>
    </row>
    <row r="1625" spans="1:18" x14ac:dyDescent="0.45">
      <c r="A1625" t="s">
        <v>74</v>
      </c>
      <c r="B1625" t="s">
        <v>2024</v>
      </c>
      <c r="C1625" t="s">
        <v>2509</v>
      </c>
      <c r="D1625" t="s">
        <v>2563</v>
      </c>
      <c r="E1625">
        <v>5</v>
      </c>
      <c r="F1625">
        <v>6900</v>
      </c>
      <c r="G1625">
        <v>2000</v>
      </c>
      <c r="H1625">
        <v>4000</v>
      </c>
      <c r="I1625" t="s">
        <v>2612</v>
      </c>
      <c r="J1625" s="4">
        <f t="shared" si="75"/>
        <v>32500</v>
      </c>
      <c r="K1625" s="4" t="str">
        <f t="shared" si="76"/>
        <v>2024-04</v>
      </c>
      <c r="L1625" s="4" t="str">
        <f t="shared" si="77"/>
        <v>금</v>
      </c>
      <c r="M1625" s="2" t="str">
        <f>VLOOKUP($C1625, 고객정보!$A$2:$E$151, 2, FALSE)</f>
        <v>서울</v>
      </c>
      <c r="N1625" t="str">
        <f>VLOOKUP(C1625,고객정보!$A$2:$D$151,4,FALSE)</f>
        <v>L4</v>
      </c>
      <c r="O1625" t="str">
        <f>VLOOKUP($C1625, 고객정보!$A$2:$E$151, 5, FALSE)</f>
        <v>40대</v>
      </c>
      <c r="P1625" t="str">
        <f>VLOOKUP(D1625,상품정보!$A$2:$E$61,2,FALSE)</f>
        <v>귀걸이</v>
      </c>
      <c r="Q1625" t="str">
        <f>VLOOKUP(D1625,상품정보!$A$2:$D$151,3,FALSE)</f>
        <v>액세서리</v>
      </c>
      <c r="R1625" t="str">
        <f>VLOOKUP(D1625,상품정보!$A$2:$D$151,4,FALSE)</f>
        <v>브랜드D</v>
      </c>
    </row>
    <row r="1626" spans="1:18" x14ac:dyDescent="0.45">
      <c r="A1626" t="s">
        <v>216</v>
      </c>
      <c r="B1626" t="s">
        <v>2025</v>
      </c>
      <c r="C1626" t="s">
        <v>2538</v>
      </c>
      <c r="D1626" t="s">
        <v>2587</v>
      </c>
      <c r="E1626">
        <v>5</v>
      </c>
      <c r="F1626">
        <v>50200</v>
      </c>
      <c r="G1626">
        <v>0</v>
      </c>
      <c r="H1626">
        <v>0</v>
      </c>
      <c r="I1626" t="s">
        <v>2652</v>
      </c>
      <c r="J1626" s="4">
        <f t="shared" si="75"/>
        <v>251000</v>
      </c>
      <c r="K1626" s="4" t="str">
        <f t="shared" si="76"/>
        <v>2025-01</v>
      </c>
      <c r="L1626" s="4" t="str">
        <f t="shared" si="77"/>
        <v>목</v>
      </c>
      <c r="M1626" s="2" t="str">
        <f>VLOOKUP($C1626, 고객정보!$A$2:$E$151, 2, FALSE)</f>
        <v>대구</v>
      </c>
      <c r="N1626" t="str">
        <f>VLOOKUP(C1626,고객정보!$A$2:$D$151,4,FALSE)</f>
        <v>L4</v>
      </c>
      <c r="O1626" t="str">
        <f>VLOOKUP($C1626, 고객정보!$A$2:$E$151, 5, FALSE)</f>
        <v>40대</v>
      </c>
      <c r="P1626" t="str">
        <f>VLOOKUP(D1626,상품정보!$A$2:$E$61,2,FALSE)</f>
        <v>반지</v>
      </c>
      <c r="Q1626" t="str">
        <f>VLOOKUP(D1626,상품정보!$A$2:$D$151,3,FALSE)</f>
        <v>액세서리</v>
      </c>
      <c r="R1626" t="str">
        <f>VLOOKUP(D1626,상품정보!$A$2:$D$151,4,FALSE)</f>
        <v>브랜드B</v>
      </c>
    </row>
    <row r="1627" spans="1:18" x14ac:dyDescent="0.45">
      <c r="A1627" t="s">
        <v>284</v>
      </c>
      <c r="B1627" t="s">
        <v>2026</v>
      </c>
      <c r="C1627" t="s">
        <v>2505</v>
      </c>
      <c r="D1627" t="s">
        <v>2599</v>
      </c>
      <c r="E1627">
        <v>4</v>
      </c>
      <c r="F1627">
        <v>73800</v>
      </c>
      <c r="G1627">
        <v>2000</v>
      </c>
      <c r="H1627">
        <v>0</v>
      </c>
      <c r="I1627" t="s">
        <v>2652</v>
      </c>
      <c r="J1627" s="4">
        <f t="shared" si="75"/>
        <v>297200</v>
      </c>
      <c r="K1627" s="4" t="str">
        <f t="shared" si="76"/>
        <v>2024-08</v>
      </c>
      <c r="L1627" s="4" t="str">
        <f t="shared" si="77"/>
        <v>토</v>
      </c>
      <c r="M1627" s="2" t="str">
        <f>VLOOKUP($C1627, 고객정보!$A$2:$E$151, 2, FALSE)</f>
        <v>대구</v>
      </c>
      <c r="N1627" t="str">
        <f>VLOOKUP(C1627,고객정보!$A$2:$D$151,4,FALSE)</f>
        <v>L4</v>
      </c>
      <c r="O1627" t="str">
        <f>VLOOKUP($C1627, 고객정보!$A$2:$E$151, 5, FALSE)</f>
        <v>40대</v>
      </c>
      <c r="P1627" t="str">
        <f>VLOOKUP(D1627,상품정보!$A$2:$E$61,2,FALSE)</f>
        <v>핸드폰케이스</v>
      </c>
      <c r="Q1627" t="str">
        <f>VLOOKUP(D1627,상품정보!$A$2:$D$151,3,FALSE)</f>
        <v>액세서리</v>
      </c>
      <c r="R1627" t="str">
        <f>VLOOKUP(D1627,상품정보!$A$2:$D$151,4,FALSE)</f>
        <v>브랜드F</v>
      </c>
    </row>
    <row r="1628" spans="1:18" x14ac:dyDescent="0.45">
      <c r="A1628" t="s">
        <v>120</v>
      </c>
      <c r="B1628" t="s">
        <v>2027</v>
      </c>
      <c r="C1628" t="s">
        <v>2533</v>
      </c>
      <c r="D1628" t="s">
        <v>2594</v>
      </c>
      <c r="E1628">
        <v>1</v>
      </c>
      <c r="F1628">
        <v>73000</v>
      </c>
      <c r="G1628">
        <v>0</v>
      </c>
      <c r="H1628">
        <v>0</v>
      </c>
      <c r="I1628" t="s">
        <v>2652</v>
      </c>
      <c r="J1628" s="4">
        <f t="shared" si="75"/>
        <v>73000</v>
      </c>
      <c r="K1628" s="4" t="str">
        <f t="shared" si="76"/>
        <v>2024-05</v>
      </c>
      <c r="L1628" s="4" t="str">
        <f t="shared" si="77"/>
        <v>토</v>
      </c>
      <c r="M1628" s="2" t="str">
        <f>VLOOKUP($C1628, 고객정보!$A$2:$E$151, 2, FALSE)</f>
        <v>인천</v>
      </c>
      <c r="N1628" t="str">
        <f>VLOOKUP(C1628,고객정보!$A$2:$D$151,4,FALSE)</f>
        <v>L5</v>
      </c>
      <c r="O1628" t="str">
        <f>VLOOKUP($C1628, 고객정보!$A$2:$E$151, 5, FALSE)</f>
        <v>30대</v>
      </c>
      <c r="P1628" t="str">
        <f>VLOOKUP(D1628,상품정보!$A$2:$E$61,2,FALSE)</f>
        <v>자켓</v>
      </c>
      <c r="Q1628" t="str">
        <f>VLOOKUP(D1628,상품정보!$A$2:$D$151,3,FALSE)</f>
        <v>의류</v>
      </c>
      <c r="R1628" t="str">
        <f>VLOOKUP(D1628,상품정보!$A$2:$D$151,4,FALSE)</f>
        <v>브랜드A</v>
      </c>
    </row>
    <row r="1629" spans="1:18" x14ac:dyDescent="0.45">
      <c r="A1629" t="s">
        <v>383</v>
      </c>
      <c r="B1629" t="s">
        <v>2028</v>
      </c>
      <c r="C1629" t="s">
        <v>2539</v>
      </c>
      <c r="D1629" t="s">
        <v>2578</v>
      </c>
      <c r="E1629">
        <v>2</v>
      </c>
      <c r="F1629">
        <v>78000</v>
      </c>
      <c r="G1629">
        <v>0</v>
      </c>
      <c r="H1629">
        <v>0</v>
      </c>
      <c r="I1629" t="s">
        <v>2652</v>
      </c>
      <c r="J1629" s="4">
        <f t="shared" si="75"/>
        <v>156000</v>
      </c>
      <c r="K1629" s="4" t="str">
        <f t="shared" si="76"/>
        <v>2024-06</v>
      </c>
      <c r="L1629" s="4" t="str">
        <f t="shared" si="77"/>
        <v>월</v>
      </c>
      <c r="M1629" s="2" t="str">
        <f>VLOOKUP($C1629, 고객정보!$A$2:$E$151, 2, FALSE)</f>
        <v>서울</v>
      </c>
      <c r="N1629" t="str">
        <f>VLOOKUP(C1629,고객정보!$A$2:$D$151,4,FALSE)</f>
        <v>L1</v>
      </c>
      <c r="O1629" t="str">
        <f>VLOOKUP($C1629, 고객정보!$A$2:$E$151, 5, FALSE)</f>
        <v>50대 이상</v>
      </c>
      <c r="P1629" t="str">
        <f>VLOOKUP(D1629,상품정보!$A$2:$E$61,2,FALSE)</f>
        <v>귀걸이</v>
      </c>
      <c r="Q1629" t="str">
        <f>VLOOKUP(D1629,상품정보!$A$2:$D$151,3,FALSE)</f>
        <v>액세서리</v>
      </c>
      <c r="R1629" t="str">
        <f>VLOOKUP(D1629,상품정보!$A$2:$D$151,4,FALSE)</f>
        <v>브랜드B</v>
      </c>
    </row>
    <row r="1630" spans="1:18" x14ac:dyDescent="0.45">
      <c r="A1630" t="s">
        <v>74</v>
      </c>
      <c r="B1630" t="s">
        <v>2029</v>
      </c>
      <c r="C1630" t="s">
        <v>2408</v>
      </c>
      <c r="D1630" t="s">
        <v>2600</v>
      </c>
      <c r="E1630">
        <v>2</v>
      </c>
      <c r="F1630">
        <v>10900</v>
      </c>
      <c r="G1630">
        <v>1500</v>
      </c>
      <c r="H1630">
        <v>0</v>
      </c>
      <c r="I1630" t="s">
        <v>2652</v>
      </c>
      <c r="J1630" s="4">
        <f t="shared" si="75"/>
        <v>23300</v>
      </c>
      <c r="K1630" s="4" t="str">
        <f t="shared" si="76"/>
        <v>2024-04</v>
      </c>
      <c r="L1630" s="4" t="str">
        <f t="shared" si="77"/>
        <v>금</v>
      </c>
      <c r="M1630" s="2" t="str">
        <f>VLOOKUP($C1630, 고객정보!$A$2:$E$151, 2, FALSE)</f>
        <v>수원</v>
      </c>
      <c r="N1630" t="str">
        <f>VLOOKUP(C1630,고객정보!$A$2:$D$151,4,FALSE)</f>
        <v>L5</v>
      </c>
      <c r="O1630" t="str">
        <f>VLOOKUP($C1630, 고객정보!$A$2:$E$151, 5, FALSE)</f>
        <v>20대</v>
      </c>
      <c r="P1630" t="str">
        <f>VLOOKUP(D1630,상품정보!$A$2:$E$61,2,FALSE)</f>
        <v>셔츠</v>
      </c>
      <c r="Q1630" t="str">
        <f>VLOOKUP(D1630,상품정보!$A$2:$D$151,3,FALSE)</f>
        <v>의류</v>
      </c>
      <c r="R1630" t="str">
        <f>VLOOKUP(D1630,상품정보!$A$2:$D$151,4,FALSE)</f>
        <v>브랜드E</v>
      </c>
    </row>
    <row r="1631" spans="1:18" x14ac:dyDescent="0.45">
      <c r="A1631" t="s">
        <v>41</v>
      </c>
      <c r="B1631" t="s">
        <v>2030</v>
      </c>
      <c r="C1631" t="s">
        <v>2426</v>
      </c>
      <c r="D1631" t="s">
        <v>2551</v>
      </c>
      <c r="E1631">
        <v>3</v>
      </c>
      <c r="F1631">
        <v>66600</v>
      </c>
      <c r="G1631">
        <v>2000</v>
      </c>
      <c r="H1631">
        <v>0</v>
      </c>
      <c r="I1631" t="s">
        <v>2652</v>
      </c>
      <c r="J1631" s="4">
        <f t="shared" si="75"/>
        <v>201800</v>
      </c>
      <c r="K1631" s="4" t="str">
        <f t="shared" si="76"/>
        <v>2024-10</v>
      </c>
      <c r="L1631" s="4" t="str">
        <f t="shared" si="77"/>
        <v>목</v>
      </c>
      <c r="M1631" s="2" t="str">
        <f>VLOOKUP($C1631, 고객정보!$A$2:$E$151, 2, FALSE)</f>
        <v>대전</v>
      </c>
      <c r="N1631" t="str">
        <f>VLOOKUP(C1631,고객정보!$A$2:$D$151,4,FALSE)</f>
        <v>L5</v>
      </c>
      <c r="O1631" t="str">
        <f>VLOOKUP($C1631, 고객정보!$A$2:$E$151, 5, FALSE)</f>
        <v>30대</v>
      </c>
      <c r="P1631" t="str">
        <f>VLOOKUP(D1631,상품정보!$A$2:$E$61,2,FALSE)</f>
        <v>반지</v>
      </c>
      <c r="Q1631" t="str">
        <f>VLOOKUP(D1631,상품정보!$A$2:$D$151,3,FALSE)</f>
        <v>액세서리</v>
      </c>
      <c r="R1631" t="str">
        <f>VLOOKUP(D1631,상품정보!$A$2:$D$151,4,FALSE)</f>
        <v>브랜드B</v>
      </c>
    </row>
    <row r="1632" spans="1:18" x14ac:dyDescent="0.45">
      <c r="A1632" t="s">
        <v>227</v>
      </c>
      <c r="B1632" t="s">
        <v>2031</v>
      </c>
      <c r="C1632" t="s">
        <v>2484</v>
      </c>
      <c r="D1632" t="s">
        <v>2562</v>
      </c>
      <c r="E1632">
        <v>5</v>
      </c>
      <c r="F1632">
        <v>15600</v>
      </c>
      <c r="G1632">
        <v>0</v>
      </c>
      <c r="H1632">
        <v>1100</v>
      </c>
      <c r="I1632" t="s">
        <v>2614</v>
      </c>
      <c r="J1632" s="4">
        <f t="shared" si="75"/>
        <v>76900</v>
      </c>
      <c r="K1632" s="4" t="str">
        <f t="shared" si="76"/>
        <v>2024-10</v>
      </c>
      <c r="L1632" s="4" t="str">
        <f t="shared" si="77"/>
        <v>토</v>
      </c>
      <c r="M1632" s="2" t="str">
        <f>VLOOKUP($C1632, 고객정보!$A$2:$E$151, 2, FALSE)</f>
        <v>부산</v>
      </c>
      <c r="N1632" t="str">
        <f>VLOOKUP(C1632,고객정보!$A$2:$D$151,4,FALSE)</f>
        <v>L5</v>
      </c>
      <c r="O1632" t="str">
        <f>VLOOKUP($C1632, 고객정보!$A$2:$E$151, 5, FALSE)</f>
        <v>20대</v>
      </c>
      <c r="P1632" t="str">
        <f>VLOOKUP(D1632,상품정보!$A$2:$E$61,2,FALSE)</f>
        <v>반팔 티셔츠</v>
      </c>
      <c r="Q1632" t="str">
        <f>VLOOKUP(D1632,상품정보!$A$2:$D$151,3,FALSE)</f>
        <v>의류</v>
      </c>
      <c r="R1632" t="str">
        <f>VLOOKUP(D1632,상품정보!$A$2:$D$151,4,FALSE)</f>
        <v>브랜드E</v>
      </c>
    </row>
    <row r="1633" spans="1:18" x14ac:dyDescent="0.45">
      <c r="A1633" t="s">
        <v>395</v>
      </c>
      <c r="B1633" t="s">
        <v>2032</v>
      </c>
      <c r="C1633" t="s">
        <v>2477</v>
      </c>
      <c r="D1633" t="s">
        <v>2591</v>
      </c>
      <c r="E1633">
        <v>1</v>
      </c>
      <c r="F1633">
        <v>69200</v>
      </c>
      <c r="G1633">
        <v>1500</v>
      </c>
      <c r="H1633">
        <v>0</v>
      </c>
      <c r="I1633" t="s">
        <v>2652</v>
      </c>
      <c r="J1633" s="4">
        <f t="shared" si="75"/>
        <v>70700</v>
      </c>
      <c r="K1633" s="4" t="str">
        <f t="shared" si="76"/>
        <v>2024-08</v>
      </c>
      <c r="L1633" s="4" t="str">
        <f t="shared" si="77"/>
        <v>금</v>
      </c>
      <c r="M1633" s="2" t="str">
        <f>VLOOKUP($C1633, 고객정보!$A$2:$E$151, 2, FALSE)</f>
        <v>부산</v>
      </c>
      <c r="N1633" t="str">
        <f>VLOOKUP(C1633,고객정보!$A$2:$D$151,4,FALSE)</f>
        <v>L4</v>
      </c>
      <c r="O1633" t="str">
        <f>VLOOKUP($C1633, 고객정보!$A$2:$E$151, 5, FALSE)</f>
        <v>20대</v>
      </c>
      <c r="P1633" t="str">
        <f>VLOOKUP(D1633,상품정보!$A$2:$E$61,2,FALSE)</f>
        <v>셔츠</v>
      </c>
      <c r="Q1633" t="str">
        <f>VLOOKUP(D1633,상품정보!$A$2:$D$151,3,FALSE)</f>
        <v>의류</v>
      </c>
      <c r="R1633" t="str">
        <f>VLOOKUP(D1633,상품정보!$A$2:$D$151,4,FALSE)</f>
        <v>브랜드F</v>
      </c>
    </row>
    <row r="1634" spans="1:18" x14ac:dyDescent="0.45">
      <c r="A1634" t="s">
        <v>55</v>
      </c>
      <c r="B1634" t="s">
        <v>2033</v>
      </c>
      <c r="C1634" t="s">
        <v>2529</v>
      </c>
      <c r="D1634" t="s">
        <v>2573</v>
      </c>
      <c r="E1634">
        <v>2</v>
      </c>
      <c r="F1634">
        <v>6400</v>
      </c>
      <c r="G1634">
        <v>500</v>
      </c>
      <c r="H1634">
        <v>0</v>
      </c>
      <c r="I1634" t="s">
        <v>2652</v>
      </c>
      <c r="J1634" s="4">
        <f t="shared" si="75"/>
        <v>13300</v>
      </c>
      <c r="K1634" s="4" t="str">
        <f t="shared" si="76"/>
        <v>2024-05</v>
      </c>
      <c r="L1634" s="4" t="str">
        <f t="shared" si="77"/>
        <v>수</v>
      </c>
      <c r="M1634" s="2" t="str">
        <f>VLOOKUP($C1634, 고객정보!$A$2:$E$151, 2, FALSE)</f>
        <v>인천</v>
      </c>
      <c r="N1634" t="str">
        <f>VLOOKUP(C1634,고객정보!$A$2:$D$151,4,FALSE)</f>
        <v>L2</v>
      </c>
      <c r="O1634" t="str">
        <f>VLOOKUP($C1634, 고객정보!$A$2:$E$151, 5, FALSE)</f>
        <v>30대</v>
      </c>
      <c r="P1634" t="str">
        <f>VLOOKUP(D1634,상품정보!$A$2:$E$61,2,FALSE)</f>
        <v>귀걸이</v>
      </c>
      <c r="Q1634" t="str">
        <f>VLOOKUP(D1634,상품정보!$A$2:$D$151,3,FALSE)</f>
        <v>액세서리</v>
      </c>
      <c r="R1634" t="str">
        <f>VLOOKUP(D1634,상품정보!$A$2:$D$151,4,FALSE)</f>
        <v>브랜드E</v>
      </c>
    </row>
    <row r="1635" spans="1:18" x14ac:dyDescent="0.45">
      <c r="A1635" t="s">
        <v>300</v>
      </c>
      <c r="B1635" t="s">
        <v>2034</v>
      </c>
      <c r="C1635" t="s">
        <v>2419</v>
      </c>
      <c r="D1635" t="s">
        <v>2584</v>
      </c>
      <c r="E1635">
        <v>5</v>
      </c>
      <c r="F1635">
        <v>59700</v>
      </c>
      <c r="G1635">
        <v>0</v>
      </c>
      <c r="H1635">
        <v>3400</v>
      </c>
      <c r="I1635" t="s">
        <v>2613</v>
      </c>
      <c r="J1635" s="4">
        <f t="shared" si="75"/>
        <v>295100</v>
      </c>
      <c r="K1635" s="4" t="str">
        <f t="shared" si="76"/>
        <v>2024-05</v>
      </c>
      <c r="L1635" s="4" t="str">
        <f t="shared" si="77"/>
        <v>화</v>
      </c>
      <c r="M1635" s="2" t="str">
        <f>VLOOKUP($C1635, 고객정보!$A$2:$E$151, 2, FALSE)</f>
        <v>대구</v>
      </c>
      <c r="N1635" t="str">
        <f>VLOOKUP(C1635,고객정보!$A$2:$D$151,4,FALSE)</f>
        <v>L2</v>
      </c>
      <c r="O1635" t="str">
        <f>VLOOKUP($C1635, 고객정보!$A$2:$E$151, 5, FALSE)</f>
        <v>20대</v>
      </c>
      <c r="P1635" t="str">
        <f>VLOOKUP(D1635,상품정보!$A$2:$E$61,2,FALSE)</f>
        <v>목걸이</v>
      </c>
      <c r="Q1635" t="str">
        <f>VLOOKUP(D1635,상품정보!$A$2:$D$151,3,FALSE)</f>
        <v>액세서리</v>
      </c>
      <c r="R1635" t="str">
        <f>VLOOKUP(D1635,상품정보!$A$2:$D$151,4,FALSE)</f>
        <v>브랜드B</v>
      </c>
    </row>
    <row r="1636" spans="1:18" x14ac:dyDescent="0.45">
      <c r="A1636" t="s">
        <v>173</v>
      </c>
      <c r="B1636" t="s">
        <v>2035</v>
      </c>
      <c r="C1636" t="s">
        <v>2405</v>
      </c>
      <c r="D1636" t="s">
        <v>2605</v>
      </c>
      <c r="E1636">
        <v>3</v>
      </c>
      <c r="F1636">
        <v>6800</v>
      </c>
      <c r="G1636">
        <v>500</v>
      </c>
      <c r="H1636">
        <v>0</v>
      </c>
      <c r="I1636" t="s">
        <v>2652</v>
      </c>
      <c r="J1636" s="4">
        <f t="shared" si="75"/>
        <v>20900</v>
      </c>
      <c r="K1636" s="4" t="str">
        <f t="shared" si="76"/>
        <v>2024-02</v>
      </c>
      <c r="L1636" s="4" t="str">
        <f t="shared" si="77"/>
        <v>토</v>
      </c>
      <c r="M1636" s="2" t="str">
        <f>VLOOKUP($C1636, 고객정보!$A$2:$E$151, 2, FALSE)</f>
        <v>부산</v>
      </c>
      <c r="N1636" t="str">
        <f>VLOOKUP(C1636,고객정보!$A$2:$D$151,4,FALSE)</f>
        <v>L3</v>
      </c>
      <c r="O1636" t="str">
        <f>VLOOKUP($C1636, 고객정보!$A$2:$E$151, 5, FALSE)</f>
        <v>40대</v>
      </c>
      <c r="P1636" t="str">
        <f>VLOOKUP(D1636,상품정보!$A$2:$E$61,2,FALSE)</f>
        <v>핸드폰케이스</v>
      </c>
      <c r="Q1636" t="str">
        <f>VLOOKUP(D1636,상품정보!$A$2:$D$151,3,FALSE)</f>
        <v>액세서리</v>
      </c>
      <c r="R1636" t="str">
        <f>VLOOKUP(D1636,상품정보!$A$2:$D$151,4,FALSE)</f>
        <v>브랜드D</v>
      </c>
    </row>
    <row r="1637" spans="1:18" x14ac:dyDescent="0.45">
      <c r="A1637" t="s">
        <v>11</v>
      </c>
      <c r="B1637" t="s">
        <v>2036</v>
      </c>
      <c r="C1637" t="s">
        <v>2453</v>
      </c>
      <c r="D1637" t="s">
        <v>2575</v>
      </c>
      <c r="E1637">
        <v>5</v>
      </c>
      <c r="F1637">
        <v>7200</v>
      </c>
      <c r="G1637">
        <v>500</v>
      </c>
      <c r="H1637">
        <v>0</v>
      </c>
      <c r="I1637" t="s">
        <v>2652</v>
      </c>
      <c r="J1637" s="4">
        <f t="shared" si="75"/>
        <v>36500</v>
      </c>
      <c r="K1637" s="4" t="str">
        <f t="shared" si="76"/>
        <v>2024-04</v>
      </c>
      <c r="L1637" s="4" t="str">
        <f t="shared" si="77"/>
        <v>일</v>
      </c>
      <c r="M1637" s="2" t="str">
        <f>VLOOKUP($C1637, 고객정보!$A$2:$E$151, 2, FALSE)</f>
        <v>대구</v>
      </c>
      <c r="N1637" t="str">
        <f>VLOOKUP(C1637,고객정보!$A$2:$D$151,4,FALSE)</f>
        <v>L5</v>
      </c>
      <c r="O1637" t="str">
        <f>VLOOKUP($C1637, 고객정보!$A$2:$E$151, 5, FALSE)</f>
        <v>50대 이상</v>
      </c>
      <c r="P1637" t="str">
        <f>VLOOKUP(D1637,상품정보!$A$2:$E$61,2,FALSE)</f>
        <v>반지</v>
      </c>
      <c r="Q1637" t="str">
        <f>VLOOKUP(D1637,상품정보!$A$2:$D$151,3,FALSE)</f>
        <v>액세서리</v>
      </c>
      <c r="R1637" t="str">
        <f>VLOOKUP(D1637,상품정보!$A$2:$D$151,4,FALSE)</f>
        <v>브랜드E</v>
      </c>
    </row>
    <row r="1638" spans="1:18" x14ac:dyDescent="0.45">
      <c r="A1638" t="s">
        <v>163</v>
      </c>
      <c r="B1638" t="s">
        <v>2037</v>
      </c>
      <c r="C1638" t="s">
        <v>2532</v>
      </c>
      <c r="D1638" t="s">
        <v>2586</v>
      </c>
      <c r="E1638">
        <v>3</v>
      </c>
      <c r="F1638">
        <v>73000</v>
      </c>
      <c r="G1638">
        <v>0</v>
      </c>
      <c r="H1638">
        <v>0</v>
      </c>
      <c r="I1638" t="s">
        <v>2652</v>
      </c>
      <c r="J1638" s="4">
        <f t="shared" si="75"/>
        <v>219000</v>
      </c>
      <c r="K1638" s="4" t="str">
        <f t="shared" si="76"/>
        <v>2024-09</v>
      </c>
      <c r="L1638" s="4" t="str">
        <f t="shared" si="77"/>
        <v>수</v>
      </c>
      <c r="M1638" s="2" t="str">
        <f>VLOOKUP($C1638, 고객정보!$A$2:$E$151, 2, FALSE)</f>
        <v>서울</v>
      </c>
      <c r="N1638" t="str">
        <f>VLOOKUP(C1638,고객정보!$A$2:$D$151,4,FALSE)</f>
        <v>L2</v>
      </c>
      <c r="O1638" t="str">
        <f>VLOOKUP($C1638, 고객정보!$A$2:$E$151, 5, FALSE)</f>
        <v>50대 이상</v>
      </c>
      <c r="P1638" t="str">
        <f>VLOOKUP(D1638,상품정보!$A$2:$E$61,2,FALSE)</f>
        <v>귀걸이</v>
      </c>
      <c r="Q1638" t="str">
        <f>VLOOKUP(D1638,상품정보!$A$2:$D$151,3,FALSE)</f>
        <v>액세서리</v>
      </c>
      <c r="R1638" t="str">
        <f>VLOOKUP(D1638,상품정보!$A$2:$D$151,4,FALSE)</f>
        <v>브랜드B</v>
      </c>
    </row>
    <row r="1639" spans="1:18" x14ac:dyDescent="0.45">
      <c r="A1639" t="s">
        <v>385</v>
      </c>
      <c r="B1639" t="s">
        <v>2038</v>
      </c>
      <c r="C1639" t="s">
        <v>2536</v>
      </c>
      <c r="D1639" t="s">
        <v>2583</v>
      </c>
      <c r="E1639">
        <v>5</v>
      </c>
      <c r="F1639">
        <v>6600</v>
      </c>
      <c r="G1639">
        <v>0</v>
      </c>
      <c r="H1639">
        <v>0</v>
      </c>
      <c r="I1639" t="s">
        <v>2652</v>
      </c>
      <c r="J1639" s="4">
        <f t="shared" si="75"/>
        <v>33000</v>
      </c>
      <c r="K1639" s="4" t="str">
        <f t="shared" si="76"/>
        <v>2024-02</v>
      </c>
      <c r="L1639" s="4" t="str">
        <f t="shared" si="77"/>
        <v>일</v>
      </c>
      <c r="M1639" s="2" t="str">
        <f>VLOOKUP($C1639, 고객정보!$A$2:$E$151, 2, FALSE)</f>
        <v>서울</v>
      </c>
      <c r="N1639" t="str">
        <f>VLOOKUP(C1639,고객정보!$A$2:$D$151,4,FALSE)</f>
        <v>L5</v>
      </c>
      <c r="O1639" t="str">
        <f>VLOOKUP($C1639, 고객정보!$A$2:$E$151, 5, FALSE)</f>
        <v>20대</v>
      </c>
      <c r="P1639" t="str">
        <f>VLOOKUP(D1639,상품정보!$A$2:$E$61,2,FALSE)</f>
        <v>셔츠</v>
      </c>
      <c r="Q1639" t="str">
        <f>VLOOKUP(D1639,상품정보!$A$2:$D$151,3,FALSE)</f>
        <v>의류</v>
      </c>
      <c r="R1639" t="str">
        <f>VLOOKUP(D1639,상품정보!$A$2:$D$151,4,FALSE)</f>
        <v>브랜드E</v>
      </c>
    </row>
    <row r="1640" spans="1:18" x14ac:dyDescent="0.45">
      <c r="A1640" t="s">
        <v>247</v>
      </c>
      <c r="B1640" t="s">
        <v>2039</v>
      </c>
      <c r="C1640" t="s">
        <v>2528</v>
      </c>
      <c r="D1640" t="s">
        <v>2564</v>
      </c>
      <c r="E1640">
        <v>5</v>
      </c>
      <c r="F1640">
        <v>66600</v>
      </c>
      <c r="G1640">
        <v>1500</v>
      </c>
      <c r="H1640">
        <v>5400</v>
      </c>
      <c r="I1640" t="s">
        <v>2611</v>
      </c>
      <c r="J1640" s="4">
        <f t="shared" si="75"/>
        <v>329100</v>
      </c>
      <c r="K1640" s="4" t="str">
        <f t="shared" si="76"/>
        <v>2024-07</v>
      </c>
      <c r="L1640" s="4" t="str">
        <f t="shared" si="77"/>
        <v>일</v>
      </c>
      <c r="M1640" s="2" t="str">
        <f>VLOOKUP($C1640, 고객정보!$A$2:$E$151, 2, FALSE)</f>
        <v>광주</v>
      </c>
      <c r="N1640" t="str">
        <f>VLOOKUP(C1640,고객정보!$A$2:$D$151,4,FALSE)</f>
        <v>L3</v>
      </c>
      <c r="O1640" t="str">
        <f>VLOOKUP($C1640, 고객정보!$A$2:$E$151, 5, FALSE)</f>
        <v>10대</v>
      </c>
      <c r="P1640" t="str">
        <f>VLOOKUP(D1640,상품정보!$A$2:$E$61,2,FALSE)</f>
        <v>청바지</v>
      </c>
      <c r="Q1640" t="str">
        <f>VLOOKUP(D1640,상품정보!$A$2:$D$151,3,FALSE)</f>
        <v>의류</v>
      </c>
      <c r="R1640" t="str">
        <f>VLOOKUP(D1640,상품정보!$A$2:$D$151,4,FALSE)</f>
        <v>브랜드B</v>
      </c>
    </row>
    <row r="1641" spans="1:18" x14ac:dyDescent="0.45">
      <c r="A1641" t="s">
        <v>93</v>
      </c>
      <c r="B1641" t="s">
        <v>2040</v>
      </c>
      <c r="C1641" t="s">
        <v>2414</v>
      </c>
      <c r="D1641" t="s">
        <v>2587</v>
      </c>
      <c r="E1641">
        <v>1</v>
      </c>
      <c r="F1641">
        <v>50200</v>
      </c>
      <c r="G1641">
        <v>0</v>
      </c>
      <c r="H1641">
        <v>1200</v>
      </c>
      <c r="I1641" t="s">
        <v>2614</v>
      </c>
      <c r="J1641" s="4">
        <f t="shared" si="75"/>
        <v>49000</v>
      </c>
      <c r="K1641" s="4" t="str">
        <f t="shared" si="76"/>
        <v>2025-01</v>
      </c>
      <c r="L1641" s="4" t="str">
        <f t="shared" si="77"/>
        <v>수</v>
      </c>
      <c r="M1641" s="2" t="str">
        <f>VLOOKUP($C1641, 고객정보!$A$2:$E$151, 2, FALSE)</f>
        <v>대구</v>
      </c>
      <c r="N1641" t="str">
        <f>VLOOKUP(C1641,고객정보!$A$2:$D$151,4,FALSE)</f>
        <v>L3</v>
      </c>
      <c r="O1641" t="str">
        <f>VLOOKUP($C1641, 고객정보!$A$2:$E$151, 5, FALSE)</f>
        <v>30대</v>
      </c>
      <c r="P1641" t="str">
        <f>VLOOKUP(D1641,상품정보!$A$2:$E$61,2,FALSE)</f>
        <v>반지</v>
      </c>
      <c r="Q1641" t="str">
        <f>VLOOKUP(D1641,상품정보!$A$2:$D$151,3,FALSE)</f>
        <v>액세서리</v>
      </c>
      <c r="R1641" t="str">
        <f>VLOOKUP(D1641,상품정보!$A$2:$D$151,4,FALSE)</f>
        <v>브랜드B</v>
      </c>
    </row>
    <row r="1642" spans="1:18" x14ac:dyDescent="0.45">
      <c r="A1642" t="s">
        <v>314</v>
      </c>
      <c r="B1642" t="s">
        <v>2041</v>
      </c>
      <c r="C1642" t="s">
        <v>2526</v>
      </c>
      <c r="D1642" t="s">
        <v>2603</v>
      </c>
      <c r="E1642">
        <v>4</v>
      </c>
      <c r="F1642">
        <v>8200</v>
      </c>
      <c r="G1642">
        <v>1500</v>
      </c>
      <c r="H1642">
        <v>0</v>
      </c>
      <c r="I1642" t="s">
        <v>2652</v>
      </c>
      <c r="J1642" s="4">
        <f t="shared" si="75"/>
        <v>34300</v>
      </c>
      <c r="K1642" s="4" t="str">
        <f t="shared" si="76"/>
        <v>2024-08</v>
      </c>
      <c r="L1642" s="4" t="str">
        <f t="shared" si="77"/>
        <v>목</v>
      </c>
      <c r="M1642" s="2" t="str">
        <f>VLOOKUP($C1642, 고객정보!$A$2:$E$151, 2, FALSE)</f>
        <v>부산</v>
      </c>
      <c r="N1642" t="str">
        <f>VLOOKUP(C1642,고객정보!$A$2:$D$151,4,FALSE)</f>
        <v>L3</v>
      </c>
      <c r="O1642" t="str">
        <f>VLOOKUP($C1642, 고객정보!$A$2:$E$151, 5, FALSE)</f>
        <v>10대</v>
      </c>
      <c r="P1642" t="str">
        <f>VLOOKUP(D1642,상품정보!$A$2:$E$61,2,FALSE)</f>
        <v>목걸이</v>
      </c>
      <c r="Q1642" t="str">
        <f>VLOOKUP(D1642,상품정보!$A$2:$D$151,3,FALSE)</f>
        <v>액세서리</v>
      </c>
      <c r="R1642" t="str">
        <f>VLOOKUP(D1642,상품정보!$A$2:$D$151,4,FALSE)</f>
        <v>브랜드E</v>
      </c>
    </row>
    <row r="1643" spans="1:18" x14ac:dyDescent="0.45">
      <c r="A1643" t="s">
        <v>334</v>
      </c>
      <c r="B1643" t="s">
        <v>2042</v>
      </c>
      <c r="C1643" t="s">
        <v>2449</v>
      </c>
      <c r="D1643" t="s">
        <v>2576</v>
      </c>
      <c r="E1643">
        <v>2</v>
      </c>
      <c r="F1643">
        <v>8800</v>
      </c>
      <c r="G1643">
        <v>500</v>
      </c>
      <c r="H1643">
        <v>1400</v>
      </c>
      <c r="I1643" t="s">
        <v>2612</v>
      </c>
      <c r="J1643" s="4">
        <f t="shared" si="75"/>
        <v>16700</v>
      </c>
      <c r="K1643" s="4" t="str">
        <f t="shared" si="76"/>
        <v>2025-01</v>
      </c>
      <c r="L1643" s="4" t="str">
        <f t="shared" si="77"/>
        <v>금</v>
      </c>
      <c r="M1643" s="2" t="str">
        <f>VLOOKUP($C1643, 고객정보!$A$2:$E$151, 2, FALSE)</f>
        <v>대구</v>
      </c>
      <c r="N1643" t="str">
        <f>VLOOKUP(C1643,고객정보!$A$2:$D$151,4,FALSE)</f>
        <v>L5</v>
      </c>
      <c r="O1643" t="str">
        <f>VLOOKUP($C1643, 고객정보!$A$2:$E$151, 5, FALSE)</f>
        <v>40대</v>
      </c>
      <c r="P1643" t="str">
        <f>VLOOKUP(D1643,상품정보!$A$2:$E$61,2,FALSE)</f>
        <v>핸드폰케이스</v>
      </c>
      <c r="Q1643" t="str">
        <f>VLOOKUP(D1643,상품정보!$A$2:$D$151,3,FALSE)</f>
        <v>액세서리</v>
      </c>
      <c r="R1643" t="str">
        <f>VLOOKUP(D1643,상품정보!$A$2:$D$151,4,FALSE)</f>
        <v>브랜드D</v>
      </c>
    </row>
    <row r="1644" spans="1:18" x14ac:dyDescent="0.45">
      <c r="A1644" t="s">
        <v>386</v>
      </c>
      <c r="B1644" t="s">
        <v>2043</v>
      </c>
      <c r="C1644" t="s">
        <v>2435</v>
      </c>
      <c r="D1644" t="s">
        <v>2601</v>
      </c>
      <c r="E1644">
        <v>4</v>
      </c>
      <c r="F1644">
        <v>17000</v>
      </c>
      <c r="G1644">
        <v>0</v>
      </c>
      <c r="H1644">
        <v>0</v>
      </c>
      <c r="I1644" t="s">
        <v>2652</v>
      </c>
      <c r="J1644" s="4">
        <f t="shared" si="75"/>
        <v>68000</v>
      </c>
      <c r="K1644" s="4" t="str">
        <f t="shared" si="76"/>
        <v>2024-01</v>
      </c>
      <c r="L1644" s="4" t="str">
        <f t="shared" si="77"/>
        <v>일</v>
      </c>
      <c r="M1644" s="2" t="str">
        <f>VLOOKUP($C1644, 고객정보!$A$2:$E$151, 2, FALSE)</f>
        <v>인천</v>
      </c>
      <c r="N1644" t="str">
        <f>VLOOKUP(C1644,고객정보!$A$2:$D$151,4,FALSE)</f>
        <v>L5</v>
      </c>
      <c r="O1644" t="str">
        <f>VLOOKUP($C1644, 고객정보!$A$2:$E$151, 5, FALSE)</f>
        <v>30대</v>
      </c>
      <c r="P1644" t="str">
        <f>VLOOKUP(D1644,상품정보!$A$2:$E$61,2,FALSE)</f>
        <v>자켓</v>
      </c>
      <c r="Q1644" t="str">
        <f>VLOOKUP(D1644,상품정보!$A$2:$D$151,3,FALSE)</f>
        <v>의류</v>
      </c>
      <c r="R1644" t="str">
        <f>VLOOKUP(D1644,상품정보!$A$2:$D$151,4,FALSE)</f>
        <v>브랜드E</v>
      </c>
    </row>
    <row r="1645" spans="1:18" x14ac:dyDescent="0.45">
      <c r="A1645" t="s">
        <v>313</v>
      </c>
      <c r="B1645" t="s">
        <v>2044</v>
      </c>
      <c r="C1645" t="s">
        <v>2479</v>
      </c>
      <c r="D1645" t="s">
        <v>2578</v>
      </c>
      <c r="E1645">
        <v>1</v>
      </c>
      <c r="F1645">
        <v>78000</v>
      </c>
      <c r="G1645">
        <v>0</v>
      </c>
      <c r="H1645">
        <v>0</v>
      </c>
      <c r="I1645" t="s">
        <v>2652</v>
      </c>
      <c r="J1645" s="4">
        <f t="shared" si="75"/>
        <v>78000</v>
      </c>
      <c r="K1645" s="4" t="str">
        <f t="shared" si="76"/>
        <v>2024-06</v>
      </c>
      <c r="L1645" s="4" t="str">
        <f t="shared" si="77"/>
        <v>수</v>
      </c>
      <c r="M1645" s="2" t="str">
        <f>VLOOKUP($C1645, 고객정보!$A$2:$E$151, 2, FALSE)</f>
        <v>부산</v>
      </c>
      <c r="N1645" t="str">
        <f>VLOOKUP(C1645,고객정보!$A$2:$D$151,4,FALSE)</f>
        <v>L2</v>
      </c>
      <c r="O1645" t="str">
        <f>VLOOKUP($C1645, 고객정보!$A$2:$E$151, 5, FALSE)</f>
        <v>10대</v>
      </c>
      <c r="P1645" t="str">
        <f>VLOOKUP(D1645,상품정보!$A$2:$E$61,2,FALSE)</f>
        <v>귀걸이</v>
      </c>
      <c r="Q1645" t="str">
        <f>VLOOKUP(D1645,상품정보!$A$2:$D$151,3,FALSE)</f>
        <v>액세서리</v>
      </c>
      <c r="R1645" t="str">
        <f>VLOOKUP(D1645,상품정보!$A$2:$D$151,4,FALSE)</f>
        <v>브랜드B</v>
      </c>
    </row>
    <row r="1646" spans="1:18" x14ac:dyDescent="0.45">
      <c r="A1646" t="s">
        <v>113</v>
      </c>
      <c r="B1646" t="s">
        <v>2045</v>
      </c>
      <c r="C1646" t="s">
        <v>2502</v>
      </c>
      <c r="D1646" t="s">
        <v>2563</v>
      </c>
      <c r="E1646">
        <v>2</v>
      </c>
      <c r="F1646">
        <v>6900</v>
      </c>
      <c r="G1646">
        <v>1000</v>
      </c>
      <c r="H1646">
        <v>0</v>
      </c>
      <c r="I1646" t="s">
        <v>2652</v>
      </c>
      <c r="J1646" s="4">
        <f t="shared" si="75"/>
        <v>14800</v>
      </c>
      <c r="K1646" s="4" t="str">
        <f t="shared" si="76"/>
        <v>2024-06</v>
      </c>
      <c r="L1646" s="4" t="str">
        <f t="shared" si="77"/>
        <v>일</v>
      </c>
      <c r="M1646" s="2" t="str">
        <f>VLOOKUP($C1646, 고객정보!$A$2:$E$151, 2, FALSE)</f>
        <v>부산</v>
      </c>
      <c r="N1646" t="str">
        <f>VLOOKUP(C1646,고객정보!$A$2:$D$151,4,FALSE)</f>
        <v>L4</v>
      </c>
      <c r="O1646" t="str">
        <f>VLOOKUP($C1646, 고객정보!$A$2:$E$151, 5, FALSE)</f>
        <v>20대</v>
      </c>
      <c r="P1646" t="str">
        <f>VLOOKUP(D1646,상품정보!$A$2:$E$61,2,FALSE)</f>
        <v>귀걸이</v>
      </c>
      <c r="Q1646" t="str">
        <f>VLOOKUP(D1646,상품정보!$A$2:$D$151,3,FALSE)</f>
        <v>액세서리</v>
      </c>
      <c r="R1646" t="str">
        <f>VLOOKUP(D1646,상품정보!$A$2:$D$151,4,FALSE)</f>
        <v>브랜드D</v>
      </c>
    </row>
    <row r="1647" spans="1:18" x14ac:dyDescent="0.45">
      <c r="A1647" t="s">
        <v>39</v>
      </c>
      <c r="B1647" t="s">
        <v>2046</v>
      </c>
      <c r="C1647" t="s">
        <v>2519</v>
      </c>
      <c r="D1647" t="s">
        <v>2606</v>
      </c>
      <c r="E1647">
        <v>2</v>
      </c>
      <c r="F1647">
        <v>15000</v>
      </c>
      <c r="G1647">
        <v>0</v>
      </c>
      <c r="H1647">
        <v>2500</v>
      </c>
      <c r="I1647" t="s">
        <v>2612</v>
      </c>
      <c r="J1647" s="4">
        <f t="shared" si="75"/>
        <v>27500</v>
      </c>
      <c r="K1647" s="4" t="str">
        <f t="shared" si="76"/>
        <v>2024-03</v>
      </c>
      <c r="L1647" s="4" t="str">
        <f t="shared" si="77"/>
        <v>화</v>
      </c>
      <c r="M1647" s="2" t="str">
        <f>VLOOKUP($C1647, 고객정보!$A$2:$E$151, 2, FALSE)</f>
        <v>서울</v>
      </c>
      <c r="N1647" t="str">
        <f>VLOOKUP(C1647,고객정보!$A$2:$D$151,4,FALSE)</f>
        <v>L4</v>
      </c>
      <c r="O1647" t="str">
        <f>VLOOKUP($C1647, 고객정보!$A$2:$E$151, 5, FALSE)</f>
        <v>20대</v>
      </c>
      <c r="P1647" t="str">
        <f>VLOOKUP(D1647,상품정보!$A$2:$E$61,2,FALSE)</f>
        <v>귀걸이</v>
      </c>
      <c r="Q1647" t="str">
        <f>VLOOKUP(D1647,상품정보!$A$2:$D$151,3,FALSE)</f>
        <v>액세서리</v>
      </c>
      <c r="R1647" t="str">
        <f>VLOOKUP(D1647,상품정보!$A$2:$D$151,4,FALSE)</f>
        <v>브랜드E</v>
      </c>
    </row>
    <row r="1648" spans="1:18" x14ac:dyDescent="0.45">
      <c r="A1648" t="s">
        <v>322</v>
      </c>
      <c r="B1648" t="s">
        <v>2047</v>
      </c>
      <c r="C1648" t="s">
        <v>2431</v>
      </c>
      <c r="D1648" t="s">
        <v>2579</v>
      </c>
      <c r="E1648">
        <v>4</v>
      </c>
      <c r="F1648">
        <v>51000</v>
      </c>
      <c r="G1648">
        <v>1000</v>
      </c>
      <c r="H1648">
        <v>0</v>
      </c>
      <c r="I1648" t="s">
        <v>2652</v>
      </c>
      <c r="J1648" s="4">
        <f t="shared" si="75"/>
        <v>205000</v>
      </c>
      <c r="K1648" s="4" t="str">
        <f t="shared" si="76"/>
        <v>2024-08</v>
      </c>
      <c r="L1648" s="4" t="str">
        <f t="shared" si="77"/>
        <v>금</v>
      </c>
      <c r="M1648" s="2" t="str">
        <f>VLOOKUP($C1648, 고객정보!$A$2:$E$151, 2, FALSE)</f>
        <v>광주</v>
      </c>
      <c r="N1648" t="str">
        <f>VLOOKUP(C1648,고객정보!$A$2:$D$151,4,FALSE)</f>
        <v>L3</v>
      </c>
      <c r="O1648" t="str">
        <f>VLOOKUP($C1648, 고객정보!$A$2:$E$151, 5, FALSE)</f>
        <v>40대</v>
      </c>
      <c r="P1648" t="str">
        <f>VLOOKUP(D1648,상품정보!$A$2:$E$61,2,FALSE)</f>
        <v>핸드폰케이스</v>
      </c>
      <c r="Q1648" t="str">
        <f>VLOOKUP(D1648,상품정보!$A$2:$D$151,3,FALSE)</f>
        <v>액세서리</v>
      </c>
      <c r="R1648" t="str">
        <f>VLOOKUP(D1648,상품정보!$A$2:$D$151,4,FALSE)</f>
        <v>브랜드F</v>
      </c>
    </row>
    <row r="1649" spans="1:18" x14ac:dyDescent="0.45">
      <c r="A1649" t="s">
        <v>235</v>
      </c>
      <c r="B1649" t="s">
        <v>2048</v>
      </c>
      <c r="C1649" t="s">
        <v>2494</v>
      </c>
      <c r="D1649" t="s">
        <v>2554</v>
      </c>
      <c r="E1649">
        <v>1</v>
      </c>
      <c r="F1649">
        <v>12100</v>
      </c>
      <c r="G1649">
        <v>0</v>
      </c>
      <c r="H1649">
        <v>400</v>
      </c>
      <c r="I1649" t="s">
        <v>2614</v>
      </c>
      <c r="J1649" s="4">
        <f t="shared" si="75"/>
        <v>11700</v>
      </c>
      <c r="K1649" s="4" t="str">
        <f t="shared" si="76"/>
        <v>2024-04</v>
      </c>
      <c r="L1649" s="4" t="str">
        <f t="shared" si="77"/>
        <v>화</v>
      </c>
      <c r="M1649" s="2" t="str">
        <f>VLOOKUP($C1649, 고객정보!$A$2:$E$151, 2, FALSE)</f>
        <v>대구</v>
      </c>
      <c r="N1649" t="str">
        <f>VLOOKUP(C1649,고객정보!$A$2:$D$151,4,FALSE)</f>
        <v>L4</v>
      </c>
      <c r="O1649" t="str">
        <f>VLOOKUP($C1649, 고객정보!$A$2:$E$151, 5, FALSE)</f>
        <v>40대</v>
      </c>
      <c r="P1649" t="str">
        <f>VLOOKUP(D1649,상품정보!$A$2:$E$61,2,FALSE)</f>
        <v>귀걸이</v>
      </c>
      <c r="Q1649" t="str">
        <f>VLOOKUP(D1649,상품정보!$A$2:$D$151,3,FALSE)</f>
        <v>액세서리</v>
      </c>
      <c r="R1649" t="str">
        <f>VLOOKUP(D1649,상품정보!$A$2:$D$151,4,FALSE)</f>
        <v>브랜드D</v>
      </c>
    </row>
    <row r="1650" spans="1:18" x14ac:dyDescent="0.45">
      <c r="A1650" t="s">
        <v>123</v>
      </c>
      <c r="B1650" t="s">
        <v>2049</v>
      </c>
      <c r="C1650" t="s">
        <v>2491</v>
      </c>
      <c r="D1650" t="s">
        <v>2595</v>
      </c>
      <c r="E1650">
        <v>4</v>
      </c>
      <c r="F1650">
        <v>12700</v>
      </c>
      <c r="G1650">
        <v>500</v>
      </c>
      <c r="H1650">
        <v>8400</v>
      </c>
      <c r="I1650" t="s">
        <v>2614</v>
      </c>
      <c r="J1650" s="4">
        <f t="shared" si="75"/>
        <v>42900</v>
      </c>
      <c r="K1650" s="4" t="str">
        <f t="shared" si="76"/>
        <v>2024-03</v>
      </c>
      <c r="L1650" s="4" t="str">
        <f t="shared" si="77"/>
        <v>토</v>
      </c>
      <c r="M1650" s="2" t="str">
        <f>VLOOKUP($C1650, 고객정보!$A$2:$E$151, 2, FALSE)</f>
        <v>서울</v>
      </c>
      <c r="N1650" t="str">
        <f>VLOOKUP(C1650,고객정보!$A$2:$D$151,4,FALSE)</f>
        <v>L5</v>
      </c>
      <c r="O1650" t="str">
        <f>VLOOKUP($C1650, 고객정보!$A$2:$E$151, 5, FALSE)</f>
        <v>30대</v>
      </c>
      <c r="P1650" t="str">
        <f>VLOOKUP(D1650,상품정보!$A$2:$E$61,2,FALSE)</f>
        <v>반지</v>
      </c>
      <c r="Q1650" t="str">
        <f>VLOOKUP(D1650,상품정보!$A$2:$D$151,3,FALSE)</f>
        <v>액세서리</v>
      </c>
      <c r="R1650" t="str">
        <f>VLOOKUP(D1650,상품정보!$A$2:$D$151,4,FALSE)</f>
        <v>브랜드C</v>
      </c>
    </row>
    <row r="1651" spans="1:18" x14ac:dyDescent="0.45">
      <c r="A1651" t="s">
        <v>124</v>
      </c>
      <c r="B1651" t="s">
        <v>2050</v>
      </c>
      <c r="C1651" t="s">
        <v>2469</v>
      </c>
      <c r="D1651" t="s">
        <v>2558</v>
      </c>
      <c r="E1651">
        <v>1</v>
      </c>
      <c r="F1651">
        <v>63700</v>
      </c>
      <c r="G1651">
        <v>0</v>
      </c>
      <c r="H1651">
        <v>6100</v>
      </c>
      <c r="I1651" t="s">
        <v>2612</v>
      </c>
      <c r="J1651" s="4">
        <f t="shared" si="75"/>
        <v>57600</v>
      </c>
      <c r="K1651" s="4" t="str">
        <f t="shared" si="76"/>
        <v>2024-08</v>
      </c>
      <c r="L1651" s="4" t="str">
        <f t="shared" si="77"/>
        <v>토</v>
      </c>
      <c r="M1651" s="2" t="str">
        <f>VLOOKUP($C1651, 고객정보!$A$2:$E$151, 2, FALSE)</f>
        <v>수원</v>
      </c>
      <c r="N1651" t="str">
        <f>VLOOKUP(C1651,고객정보!$A$2:$D$151,4,FALSE)</f>
        <v>L5</v>
      </c>
      <c r="O1651" t="str">
        <f>VLOOKUP($C1651, 고객정보!$A$2:$E$151, 5, FALSE)</f>
        <v>20대</v>
      </c>
      <c r="P1651" t="str">
        <f>VLOOKUP(D1651,상품정보!$A$2:$E$61,2,FALSE)</f>
        <v>셔츠</v>
      </c>
      <c r="Q1651" t="str">
        <f>VLOOKUP(D1651,상품정보!$A$2:$D$151,3,FALSE)</f>
        <v>의류</v>
      </c>
      <c r="R1651" t="str">
        <f>VLOOKUP(D1651,상품정보!$A$2:$D$151,4,FALSE)</f>
        <v>브랜드A</v>
      </c>
    </row>
    <row r="1652" spans="1:18" x14ac:dyDescent="0.45">
      <c r="A1652" t="s">
        <v>116</v>
      </c>
      <c r="B1652" t="s">
        <v>2051</v>
      </c>
      <c r="C1652" t="s">
        <v>2453</v>
      </c>
      <c r="D1652" t="s">
        <v>2574</v>
      </c>
      <c r="E1652">
        <v>1</v>
      </c>
      <c r="F1652">
        <v>8600</v>
      </c>
      <c r="G1652">
        <v>1000</v>
      </c>
      <c r="H1652">
        <v>0</v>
      </c>
      <c r="I1652" t="s">
        <v>2652</v>
      </c>
      <c r="J1652" s="4">
        <f t="shared" si="75"/>
        <v>9600</v>
      </c>
      <c r="K1652" s="4" t="str">
        <f t="shared" si="76"/>
        <v>2024-10</v>
      </c>
      <c r="L1652" s="4" t="str">
        <f t="shared" si="77"/>
        <v>월</v>
      </c>
      <c r="M1652" s="2" t="str">
        <f>VLOOKUP($C1652, 고객정보!$A$2:$E$151, 2, FALSE)</f>
        <v>대구</v>
      </c>
      <c r="N1652" t="str">
        <f>VLOOKUP(C1652,고객정보!$A$2:$D$151,4,FALSE)</f>
        <v>L5</v>
      </c>
      <c r="O1652" t="str">
        <f>VLOOKUP($C1652, 고객정보!$A$2:$E$151, 5, FALSE)</f>
        <v>50대 이상</v>
      </c>
      <c r="P1652" t="str">
        <f>VLOOKUP(D1652,상품정보!$A$2:$E$61,2,FALSE)</f>
        <v>셔츠</v>
      </c>
      <c r="Q1652" t="str">
        <f>VLOOKUP(D1652,상품정보!$A$2:$D$151,3,FALSE)</f>
        <v>의류</v>
      </c>
      <c r="R1652" t="str">
        <f>VLOOKUP(D1652,상품정보!$A$2:$D$151,4,FALSE)</f>
        <v>브랜드D</v>
      </c>
    </row>
    <row r="1653" spans="1:18" x14ac:dyDescent="0.45">
      <c r="A1653" t="s">
        <v>57</v>
      </c>
      <c r="B1653" t="s">
        <v>2052</v>
      </c>
      <c r="C1653" t="s">
        <v>2461</v>
      </c>
      <c r="D1653" t="s">
        <v>2605</v>
      </c>
      <c r="E1653">
        <v>1</v>
      </c>
      <c r="F1653">
        <v>6800</v>
      </c>
      <c r="G1653">
        <v>1500</v>
      </c>
      <c r="H1653">
        <v>0</v>
      </c>
      <c r="I1653" t="s">
        <v>2652</v>
      </c>
      <c r="J1653" s="4">
        <f t="shared" si="75"/>
        <v>8300</v>
      </c>
      <c r="K1653" s="4" t="str">
        <f t="shared" si="76"/>
        <v>2024-07</v>
      </c>
      <c r="L1653" s="4" t="str">
        <f t="shared" si="77"/>
        <v>화</v>
      </c>
      <c r="M1653" s="2" t="str">
        <f>VLOOKUP($C1653, 고객정보!$A$2:$E$151, 2, FALSE)</f>
        <v>부산</v>
      </c>
      <c r="N1653" t="str">
        <f>VLOOKUP(C1653,고객정보!$A$2:$D$151,4,FALSE)</f>
        <v>L2</v>
      </c>
      <c r="O1653" t="str">
        <f>VLOOKUP($C1653, 고객정보!$A$2:$E$151, 5, FALSE)</f>
        <v>40대</v>
      </c>
      <c r="P1653" t="str">
        <f>VLOOKUP(D1653,상품정보!$A$2:$E$61,2,FALSE)</f>
        <v>핸드폰케이스</v>
      </c>
      <c r="Q1653" t="str">
        <f>VLOOKUP(D1653,상품정보!$A$2:$D$151,3,FALSE)</f>
        <v>액세서리</v>
      </c>
      <c r="R1653" t="str">
        <f>VLOOKUP(D1653,상품정보!$A$2:$D$151,4,FALSE)</f>
        <v>브랜드D</v>
      </c>
    </row>
    <row r="1654" spans="1:18" x14ac:dyDescent="0.45">
      <c r="A1654" t="s">
        <v>190</v>
      </c>
      <c r="B1654" t="s">
        <v>2053</v>
      </c>
      <c r="C1654" t="s">
        <v>2519</v>
      </c>
      <c r="D1654" t="s">
        <v>2609</v>
      </c>
      <c r="E1654">
        <v>2</v>
      </c>
      <c r="F1654">
        <v>58600</v>
      </c>
      <c r="G1654">
        <v>0</v>
      </c>
      <c r="H1654">
        <v>0</v>
      </c>
      <c r="I1654" t="s">
        <v>2652</v>
      </c>
      <c r="J1654" s="4">
        <f t="shared" si="75"/>
        <v>117200</v>
      </c>
      <c r="K1654" s="4" t="str">
        <f t="shared" si="76"/>
        <v>2025-01</v>
      </c>
      <c r="L1654" s="4" t="str">
        <f t="shared" si="77"/>
        <v>토</v>
      </c>
      <c r="M1654" s="2" t="str">
        <f>VLOOKUP($C1654, 고객정보!$A$2:$E$151, 2, FALSE)</f>
        <v>서울</v>
      </c>
      <c r="N1654" t="str">
        <f>VLOOKUP(C1654,고객정보!$A$2:$D$151,4,FALSE)</f>
        <v>L4</v>
      </c>
      <c r="O1654" t="str">
        <f>VLOOKUP($C1654, 고객정보!$A$2:$E$151, 5, FALSE)</f>
        <v>20대</v>
      </c>
      <c r="P1654" t="str">
        <f>VLOOKUP(D1654,상품정보!$A$2:$E$61,2,FALSE)</f>
        <v>목걸이</v>
      </c>
      <c r="Q1654" t="str">
        <f>VLOOKUP(D1654,상품정보!$A$2:$D$151,3,FALSE)</f>
        <v>액세서리</v>
      </c>
      <c r="R1654" t="str">
        <f>VLOOKUP(D1654,상품정보!$A$2:$D$151,4,FALSE)</f>
        <v>브랜드F</v>
      </c>
    </row>
    <row r="1655" spans="1:18" x14ac:dyDescent="0.45">
      <c r="A1655" t="s">
        <v>312</v>
      </c>
      <c r="B1655" t="s">
        <v>2054</v>
      </c>
      <c r="C1655" t="s">
        <v>2525</v>
      </c>
      <c r="D1655" t="s">
        <v>2608</v>
      </c>
      <c r="E1655">
        <v>5</v>
      </c>
      <c r="F1655">
        <v>10600</v>
      </c>
      <c r="G1655">
        <v>1000</v>
      </c>
      <c r="H1655">
        <v>0</v>
      </c>
      <c r="I1655" t="s">
        <v>2652</v>
      </c>
      <c r="J1655" s="4">
        <f t="shared" si="75"/>
        <v>54000</v>
      </c>
      <c r="K1655" s="4" t="str">
        <f t="shared" si="76"/>
        <v>2024-04</v>
      </c>
      <c r="L1655" s="4" t="str">
        <f t="shared" si="77"/>
        <v>목</v>
      </c>
      <c r="M1655" s="2" t="str">
        <f>VLOOKUP($C1655, 고객정보!$A$2:$E$151, 2, FALSE)</f>
        <v>수원</v>
      </c>
      <c r="N1655" t="str">
        <f>VLOOKUP(C1655,고객정보!$A$2:$D$151,4,FALSE)</f>
        <v>L4</v>
      </c>
      <c r="O1655" t="str">
        <f>VLOOKUP($C1655, 고객정보!$A$2:$E$151, 5, FALSE)</f>
        <v>20대</v>
      </c>
      <c r="P1655" t="str">
        <f>VLOOKUP(D1655,상품정보!$A$2:$E$61,2,FALSE)</f>
        <v>셔츠</v>
      </c>
      <c r="Q1655" t="str">
        <f>VLOOKUP(D1655,상품정보!$A$2:$D$151,3,FALSE)</f>
        <v>의류</v>
      </c>
      <c r="R1655" t="str">
        <f>VLOOKUP(D1655,상품정보!$A$2:$D$151,4,FALSE)</f>
        <v>브랜드D</v>
      </c>
    </row>
    <row r="1656" spans="1:18" x14ac:dyDescent="0.45">
      <c r="A1656" t="s">
        <v>339</v>
      </c>
      <c r="B1656" t="s">
        <v>2055</v>
      </c>
      <c r="C1656" t="s">
        <v>2452</v>
      </c>
      <c r="D1656" t="s">
        <v>2575</v>
      </c>
      <c r="E1656">
        <v>5</v>
      </c>
      <c r="F1656">
        <v>7200</v>
      </c>
      <c r="G1656">
        <v>0</v>
      </c>
      <c r="H1656">
        <v>0</v>
      </c>
      <c r="I1656" t="s">
        <v>2652</v>
      </c>
      <c r="J1656" s="4">
        <f t="shared" si="75"/>
        <v>36000</v>
      </c>
      <c r="K1656" s="4" t="str">
        <f t="shared" si="76"/>
        <v>2024-04</v>
      </c>
      <c r="L1656" s="4" t="str">
        <f t="shared" si="77"/>
        <v>수</v>
      </c>
      <c r="M1656" s="2" t="str">
        <f>VLOOKUP($C1656, 고객정보!$A$2:$E$151, 2, FALSE)</f>
        <v>서울</v>
      </c>
      <c r="N1656" t="str">
        <f>VLOOKUP(C1656,고객정보!$A$2:$D$151,4,FALSE)</f>
        <v>L3</v>
      </c>
      <c r="O1656" t="str">
        <f>VLOOKUP($C1656, 고객정보!$A$2:$E$151, 5, FALSE)</f>
        <v>30대</v>
      </c>
      <c r="P1656" t="str">
        <f>VLOOKUP(D1656,상품정보!$A$2:$E$61,2,FALSE)</f>
        <v>반지</v>
      </c>
      <c r="Q1656" t="str">
        <f>VLOOKUP(D1656,상품정보!$A$2:$D$151,3,FALSE)</f>
        <v>액세서리</v>
      </c>
      <c r="R1656" t="str">
        <f>VLOOKUP(D1656,상품정보!$A$2:$D$151,4,FALSE)</f>
        <v>브랜드E</v>
      </c>
    </row>
    <row r="1657" spans="1:18" x14ac:dyDescent="0.45">
      <c r="A1657" t="s">
        <v>354</v>
      </c>
      <c r="B1657" t="s">
        <v>2056</v>
      </c>
      <c r="C1657" t="s">
        <v>2406</v>
      </c>
      <c r="D1657" t="s">
        <v>2598</v>
      </c>
      <c r="E1657">
        <v>5</v>
      </c>
      <c r="F1657">
        <v>77300</v>
      </c>
      <c r="G1657">
        <v>500</v>
      </c>
      <c r="H1657">
        <v>4800</v>
      </c>
      <c r="I1657" t="s">
        <v>2613</v>
      </c>
      <c r="J1657" s="4">
        <f t="shared" si="75"/>
        <v>382200</v>
      </c>
      <c r="K1657" s="4" t="str">
        <f t="shared" si="76"/>
        <v>2024-05</v>
      </c>
      <c r="L1657" s="4" t="str">
        <f t="shared" si="77"/>
        <v>월</v>
      </c>
      <c r="M1657" s="2" t="str">
        <f>VLOOKUP($C1657, 고객정보!$A$2:$E$151, 2, FALSE)</f>
        <v>부산</v>
      </c>
      <c r="N1657" t="str">
        <f>VLOOKUP(C1657,고객정보!$A$2:$D$151,4,FALSE)</f>
        <v>L5</v>
      </c>
      <c r="O1657" t="str">
        <f>VLOOKUP($C1657, 고객정보!$A$2:$E$151, 5, FALSE)</f>
        <v>30대</v>
      </c>
      <c r="P1657" t="str">
        <f>VLOOKUP(D1657,상품정보!$A$2:$E$61,2,FALSE)</f>
        <v>청바지</v>
      </c>
      <c r="Q1657" t="str">
        <f>VLOOKUP(D1657,상품정보!$A$2:$D$151,3,FALSE)</f>
        <v>의류</v>
      </c>
      <c r="R1657" t="str">
        <f>VLOOKUP(D1657,상품정보!$A$2:$D$151,4,FALSE)</f>
        <v>브랜드F</v>
      </c>
    </row>
    <row r="1658" spans="1:18" x14ac:dyDescent="0.45">
      <c r="A1658" t="s">
        <v>98</v>
      </c>
      <c r="B1658" t="s">
        <v>2057</v>
      </c>
      <c r="C1658" t="s">
        <v>2422</v>
      </c>
      <c r="D1658" t="s">
        <v>2571</v>
      </c>
      <c r="E1658">
        <v>3</v>
      </c>
      <c r="F1658">
        <v>55600</v>
      </c>
      <c r="G1658">
        <v>0</v>
      </c>
      <c r="H1658">
        <v>0</v>
      </c>
      <c r="I1658" t="s">
        <v>2652</v>
      </c>
      <c r="J1658" s="4">
        <f t="shared" si="75"/>
        <v>166800</v>
      </c>
      <c r="K1658" s="4" t="str">
        <f t="shared" si="76"/>
        <v>2024-08</v>
      </c>
      <c r="L1658" s="4" t="str">
        <f t="shared" si="77"/>
        <v>목</v>
      </c>
      <c r="M1658" s="2" t="str">
        <f>VLOOKUP($C1658, 고객정보!$A$2:$E$151, 2, FALSE)</f>
        <v>광주</v>
      </c>
      <c r="N1658" t="str">
        <f>VLOOKUP(C1658,고객정보!$A$2:$D$151,4,FALSE)</f>
        <v>L5</v>
      </c>
      <c r="O1658" t="str">
        <f>VLOOKUP($C1658, 고객정보!$A$2:$E$151, 5, FALSE)</f>
        <v>30대</v>
      </c>
      <c r="P1658" t="str">
        <f>VLOOKUP(D1658,상품정보!$A$2:$E$61,2,FALSE)</f>
        <v>자켓</v>
      </c>
      <c r="Q1658" t="str">
        <f>VLOOKUP(D1658,상품정보!$A$2:$D$151,3,FALSE)</f>
        <v>의류</v>
      </c>
      <c r="R1658" t="str">
        <f>VLOOKUP(D1658,상품정보!$A$2:$D$151,4,FALSE)</f>
        <v>브랜드B</v>
      </c>
    </row>
    <row r="1659" spans="1:18" x14ac:dyDescent="0.45">
      <c r="A1659" t="s">
        <v>263</v>
      </c>
      <c r="B1659" t="s">
        <v>2058</v>
      </c>
      <c r="C1659" t="s">
        <v>2442</v>
      </c>
      <c r="D1659" t="s">
        <v>2579</v>
      </c>
      <c r="E1659">
        <v>5</v>
      </c>
      <c r="F1659">
        <v>51000</v>
      </c>
      <c r="G1659">
        <v>0</v>
      </c>
      <c r="H1659">
        <v>0</v>
      </c>
      <c r="I1659" t="s">
        <v>2652</v>
      </c>
      <c r="J1659" s="4">
        <f t="shared" si="75"/>
        <v>255000</v>
      </c>
      <c r="K1659" s="4" t="str">
        <f t="shared" si="76"/>
        <v>2024-02</v>
      </c>
      <c r="L1659" s="4" t="str">
        <f t="shared" si="77"/>
        <v>목</v>
      </c>
      <c r="M1659" s="2" t="str">
        <f>VLOOKUP($C1659, 고객정보!$A$2:$E$151, 2, FALSE)</f>
        <v>부산</v>
      </c>
      <c r="N1659" t="str">
        <f>VLOOKUP(C1659,고객정보!$A$2:$D$151,4,FALSE)</f>
        <v>L1</v>
      </c>
      <c r="O1659" t="str">
        <f>VLOOKUP($C1659, 고객정보!$A$2:$E$151, 5, FALSE)</f>
        <v>40대</v>
      </c>
      <c r="P1659" t="str">
        <f>VLOOKUP(D1659,상품정보!$A$2:$E$61,2,FALSE)</f>
        <v>핸드폰케이스</v>
      </c>
      <c r="Q1659" t="str">
        <f>VLOOKUP(D1659,상품정보!$A$2:$D$151,3,FALSE)</f>
        <v>액세서리</v>
      </c>
      <c r="R1659" t="str">
        <f>VLOOKUP(D1659,상품정보!$A$2:$D$151,4,FALSE)</f>
        <v>브랜드F</v>
      </c>
    </row>
    <row r="1660" spans="1:18" x14ac:dyDescent="0.45">
      <c r="A1660" t="s">
        <v>10</v>
      </c>
      <c r="B1660" t="s">
        <v>2059</v>
      </c>
      <c r="C1660" t="s">
        <v>2401</v>
      </c>
      <c r="D1660" t="s">
        <v>2567</v>
      </c>
      <c r="E1660">
        <v>4</v>
      </c>
      <c r="F1660">
        <v>58600</v>
      </c>
      <c r="G1660">
        <v>0</v>
      </c>
      <c r="H1660">
        <v>0</v>
      </c>
      <c r="I1660" t="s">
        <v>2652</v>
      </c>
      <c r="J1660" s="4">
        <f t="shared" si="75"/>
        <v>234400</v>
      </c>
      <c r="K1660" s="4" t="str">
        <f t="shared" si="76"/>
        <v>2024-08</v>
      </c>
      <c r="L1660" s="4" t="str">
        <f t="shared" si="77"/>
        <v>일</v>
      </c>
      <c r="M1660" s="2" t="str">
        <f>VLOOKUP($C1660, 고객정보!$A$2:$E$151, 2, FALSE)</f>
        <v>대구</v>
      </c>
      <c r="N1660" t="str">
        <f>VLOOKUP(C1660,고객정보!$A$2:$D$151,4,FALSE)</f>
        <v>L2</v>
      </c>
      <c r="O1660" t="str">
        <f>VLOOKUP($C1660, 고객정보!$A$2:$E$151, 5, FALSE)</f>
        <v>30대</v>
      </c>
      <c r="P1660" t="str">
        <f>VLOOKUP(D1660,상품정보!$A$2:$E$61,2,FALSE)</f>
        <v>귀걸이</v>
      </c>
      <c r="Q1660" t="str">
        <f>VLOOKUP(D1660,상품정보!$A$2:$D$151,3,FALSE)</f>
        <v>액세서리</v>
      </c>
      <c r="R1660" t="str">
        <f>VLOOKUP(D1660,상품정보!$A$2:$D$151,4,FALSE)</f>
        <v>브랜드B</v>
      </c>
    </row>
    <row r="1661" spans="1:18" x14ac:dyDescent="0.45">
      <c r="A1661" t="s">
        <v>246</v>
      </c>
      <c r="B1661" t="s">
        <v>2060</v>
      </c>
      <c r="C1661" t="s">
        <v>2419</v>
      </c>
      <c r="D1661" t="s">
        <v>2603</v>
      </c>
      <c r="E1661">
        <v>2</v>
      </c>
      <c r="F1661">
        <v>8200</v>
      </c>
      <c r="G1661">
        <v>500</v>
      </c>
      <c r="H1661">
        <v>0</v>
      </c>
      <c r="I1661" t="s">
        <v>2652</v>
      </c>
      <c r="J1661" s="4">
        <f t="shared" si="75"/>
        <v>16900</v>
      </c>
      <c r="K1661" s="4" t="str">
        <f t="shared" si="76"/>
        <v>2024-06</v>
      </c>
      <c r="L1661" s="4" t="str">
        <f t="shared" si="77"/>
        <v>목</v>
      </c>
      <c r="M1661" s="2" t="str">
        <f>VLOOKUP($C1661, 고객정보!$A$2:$E$151, 2, FALSE)</f>
        <v>대구</v>
      </c>
      <c r="N1661" t="str">
        <f>VLOOKUP(C1661,고객정보!$A$2:$D$151,4,FALSE)</f>
        <v>L2</v>
      </c>
      <c r="O1661" t="str">
        <f>VLOOKUP($C1661, 고객정보!$A$2:$E$151, 5, FALSE)</f>
        <v>20대</v>
      </c>
      <c r="P1661" t="str">
        <f>VLOOKUP(D1661,상품정보!$A$2:$E$61,2,FALSE)</f>
        <v>목걸이</v>
      </c>
      <c r="Q1661" t="str">
        <f>VLOOKUP(D1661,상품정보!$A$2:$D$151,3,FALSE)</f>
        <v>액세서리</v>
      </c>
      <c r="R1661" t="str">
        <f>VLOOKUP(D1661,상품정보!$A$2:$D$151,4,FALSE)</f>
        <v>브랜드E</v>
      </c>
    </row>
    <row r="1662" spans="1:18" x14ac:dyDescent="0.45">
      <c r="A1662" t="s">
        <v>93</v>
      </c>
      <c r="B1662" t="s">
        <v>2061</v>
      </c>
      <c r="C1662" t="s">
        <v>2412</v>
      </c>
      <c r="D1662" t="s">
        <v>2560</v>
      </c>
      <c r="E1662">
        <v>1</v>
      </c>
      <c r="F1662">
        <v>60600</v>
      </c>
      <c r="G1662">
        <v>0</v>
      </c>
      <c r="H1662">
        <v>0</v>
      </c>
      <c r="I1662" t="s">
        <v>2652</v>
      </c>
      <c r="J1662" s="4">
        <f t="shared" si="75"/>
        <v>60600</v>
      </c>
      <c r="K1662" s="4" t="str">
        <f t="shared" si="76"/>
        <v>2025-01</v>
      </c>
      <c r="L1662" s="4" t="str">
        <f t="shared" si="77"/>
        <v>수</v>
      </c>
      <c r="M1662" s="2" t="str">
        <f>VLOOKUP($C1662, 고객정보!$A$2:$E$151, 2, FALSE)</f>
        <v>대전</v>
      </c>
      <c r="N1662" t="str">
        <f>VLOOKUP(C1662,고객정보!$A$2:$D$151,4,FALSE)</f>
        <v>L4</v>
      </c>
      <c r="O1662" t="str">
        <f>VLOOKUP($C1662, 고객정보!$A$2:$E$151, 5, FALSE)</f>
        <v>30대</v>
      </c>
      <c r="P1662" t="str">
        <f>VLOOKUP(D1662,상품정보!$A$2:$E$61,2,FALSE)</f>
        <v>반팔 티셔츠</v>
      </c>
      <c r="Q1662" t="str">
        <f>VLOOKUP(D1662,상품정보!$A$2:$D$151,3,FALSE)</f>
        <v>의류</v>
      </c>
      <c r="R1662" t="str">
        <f>VLOOKUP(D1662,상품정보!$A$2:$D$151,4,FALSE)</f>
        <v>브랜드F</v>
      </c>
    </row>
    <row r="1663" spans="1:18" x14ac:dyDescent="0.45">
      <c r="A1663" t="s">
        <v>115</v>
      </c>
      <c r="B1663" t="s">
        <v>2062</v>
      </c>
      <c r="C1663" t="s">
        <v>2479</v>
      </c>
      <c r="D1663" t="s">
        <v>2566</v>
      </c>
      <c r="E1663">
        <v>3</v>
      </c>
      <c r="F1663">
        <v>60600</v>
      </c>
      <c r="G1663">
        <v>0</v>
      </c>
      <c r="H1663">
        <v>0</v>
      </c>
      <c r="I1663" t="s">
        <v>2652</v>
      </c>
      <c r="J1663" s="4">
        <f t="shared" si="75"/>
        <v>181800</v>
      </c>
      <c r="K1663" s="4" t="str">
        <f t="shared" si="76"/>
        <v>2024-11</v>
      </c>
      <c r="L1663" s="4" t="str">
        <f t="shared" si="77"/>
        <v>월</v>
      </c>
      <c r="M1663" s="2" t="str">
        <f>VLOOKUP($C1663, 고객정보!$A$2:$E$151, 2, FALSE)</f>
        <v>부산</v>
      </c>
      <c r="N1663" t="str">
        <f>VLOOKUP(C1663,고객정보!$A$2:$D$151,4,FALSE)</f>
        <v>L2</v>
      </c>
      <c r="O1663" t="str">
        <f>VLOOKUP($C1663, 고객정보!$A$2:$E$151, 5, FALSE)</f>
        <v>10대</v>
      </c>
      <c r="P1663" t="str">
        <f>VLOOKUP(D1663,상품정보!$A$2:$E$61,2,FALSE)</f>
        <v>반팔 티셔츠</v>
      </c>
      <c r="Q1663" t="str">
        <f>VLOOKUP(D1663,상품정보!$A$2:$D$151,3,FALSE)</f>
        <v>의류</v>
      </c>
      <c r="R1663" t="str">
        <f>VLOOKUP(D1663,상품정보!$A$2:$D$151,4,FALSE)</f>
        <v>브랜드A</v>
      </c>
    </row>
    <row r="1664" spans="1:18" x14ac:dyDescent="0.45">
      <c r="A1664" t="s">
        <v>281</v>
      </c>
      <c r="B1664" t="s">
        <v>2063</v>
      </c>
      <c r="C1664" t="s">
        <v>2459</v>
      </c>
      <c r="D1664" t="s">
        <v>2598</v>
      </c>
      <c r="E1664">
        <v>2</v>
      </c>
      <c r="F1664">
        <v>77300</v>
      </c>
      <c r="G1664">
        <v>500</v>
      </c>
      <c r="H1664">
        <v>12600</v>
      </c>
      <c r="I1664" t="s">
        <v>2612</v>
      </c>
      <c r="J1664" s="4">
        <f t="shared" si="75"/>
        <v>142500</v>
      </c>
      <c r="K1664" s="4" t="str">
        <f t="shared" si="76"/>
        <v>2024-08</v>
      </c>
      <c r="L1664" s="4" t="str">
        <f t="shared" si="77"/>
        <v>화</v>
      </c>
      <c r="M1664" s="2" t="str">
        <f>VLOOKUP($C1664, 고객정보!$A$2:$E$151, 2, FALSE)</f>
        <v>광주</v>
      </c>
      <c r="N1664" t="str">
        <f>VLOOKUP(C1664,고객정보!$A$2:$D$151,4,FALSE)</f>
        <v>L4</v>
      </c>
      <c r="O1664" t="str">
        <f>VLOOKUP($C1664, 고객정보!$A$2:$E$151, 5, FALSE)</f>
        <v>50대 이상</v>
      </c>
      <c r="P1664" t="str">
        <f>VLOOKUP(D1664,상품정보!$A$2:$E$61,2,FALSE)</f>
        <v>청바지</v>
      </c>
      <c r="Q1664" t="str">
        <f>VLOOKUP(D1664,상품정보!$A$2:$D$151,3,FALSE)</f>
        <v>의류</v>
      </c>
      <c r="R1664" t="str">
        <f>VLOOKUP(D1664,상품정보!$A$2:$D$151,4,FALSE)</f>
        <v>브랜드F</v>
      </c>
    </row>
    <row r="1665" spans="1:18" x14ac:dyDescent="0.45">
      <c r="A1665" t="s">
        <v>348</v>
      </c>
      <c r="B1665" t="s">
        <v>2064</v>
      </c>
      <c r="C1665" t="s">
        <v>2473</v>
      </c>
      <c r="D1665" t="s">
        <v>2568</v>
      </c>
      <c r="E1665">
        <v>2</v>
      </c>
      <c r="F1665">
        <v>16800</v>
      </c>
      <c r="G1665">
        <v>500</v>
      </c>
      <c r="H1665">
        <v>0</v>
      </c>
      <c r="I1665" t="s">
        <v>2652</v>
      </c>
      <c r="J1665" s="4">
        <f t="shared" si="75"/>
        <v>34100</v>
      </c>
      <c r="K1665" s="4" t="str">
        <f t="shared" si="76"/>
        <v>2024-04</v>
      </c>
      <c r="L1665" s="4" t="str">
        <f t="shared" si="77"/>
        <v>금</v>
      </c>
      <c r="M1665" s="2" t="str">
        <f>VLOOKUP($C1665, 고객정보!$A$2:$E$151, 2, FALSE)</f>
        <v>수원</v>
      </c>
      <c r="N1665" t="str">
        <f>VLOOKUP(C1665,고객정보!$A$2:$D$151,4,FALSE)</f>
        <v>L3</v>
      </c>
      <c r="O1665" t="str">
        <f>VLOOKUP($C1665, 고객정보!$A$2:$E$151, 5, FALSE)</f>
        <v>50대 이상</v>
      </c>
      <c r="P1665" t="str">
        <f>VLOOKUP(D1665,상품정보!$A$2:$E$61,2,FALSE)</f>
        <v>청바지</v>
      </c>
      <c r="Q1665" t="str">
        <f>VLOOKUP(D1665,상품정보!$A$2:$D$151,3,FALSE)</f>
        <v>의류</v>
      </c>
      <c r="R1665" t="str">
        <f>VLOOKUP(D1665,상품정보!$A$2:$D$151,4,FALSE)</f>
        <v>브랜드C</v>
      </c>
    </row>
    <row r="1666" spans="1:18" x14ac:dyDescent="0.45">
      <c r="A1666" t="s">
        <v>50</v>
      </c>
      <c r="B1666" t="s">
        <v>2065</v>
      </c>
      <c r="C1666" t="s">
        <v>2440</v>
      </c>
      <c r="D1666" t="s">
        <v>2573</v>
      </c>
      <c r="E1666">
        <v>1</v>
      </c>
      <c r="F1666">
        <v>6400</v>
      </c>
      <c r="G1666">
        <v>1000</v>
      </c>
      <c r="H1666">
        <v>600</v>
      </c>
      <c r="I1666" t="s">
        <v>2612</v>
      </c>
      <c r="J1666" s="4">
        <f t="shared" si="75"/>
        <v>6800</v>
      </c>
      <c r="K1666" s="4" t="str">
        <f t="shared" si="76"/>
        <v>2024-02</v>
      </c>
      <c r="L1666" s="4" t="str">
        <f t="shared" si="77"/>
        <v>화</v>
      </c>
      <c r="M1666" s="2" t="str">
        <f>VLOOKUP($C1666, 고객정보!$A$2:$E$151, 2, FALSE)</f>
        <v>대구</v>
      </c>
      <c r="N1666" t="str">
        <f>VLOOKUP(C1666,고객정보!$A$2:$D$151,4,FALSE)</f>
        <v>L2</v>
      </c>
      <c r="O1666" t="str">
        <f>VLOOKUP($C1666, 고객정보!$A$2:$E$151, 5, FALSE)</f>
        <v>10대</v>
      </c>
      <c r="P1666" t="str">
        <f>VLOOKUP(D1666,상품정보!$A$2:$E$61,2,FALSE)</f>
        <v>귀걸이</v>
      </c>
      <c r="Q1666" t="str">
        <f>VLOOKUP(D1666,상품정보!$A$2:$D$151,3,FALSE)</f>
        <v>액세서리</v>
      </c>
      <c r="R1666" t="str">
        <f>VLOOKUP(D1666,상품정보!$A$2:$D$151,4,FALSE)</f>
        <v>브랜드E</v>
      </c>
    </row>
    <row r="1667" spans="1:18" x14ac:dyDescent="0.45">
      <c r="A1667" t="s">
        <v>123</v>
      </c>
      <c r="B1667" t="s">
        <v>2066</v>
      </c>
      <c r="C1667" t="s">
        <v>2455</v>
      </c>
      <c r="D1667" t="s">
        <v>2585</v>
      </c>
      <c r="E1667">
        <v>5</v>
      </c>
      <c r="F1667">
        <v>14900</v>
      </c>
      <c r="G1667">
        <v>0</v>
      </c>
      <c r="H1667">
        <v>27800</v>
      </c>
      <c r="I1667" t="s">
        <v>2614</v>
      </c>
      <c r="J1667" s="4">
        <f t="shared" ref="J1667:J1730" si="78">E1667*F1667+G1667-H1667</f>
        <v>46700</v>
      </c>
      <c r="K1667" s="4" t="str">
        <f t="shared" ref="K1667:K1730" si="79">LEFT(A1667,7)</f>
        <v>2024-03</v>
      </c>
      <c r="L1667" s="4" t="str">
        <f t="shared" ref="L1667:L1730" si="80">TEXT(WEEKDAY(A1667),"aaa")</f>
        <v>토</v>
      </c>
      <c r="M1667" s="2" t="str">
        <f>VLOOKUP($C1667, 고객정보!$A$2:$E$151, 2, FALSE)</f>
        <v>서울</v>
      </c>
      <c r="N1667" t="str">
        <f>VLOOKUP(C1667,고객정보!$A$2:$D$151,4,FALSE)</f>
        <v>L5</v>
      </c>
      <c r="O1667" t="str">
        <f>VLOOKUP($C1667, 고객정보!$A$2:$E$151, 5, FALSE)</f>
        <v>20대</v>
      </c>
      <c r="P1667" t="str">
        <f>VLOOKUP(D1667,상품정보!$A$2:$E$61,2,FALSE)</f>
        <v>반팔 티셔츠</v>
      </c>
      <c r="Q1667" t="str">
        <f>VLOOKUP(D1667,상품정보!$A$2:$D$151,3,FALSE)</f>
        <v>의류</v>
      </c>
      <c r="R1667" t="str">
        <f>VLOOKUP(D1667,상품정보!$A$2:$D$151,4,FALSE)</f>
        <v>브랜드C</v>
      </c>
    </row>
    <row r="1668" spans="1:18" x14ac:dyDescent="0.45">
      <c r="A1668" t="s">
        <v>224</v>
      </c>
      <c r="B1668" t="s">
        <v>2067</v>
      </c>
      <c r="C1668" t="s">
        <v>2547</v>
      </c>
      <c r="D1668" t="s">
        <v>2594</v>
      </c>
      <c r="E1668">
        <v>3</v>
      </c>
      <c r="F1668">
        <v>73000</v>
      </c>
      <c r="G1668">
        <v>500</v>
      </c>
      <c r="H1668">
        <v>0</v>
      </c>
      <c r="I1668" t="s">
        <v>2652</v>
      </c>
      <c r="J1668" s="4">
        <f t="shared" si="78"/>
        <v>219500</v>
      </c>
      <c r="K1668" s="4" t="str">
        <f t="shared" si="79"/>
        <v>2024-12</v>
      </c>
      <c r="L1668" s="4" t="str">
        <f t="shared" si="80"/>
        <v>토</v>
      </c>
      <c r="M1668" s="2" t="str">
        <f>VLOOKUP($C1668, 고객정보!$A$2:$E$151, 2, FALSE)</f>
        <v>광주</v>
      </c>
      <c r="N1668" t="str">
        <f>VLOOKUP(C1668,고객정보!$A$2:$D$151,4,FALSE)</f>
        <v>L2</v>
      </c>
      <c r="O1668" t="str">
        <f>VLOOKUP($C1668, 고객정보!$A$2:$E$151, 5, FALSE)</f>
        <v>20대</v>
      </c>
      <c r="P1668" t="str">
        <f>VLOOKUP(D1668,상품정보!$A$2:$E$61,2,FALSE)</f>
        <v>자켓</v>
      </c>
      <c r="Q1668" t="str">
        <f>VLOOKUP(D1668,상품정보!$A$2:$D$151,3,FALSE)</f>
        <v>의류</v>
      </c>
      <c r="R1668" t="str">
        <f>VLOOKUP(D1668,상품정보!$A$2:$D$151,4,FALSE)</f>
        <v>브랜드A</v>
      </c>
    </row>
    <row r="1669" spans="1:18" x14ac:dyDescent="0.45">
      <c r="A1669" t="s">
        <v>211</v>
      </c>
      <c r="B1669" t="s">
        <v>2068</v>
      </c>
      <c r="C1669" t="s">
        <v>2401</v>
      </c>
      <c r="D1669" t="s">
        <v>2600</v>
      </c>
      <c r="E1669">
        <v>4</v>
      </c>
      <c r="F1669">
        <v>10900</v>
      </c>
      <c r="G1669">
        <v>0</v>
      </c>
      <c r="H1669">
        <v>29300</v>
      </c>
      <c r="I1669" t="s">
        <v>2613</v>
      </c>
      <c r="J1669" s="4">
        <f t="shared" si="78"/>
        <v>14300</v>
      </c>
      <c r="K1669" s="4" t="str">
        <f t="shared" si="79"/>
        <v>2024-08</v>
      </c>
      <c r="L1669" s="4" t="str">
        <f t="shared" si="80"/>
        <v>목</v>
      </c>
      <c r="M1669" s="2" t="str">
        <f>VLOOKUP($C1669, 고객정보!$A$2:$E$151, 2, FALSE)</f>
        <v>대구</v>
      </c>
      <c r="N1669" t="str">
        <f>VLOOKUP(C1669,고객정보!$A$2:$D$151,4,FALSE)</f>
        <v>L2</v>
      </c>
      <c r="O1669" t="str">
        <f>VLOOKUP($C1669, 고객정보!$A$2:$E$151, 5, FALSE)</f>
        <v>30대</v>
      </c>
      <c r="P1669" t="str">
        <f>VLOOKUP(D1669,상품정보!$A$2:$E$61,2,FALSE)</f>
        <v>셔츠</v>
      </c>
      <c r="Q1669" t="str">
        <f>VLOOKUP(D1669,상품정보!$A$2:$D$151,3,FALSE)</f>
        <v>의류</v>
      </c>
      <c r="R1669" t="str">
        <f>VLOOKUP(D1669,상품정보!$A$2:$D$151,4,FALSE)</f>
        <v>브랜드E</v>
      </c>
    </row>
    <row r="1670" spans="1:18" x14ac:dyDescent="0.45">
      <c r="A1670" t="s">
        <v>279</v>
      </c>
      <c r="B1670" t="s">
        <v>2069</v>
      </c>
      <c r="C1670" t="s">
        <v>2520</v>
      </c>
      <c r="D1670" t="s">
        <v>2558</v>
      </c>
      <c r="E1670">
        <v>2</v>
      </c>
      <c r="F1670">
        <v>63700</v>
      </c>
      <c r="G1670">
        <v>0</v>
      </c>
      <c r="H1670">
        <v>0</v>
      </c>
      <c r="I1670" t="s">
        <v>2652</v>
      </c>
      <c r="J1670" s="4">
        <f t="shared" si="78"/>
        <v>127400</v>
      </c>
      <c r="K1670" s="4" t="str">
        <f t="shared" si="79"/>
        <v>2025-01</v>
      </c>
      <c r="L1670" s="4" t="str">
        <f t="shared" si="80"/>
        <v>월</v>
      </c>
      <c r="M1670" s="2" t="str">
        <f>VLOOKUP($C1670, 고객정보!$A$2:$E$151, 2, FALSE)</f>
        <v>서울</v>
      </c>
      <c r="N1670" t="str">
        <f>VLOOKUP(C1670,고객정보!$A$2:$D$151,4,FALSE)</f>
        <v>L2</v>
      </c>
      <c r="O1670" t="str">
        <f>VLOOKUP($C1670, 고객정보!$A$2:$E$151, 5, FALSE)</f>
        <v>40대</v>
      </c>
      <c r="P1670" t="str">
        <f>VLOOKUP(D1670,상품정보!$A$2:$E$61,2,FALSE)</f>
        <v>셔츠</v>
      </c>
      <c r="Q1670" t="str">
        <f>VLOOKUP(D1670,상품정보!$A$2:$D$151,3,FALSE)</f>
        <v>의류</v>
      </c>
      <c r="R1670" t="str">
        <f>VLOOKUP(D1670,상품정보!$A$2:$D$151,4,FALSE)</f>
        <v>브랜드A</v>
      </c>
    </row>
    <row r="1671" spans="1:18" x14ac:dyDescent="0.45">
      <c r="A1671" t="s">
        <v>389</v>
      </c>
      <c r="B1671" t="s">
        <v>2070</v>
      </c>
      <c r="C1671" t="s">
        <v>2436</v>
      </c>
      <c r="D1671" t="s">
        <v>2572</v>
      </c>
      <c r="E1671">
        <v>2</v>
      </c>
      <c r="F1671">
        <v>61700</v>
      </c>
      <c r="G1671">
        <v>1500</v>
      </c>
      <c r="H1671">
        <v>2700</v>
      </c>
      <c r="I1671" t="s">
        <v>2612</v>
      </c>
      <c r="J1671" s="4">
        <f t="shared" si="78"/>
        <v>122200</v>
      </c>
      <c r="K1671" s="4" t="str">
        <f t="shared" si="79"/>
        <v>2024-10</v>
      </c>
      <c r="L1671" s="4" t="str">
        <f t="shared" si="80"/>
        <v>일</v>
      </c>
      <c r="M1671" s="2" t="str">
        <f>VLOOKUP($C1671, 고객정보!$A$2:$E$151, 2, FALSE)</f>
        <v>인천</v>
      </c>
      <c r="N1671" t="str">
        <f>VLOOKUP(C1671,고객정보!$A$2:$D$151,4,FALSE)</f>
        <v>L4</v>
      </c>
      <c r="O1671" t="str">
        <f>VLOOKUP($C1671, 고객정보!$A$2:$E$151, 5, FALSE)</f>
        <v>10대</v>
      </c>
      <c r="P1671" t="str">
        <f>VLOOKUP(D1671,상품정보!$A$2:$E$61,2,FALSE)</f>
        <v>반팔 티셔츠</v>
      </c>
      <c r="Q1671" t="str">
        <f>VLOOKUP(D1671,상품정보!$A$2:$D$151,3,FALSE)</f>
        <v>의류</v>
      </c>
      <c r="R1671" t="str">
        <f>VLOOKUP(D1671,상품정보!$A$2:$D$151,4,FALSE)</f>
        <v>브랜드F</v>
      </c>
    </row>
    <row r="1672" spans="1:18" x14ac:dyDescent="0.45">
      <c r="A1672" t="s">
        <v>116</v>
      </c>
      <c r="B1672" t="s">
        <v>2071</v>
      </c>
      <c r="C1672" t="s">
        <v>2468</v>
      </c>
      <c r="D1672" t="s">
        <v>2557</v>
      </c>
      <c r="E1672">
        <v>3</v>
      </c>
      <c r="F1672">
        <v>77700</v>
      </c>
      <c r="G1672">
        <v>500</v>
      </c>
      <c r="H1672">
        <v>0</v>
      </c>
      <c r="I1672" t="s">
        <v>2652</v>
      </c>
      <c r="J1672" s="4">
        <f t="shared" si="78"/>
        <v>233600</v>
      </c>
      <c r="K1672" s="4" t="str">
        <f t="shared" si="79"/>
        <v>2024-10</v>
      </c>
      <c r="L1672" s="4" t="str">
        <f t="shared" si="80"/>
        <v>월</v>
      </c>
      <c r="M1672" s="2" t="str">
        <f>VLOOKUP($C1672, 고객정보!$A$2:$E$151, 2, FALSE)</f>
        <v>부산</v>
      </c>
      <c r="N1672" t="str">
        <f>VLOOKUP(C1672,고객정보!$A$2:$D$151,4,FALSE)</f>
        <v>L5</v>
      </c>
      <c r="O1672" t="str">
        <f>VLOOKUP($C1672, 고객정보!$A$2:$E$151, 5, FALSE)</f>
        <v>20대</v>
      </c>
      <c r="P1672" t="str">
        <f>VLOOKUP(D1672,상품정보!$A$2:$E$61,2,FALSE)</f>
        <v>귀걸이</v>
      </c>
      <c r="Q1672" t="str">
        <f>VLOOKUP(D1672,상품정보!$A$2:$D$151,3,FALSE)</f>
        <v>액세서리</v>
      </c>
      <c r="R1672" t="str">
        <f>VLOOKUP(D1672,상품정보!$A$2:$D$151,4,FALSE)</f>
        <v>브랜드B</v>
      </c>
    </row>
    <row r="1673" spans="1:18" x14ac:dyDescent="0.45">
      <c r="A1673" t="s">
        <v>224</v>
      </c>
      <c r="B1673" t="s">
        <v>2072</v>
      </c>
      <c r="C1673" t="s">
        <v>2545</v>
      </c>
      <c r="D1673" t="s">
        <v>2598</v>
      </c>
      <c r="E1673">
        <v>2</v>
      </c>
      <c r="F1673">
        <v>77300</v>
      </c>
      <c r="G1673">
        <v>500</v>
      </c>
      <c r="H1673">
        <v>2000</v>
      </c>
      <c r="I1673" t="s">
        <v>2612</v>
      </c>
      <c r="J1673" s="4">
        <f t="shared" si="78"/>
        <v>153100</v>
      </c>
      <c r="K1673" s="4" t="str">
        <f t="shared" si="79"/>
        <v>2024-12</v>
      </c>
      <c r="L1673" s="4" t="str">
        <f t="shared" si="80"/>
        <v>토</v>
      </c>
      <c r="M1673" s="2" t="str">
        <f>VLOOKUP($C1673, 고객정보!$A$2:$E$151, 2, FALSE)</f>
        <v>서울</v>
      </c>
      <c r="N1673" t="str">
        <f>VLOOKUP(C1673,고객정보!$A$2:$D$151,4,FALSE)</f>
        <v>L4</v>
      </c>
      <c r="O1673" t="str">
        <f>VLOOKUP($C1673, 고객정보!$A$2:$E$151, 5, FALSE)</f>
        <v>30대</v>
      </c>
      <c r="P1673" t="str">
        <f>VLOOKUP(D1673,상품정보!$A$2:$E$61,2,FALSE)</f>
        <v>청바지</v>
      </c>
      <c r="Q1673" t="str">
        <f>VLOOKUP(D1673,상품정보!$A$2:$D$151,3,FALSE)</f>
        <v>의류</v>
      </c>
      <c r="R1673" t="str">
        <f>VLOOKUP(D1673,상품정보!$A$2:$D$151,4,FALSE)</f>
        <v>브랜드F</v>
      </c>
    </row>
    <row r="1674" spans="1:18" x14ac:dyDescent="0.45">
      <c r="A1674" t="s">
        <v>112</v>
      </c>
      <c r="B1674" t="s">
        <v>2073</v>
      </c>
      <c r="C1674" t="s">
        <v>2539</v>
      </c>
      <c r="D1674" t="s">
        <v>2559</v>
      </c>
      <c r="E1674">
        <v>5</v>
      </c>
      <c r="F1674">
        <v>5400</v>
      </c>
      <c r="G1674">
        <v>0</v>
      </c>
      <c r="H1674">
        <v>2100</v>
      </c>
      <c r="I1674" t="s">
        <v>2611</v>
      </c>
      <c r="J1674" s="4">
        <f t="shared" si="78"/>
        <v>24900</v>
      </c>
      <c r="K1674" s="4" t="str">
        <f t="shared" si="79"/>
        <v>2024-12</v>
      </c>
      <c r="L1674" s="4" t="str">
        <f t="shared" si="80"/>
        <v>목</v>
      </c>
      <c r="M1674" s="2" t="str">
        <f>VLOOKUP($C1674, 고객정보!$A$2:$E$151, 2, FALSE)</f>
        <v>서울</v>
      </c>
      <c r="N1674" t="str">
        <f>VLOOKUP(C1674,고객정보!$A$2:$D$151,4,FALSE)</f>
        <v>L1</v>
      </c>
      <c r="O1674" t="str">
        <f>VLOOKUP($C1674, 고객정보!$A$2:$E$151, 5, FALSE)</f>
        <v>50대 이상</v>
      </c>
      <c r="P1674" t="str">
        <f>VLOOKUP(D1674,상품정보!$A$2:$E$61,2,FALSE)</f>
        <v>반지</v>
      </c>
      <c r="Q1674" t="str">
        <f>VLOOKUP(D1674,상품정보!$A$2:$D$151,3,FALSE)</f>
        <v>액세서리</v>
      </c>
      <c r="R1674" t="str">
        <f>VLOOKUP(D1674,상품정보!$A$2:$D$151,4,FALSE)</f>
        <v>브랜드D</v>
      </c>
    </row>
    <row r="1675" spans="1:18" x14ac:dyDescent="0.45">
      <c r="A1675" t="s">
        <v>398</v>
      </c>
      <c r="B1675" t="s">
        <v>2074</v>
      </c>
      <c r="C1675" t="s">
        <v>2513</v>
      </c>
      <c r="D1675" t="s">
        <v>2564</v>
      </c>
      <c r="E1675">
        <v>3</v>
      </c>
      <c r="F1675">
        <v>66600</v>
      </c>
      <c r="G1675">
        <v>1000</v>
      </c>
      <c r="H1675">
        <v>1700</v>
      </c>
      <c r="I1675" t="s">
        <v>2614</v>
      </c>
      <c r="J1675" s="4">
        <f t="shared" si="78"/>
        <v>199100</v>
      </c>
      <c r="K1675" s="4" t="str">
        <f t="shared" si="79"/>
        <v>2024-03</v>
      </c>
      <c r="L1675" s="4" t="str">
        <f t="shared" si="80"/>
        <v>목</v>
      </c>
      <c r="M1675" s="2" t="str">
        <f>VLOOKUP($C1675, 고객정보!$A$2:$E$151, 2, FALSE)</f>
        <v>수원</v>
      </c>
      <c r="N1675" t="str">
        <f>VLOOKUP(C1675,고객정보!$A$2:$D$151,4,FALSE)</f>
        <v>L5</v>
      </c>
      <c r="O1675" t="str">
        <f>VLOOKUP($C1675, 고객정보!$A$2:$E$151, 5, FALSE)</f>
        <v>20대</v>
      </c>
      <c r="P1675" t="str">
        <f>VLOOKUP(D1675,상품정보!$A$2:$E$61,2,FALSE)</f>
        <v>청바지</v>
      </c>
      <c r="Q1675" t="str">
        <f>VLOOKUP(D1675,상품정보!$A$2:$D$151,3,FALSE)</f>
        <v>의류</v>
      </c>
      <c r="R1675" t="str">
        <f>VLOOKUP(D1675,상품정보!$A$2:$D$151,4,FALSE)</f>
        <v>브랜드B</v>
      </c>
    </row>
    <row r="1676" spans="1:18" x14ac:dyDescent="0.45">
      <c r="A1676" t="s">
        <v>76</v>
      </c>
      <c r="B1676" t="s">
        <v>2075</v>
      </c>
      <c r="C1676" t="s">
        <v>2497</v>
      </c>
      <c r="D1676" t="s">
        <v>2595</v>
      </c>
      <c r="E1676">
        <v>2</v>
      </c>
      <c r="F1676">
        <v>12700</v>
      </c>
      <c r="G1676">
        <v>0</v>
      </c>
      <c r="H1676">
        <v>3500</v>
      </c>
      <c r="I1676" t="s">
        <v>2611</v>
      </c>
      <c r="J1676" s="4">
        <f t="shared" si="78"/>
        <v>21900</v>
      </c>
      <c r="K1676" s="4" t="str">
        <f t="shared" si="79"/>
        <v>2024-12</v>
      </c>
      <c r="L1676" s="4" t="str">
        <f t="shared" si="80"/>
        <v>일</v>
      </c>
      <c r="M1676" s="2" t="str">
        <f>VLOOKUP($C1676, 고객정보!$A$2:$E$151, 2, FALSE)</f>
        <v>서울</v>
      </c>
      <c r="N1676" t="str">
        <f>VLOOKUP(C1676,고객정보!$A$2:$D$151,4,FALSE)</f>
        <v>L3</v>
      </c>
      <c r="O1676" t="str">
        <f>VLOOKUP($C1676, 고객정보!$A$2:$E$151, 5, FALSE)</f>
        <v>10대</v>
      </c>
      <c r="P1676" t="str">
        <f>VLOOKUP(D1676,상품정보!$A$2:$E$61,2,FALSE)</f>
        <v>반지</v>
      </c>
      <c r="Q1676" t="str">
        <f>VLOOKUP(D1676,상품정보!$A$2:$D$151,3,FALSE)</f>
        <v>액세서리</v>
      </c>
      <c r="R1676" t="str">
        <f>VLOOKUP(D1676,상품정보!$A$2:$D$151,4,FALSE)</f>
        <v>브랜드C</v>
      </c>
    </row>
    <row r="1677" spans="1:18" x14ac:dyDescent="0.45">
      <c r="A1677" t="s">
        <v>127</v>
      </c>
      <c r="B1677" t="s">
        <v>2076</v>
      </c>
      <c r="C1677" t="s">
        <v>2423</v>
      </c>
      <c r="D1677" t="s">
        <v>2596</v>
      </c>
      <c r="E1677">
        <v>4</v>
      </c>
      <c r="F1677">
        <v>59700</v>
      </c>
      <c r="G1677">
        <v>1000</v>
      </c>
      <c r="H1677">
        <v>0</v>
      </c>
      <c r="I1677" t="s">
        <v>2652</v>
      </c>
      <c r="J1677" s="4">
        <f t="shared" si="78"/>
        <v>239800</v>
      </c>
      <c r="K1677" s="4" t="str">
        <f t="shared" si="79"/>
        <v>2024-12</v>
      </c>
      <c r="L1677" s="4" t="str">
        <f t="shared" si="80"/>
        <v>일</v>
      </c>
      <c r="M1677" s="2" t="str">
        <f>VLOOKUP($C1677, 고객정보!$A$2:$E$151, 2, FALSE)</f>
        <v>수원</v>
      </c>
      <c r="N1677" t="str">
        <f>VLOOKUP(C1677,고객정보!$A$2:$D$151,4,FALSE)</f>
        <v>L5</v>
      </c>
      <c r="O1677" t="str">
        <f>VLOOKUP($C1677, 고객정보!$A$2:$E$151, 5, FALSE)</f>
        <v>30대</v>
      </c>
      <c r="P1677" t="str">
        <f>VLOOKUP(D1677,상품정보!$A$2:$E$61,2,FALSE)</f>
        <v>청바지</v>
      </c>
      <c r="Q1677" t="str">
        <f>VLOOKUP(D1677,상품정보!$A$2:$D$151,3,FALSE)</f>
        <v>의류</v>
      </c>
      <c r="R1677" t="str">
        <f>VLOOKUP(D1677,상품정보!$A$2:$D$151,4,FALSE)</f>
        <v>브랜드A</v>
      </c>
    </row>
    <row r="1678" spans="1:18" x14ac:dyDescent="0.45">
      <c r="A1678" t="s">
        <v>159</v>
      </c>
      <c r="B1678" t="s">
        <v>2077</v>
      </c>
      <c r="C1678" t="s">
        <v>2435</v>
      </c>
      <c r="D1678" t="s">
        <v>2571</v>
      </c>
      <c r="E1678">
        <v>4</v>
      </c>
      <c r="F1678">
        <v>55600</v>
      </c>
      <c r="G1678">
        <v>1000</v>
      </c>
      <c r="H1678">
        <v>0</v>
      </c>
      <c r="I1678" t="s">
        <v>2652</v>
      </c>
      <c r="J1678" s="4">
        <f t="shared" si="78"/>
        <v>223400</v>
      </c>
      <c r="K1678" s="4" t="str">
        <f t="shared" si="79"/>
        <v>2024-12</v>
      </c>
      <c r="L1678" s="4" t="str">
        <f t="shared" si="80"/>
        <v>수</v>
      </c>
      <c r="M1678" s="2" t="str">
        <f>VLOOKUP($C1678, 고객정보!$A$2:$E$151, 2, FALSE)</f>
        <v>인천</v>
      </c>
      <c r="N1678" t="str">
        <f>VLOOKUP(C1678,고객정보!$A$2:$D$151,4,FALSE)</f>
        <v>L5</v>
      </c>
      <c r="O1678" t="str">
        <f>VLOOKUP($C1678, 고객정보!$A$2:$E$151, 5, FALSE)</f>
        <v>30대</v>
      </c>
      <c r="P1678" t="str">
        <f>VLOOKUP(D1678,상품정보!$A$2:$E$61,2,FALSE)</f>
        <v>자켓</v>
      </c>
      <c r="Q1678" t="str">
        <f>VLOOKUP(D1678,상품정보!$A$2:$D$151,3,FALSE)</f>
        <v>의류</v>
      </c>
      <c r="R1678" t="str">
        <f>VLOOKUP(D1678,상품정보!$A$2:$D$151,4,FALSE)</f>
        <v>브랜드B</v>
      </c>
    </row>
    <row r="1679" spans="1:18" x14ac:dyDescent="0.45">
      <c r="A1679" t="s">
        <v>67</v>
      </c>
      <c r="B1679" t="s">
        <v>2078</v>
      </c>
      <c r="C1679" t="s">
        <v>2423</v>
      </c>
      <c r="D1679" t="s">
        <v>2567</v>
      </c>
      <c r="E1679">
        <v>3</v>
      </c>
      <c r="F1679">
        <v>58600</v>
      </c>
      <c r="G1679">
        <v>0</v>
      </c>
      <c r="H1679">
        <v>0</v>
      </c>
      <c r="I1679" t="s">
        <v>2652</v>
      </c>
      <c r="J1679" s="4">
        <f t="shared" si="78"/>
        <v>175800</v>
      </c>
      <c r="K1679" s="4" t="str">
        <f t="shared" si="79"/>
        <v>2024-02</v>
      </c>
      <c r="L1679" s="4" t="str">
        <f t="shared" si="80"/>
        <v>일</v>
      </c>
      <c r="M1679" s="2" t="str">
        <f>VLOOKUP($C1679, 고객정보!$A$2:$E$151, 2, FALSE)</f>
        <v>수원</v>
      </c>
      <c r="N1679" t="str">
        <f>VLOOKUP(C1679,고객정보!$A$2:$D$151,4,FALSE)</f>
        <v>L5</v>
      </c>
      <c r="O1679" t="str">
        <f>VLOOKUP($C1679, 고객정보!$A$2:$E$151, 5, FALSE)</f>
        <v>30대</v>
      </c>
      <c r="P1679" t="str">
        <f>VLOOKUP(D1679,상품정보!$A$2:$E$61,2,FALSE)</f>
        <v>귀걸이</v>
      </c>
      <c r="Q1679" t="str">
        <f>VLOOKUP(D1679,상품정보!$A$2:$D$151,3,FALSE)</f>
        <v>액세서리</v>
      </c>
      <c r="R1679" t="str">
        <f>VLOOKUP(D1679,상품정보!$A$2:$D$151,4,FALSE)</f>
        <v>브랜드B</v>
      </c>
    </row>
    <row r="1680" spans="1:18" x14ac:dyDescent="0.45">
      <c r="A1680" t="s">
        <v>138</v>
      </c>
      <c r="B1680" t="s">
        <v>2079</v>
      </c>
      <c r="C1680" t="s">
        <v>2539</v>
      </c>
      <c r="D1680" t="s">
        <v>2595</v>
      </c>
      <c r="E1680">
        <v>4</v>
      </c>
      <c r="F1680">
        <v>12700</v>
      </c>
      <c r="G1680">
        <v>0</v>
      </c>
      <c r="H1680">
        <v>0</v>
      </c>
      <c r="I1680" t="s">
        <v>2652</v>
      </c>
      <c r="J1680" s="4">
        <f t="shared" si="78"/>
        <v>50800</v>
      </c>
      <c r="K1680" s="4" t="str">
        <f t="shared" si="79"/>
        <v>2024-04</v>
      </c>
      <c r="L1680" s="4" t="str">
        <f t="shared" si="80"/>
        <v>일</v>
      </c>
      <c r="M1680" s="2" t="str">
        <f>VLOOKUP($C1680, 고객정보!$A$2:$E$151, 2, FALSE)</f>
        <v>서울</v>
      </c>
      <c r="N1680" t="str">
        <f>VLOOKUP(C1680,고객정보!$A$2:$D$151,4,FALSE)</f>
        <v>L1</v>
      </c>
      <c r="O1680" t="str">
        <f>VLOOKUP($C1680, 고객정보!$A$2:$E$151, 5, FALSE)</f>
        <v>50대 이상</v>
      </c>
      <c r="P1680" t="str">
        <f>VLOOKUP(D1680,상품정보!$A$2:$E$61,2,FALSE)</f>
        <v>반지</v>
      </c>
      <c r="Q1680" t="str">
        <f>VLOOKUP(D1680,상품정보!$A$2:$D$151,3,FALSE)</f>
        <v>액세서리</v>
      </c>
      <c r="R1680" t="str">
        <f>VLOOKUP(D1680,상품정보!$A$2:$D$151,4,FALSE)</f>
        <v>브랜드C</v>
      </c>
    </row>
    <row r="1681" spans="1:18" x14ac:dyDescent="0.45">
      <c r="A1681" t="s">
        <v>352</v>
      </c>
      <c r="B1681" t="s">
        <v>2080</v>
      </c>
      <c r="C1681" t="s">
        <v>2418</v>
      </c>
      <c r="D1681" t="s">
        <v>2554</v>
      </c>
      <c r="E1681">
        <v>1</v>
      </c>
      <c r="F1681">
        <v>12100</v>
      </c>
      <c r="G1681">
        <v>0</v>
      </c>
      <c r="H1681">
        <v>0</v>
      </c>
      <c r="I1681" t="s">
        <v>2652</v>
      </c>
      <c r="J1681" s="4">
        <f t="shared" si="78"/>
        <v>12100</v>
      </c>
      <c r="K1681" s="4" t="str">
        <f t="shared" si="79"/>
        <v>2024-06</v>
      </c>
      <c r="L1681" s="4" t="str">
        <f t="shared" si="80"/>
        <v>월</v>
      </c>
      <c r="M1681" s="2" t="str">
        <f>VLOOKUP($C1681, 고객정보!$A$2:$E$151, 2, FALSE)</f>
        <v>부산</v>
      </c>
      <c r="N1681" t="str">
        <f>VLOOKUP(C1681,고객정보!$A$2:$D$151,4,FALSE)</f>
        <v>L5</v>
      </c>
      <c r="O1681" t="str">
        <f>VLOOKUP($C1681, 고객정보!$A$2:$E$151, 5, FALSE)</f>
        <v>30대</v>
      </c>
      <c r="P1681" t="str">
        <f>VLOOKUP(D1681,상품정보!$A$2:$E$61,2,FALSE)</f>
        <v>귀걸이</v>
      </c>
      <c r="Q1681" t="str">
        <f>VLOOKUP(D1681,상품정보!$A$2:$D$151,3,FALSE)</f>
        <v>액세서리</v>
      </c>
      <c r="R1681" t="str">
        <f>VLOOKUP(D1681,상품정보!$A$2:$D$151,4,FALSE)</f>
        <v>브랜드D</v>
      </c>
    </row>
    <row r="1682" spans="1:18" x14ac:dyDescent="0.45">
      <c r="A1682" t="s">
        <v>397</v>
      </c>
      <c r="B1682" t="s">
        <v>2081</v>
      </c>
      <c r="C1682" t="s">
        <v>2452</v>
      </c>
      <c r="D1682" t="s">
        <v>2576</v>
      </c>
      <c r="E1682">
        <v>5</v>
      </c>
      <c r="F1682">
        <v>8800</v>
      </c>
      <c r="G1682">
        <v>0</v>
      </c>
      <c r="H1682">
        <v>0</v>
      </c>
      <c r="I1682" t="s">
        <v>2652</v>
      </c>
      <c r="J1682" s="4">
        <f t="shared" si="78"/>
        <v>44000</v>
      </c>
      <c r="K1682" s="4" t="str">
        <f t="shared" si="79"/>
        <v>2024-09</v>
      </c>
      <c r="L1682" s="4" t="str">
        <f t="shared" si="80"/>
        <v>일</v>
      </c>
      <c r="M1682" s="2" t="str">
        <f>VLOOKUP($C1682, 고객정보!$A$2:$E$151, 2, FALSE)</f>
        <v>서울</v>
      </c>
      <c r="N1682" t="str">
        <f>VLOOKUP(C1682,고객정보!$A$2:$D$151,4,FALSE)</f>
        <v>L3</v>
      </c>
      <c r="O1682" t="str">
        <f>VLOOKUP($C1682, 고객정보!$A$2:$E$151, 5, FALSE)</f>
        <v>30대</v>
      </c>
      <c r="P1682" t="str">
        <f>VLOOKUP(D1682,상품정보!$A$2:$E$61,2,FALSE)</f>
        <v>핸드폰케이스</v>
      </c>
      <c r="Q1682" t="str">
        <f>VLOOKUP(D1682,상품정보!$A$2:$D$151,3,FALSE)</f>
        <v>액세서리</v>
      </c>
      <c r="R1682" t="str">
        <f>VLOOKUP(D1682,상품정보!$A$2:$D$151,4,FALSE)</f>
        <v>브랜드D</v>
      </c>
    </row>
    <row r="1683" spans="1:18" x14ac:dyDescent="0.45">
      <c r="A1683" t="s">
        <v>261</v>
      </c>
      <c r="B1683" t="s">
        <v>2082</v>
      </c>
      <c r="C1683" t="s">
        <v>2544</v>
      </c>
      <c r="D1683" t="s">
        <v>2604</v>
      </c>
      <c r="E1683">
        <v>2</v>
      </c>
      <c r="F1683">
        <v>9700</v>
      </c>
      <c r="G1683">
        <v>0</v>
      </c>
      <c r="H1683">
        <v>9800</v>
      </c>
      <c r="I1683" t="s">
        <v>2611</v>
      </c>
      <c r="J1683" s="4">
        <f t="shared" si="78"/>
        <v>9600</v>
      </c>
      <c r="K1683" s="4" t="str">
        <f t="shared" si="79"/>
        <v>2024-09</v>
      </c>
      <c r="L1683" s="4" t="str">
        <f t="shared" si="80"/>
        <v>금</v>
      </c>
      <c r="M1683" s="2" t="str">
        <f>VLOOKUP($C1683, 고객정보!$A$2:$E$151, 2, FALSE)</f>
        <v>서울</v>
      </c>
      <c r="N1683" t="str">
        <f>VLOOKUP(C1683,고객정보!$A$2:$D$151,4,FALSE)</f>
        <v>L5</v>
      </c>
      <c r="O1683" t="str">
        <f>VLOOKUP($C1683, 고객정보!$A$2:$E$151, 5, FALSE)</f>
        <v>40대</v>
      </c>
      <c r="P1683" t="str">
        <f>VLOOKUP(D1683,상품정보!$A$2:$E$61,2,FALSE)</f>
        <v>반팔 티셔츠</v>
      </c>
      <c r="Q1683" t="str">
        <f>VLOOKUP(D1683,상품정보!$A$2:$D$151,3,FALSE)</f>
        <v>의류</v>
      </c>
      <c r="R1683" t="str">
        <f>VLOOKUP(D1683,상품정보!$A$2:$D$151,4,FALSE)</f>
        <v>브랜드E</v>
      </c>
    </row>
    <row r="1684" spans="1:18" x14ac:dyDescent="0.45">
      <c r="A1684" t="s">
        <v>83</v>
      </c>
      <c r="B1684" t="s">
        <v>2083</v>
      </c>
      <c r="C1684" t="s">
        <v>2413</v>
      </c>
      <c r="D1684" t="s">
        <v>2562</v>
      </c>
      <c r="E1684">
        <v>1</v>
      </c>
      <c r="F1684">
        <v>15600</v>
      </c>
      <c r="G1684">
        <v>500</v>
      </c>
      <c r="H1684">
        <v>0</v>
      </c>
      <c r="I1684" t="s">
        <v>2652</v>
      </c>
      <c r="J1684" s="4">
        <f t="shared" si="78"/>
        <v>16100</v>
      </c>
      <c r="K1684" s="4" t="str">
        <f t="shared" si="79"/>
        <v>2024-01</v>
      </c>
      <c r="L1684" s="4" t="str">
        <f t="shared" si="80"/>
        <v>일</v>
      </c>
      <c r="M1684" s="2" t="str">
        <f>VLOOKUP($C1684, 고객정보!$A$2:$E$151, 2, FALSE)</f>
        <v>서울</v>
      </c>
      <c r="N1684" t="str">
        <f>VLOOKUP(C1684,고객정보!$A$2:$D$151,4,FALSE)</f>
        <v>L5</v>
      </c>
      <c r="O1684" t="str">
        <f>VLOOKUP($C1684, 고객정보!$A$2:$E$151, 5, FALSE)</f>
        <v>30대</v>
      </c>
      <c r="P1684" t="str">
        <f>VLOOKUP(D1684,상품정보!$A$2:$E$61,2,FALSE)</f>
        <v>반팔 티셔츠</v>
      </c>
      <c r="Q1684" t="str">
        <f>VLOOKUP(D1684,상품정보!$A$2:$D$151,3,FALSE)</f>
        <v>의류</v>
      </c>
      <c r="R1684" t="str">
        <f>VLOOKUP(D1684,상품정보!$A$2:$D$151,4,FALSE)</f>
        <v>브랜드E</v>
      </c>
    </row>
    <row r="1685" spans="1:18" x14ac:dyDescent="0.45">
      <c r="A1685" t="s">
        <v>381</v>
      </c>
      <c r="B1685" t="s">
        <v>2084</v>
      </c>
      <c r="C1685" t="s">
        <v>2427</v>
      </c>
      <c r="D1685" t="s">
        <v>2568</v>
      </c>
      <c r="E1685">
        <v>5</v>
      </c>
      <c r="F1685">
        <v>16800</v>
      </c>
      <c r="G1685">
        <v>1500</v>
      </c>
      <c r="H1685">
        <v>17200</v>
      </c>
      <c r="I1685" t="s">
        <v>2612</v>
      </c>
      <c r="J1685" s="4">
        <f t="shared" si="78"/>
        <v>68300</v>
      </c>
      <c r="K1685" s="4" t="str">
        <f t="shared" si="79"/>
        <v>2024-06</v>
      </c>
      <c r="L1685" s="4" t="str">
        <f t="shared" si="80"/>
        <v>수</v>
      </c>
      <c r="M1685" s="2" t="str">
        <f>VLOOKUP($C1685, 고객정보!$A$2:$E$151, 2, FALSE)</f>
        <v>부산</v>
      </c>
      <c r="N1685" t="str">
        <f>VLOOKUP(C1685,고객정보!$A$2:$D$151,4,FALSE)</f>
        <v>L4</v>
      </c>
      <c r="O1685" t="str">
        <f>VLOOKUP($C1685, 고객정보!$A$2:$E$151, 5, FALSE)</f>
        <v>20대</v>
      </c>
      <c r="P1685" t="str">
        <f>VLOOKUP(D1685,상품정보!$A$2:$E$61,2,FALSE)</f>
        <v>청바지</v>
      </c>
      <c r="Q1685" t="str">
        <f>VLOOKUP(D1685,상품정보!$A$2:$D$151,3,FALSE)</f>
        <v>의류</v>
      </c>
      <c r="R1685" t="str">
        <f>VLOOKUP(D1685,상품정보!$A$2:$D$151,4,FALSE)</f>
        <v>브랜드C</v>
      </c>
    </row>
    <row r="1686" spans="1:18" x14ac:dyDescent="0.45">
      <c r="A1686" t="s">
        <v>216</v>
      </c>
      <c r="B1686" t="s">
        <v>2085</v>
      </c>
      <c r="C1686" t="s">
        <v>2526</v>
      </c>
      <c r="D1686" t="s">
        <v>2583</v>
      </c>
      <c r="E1686">
        <v>4</v>
      </c>
      <c r="F1686">
        <v>6600</v>
      </c>
      <c r="G1686">
        <v>0</v>
      </c>
      <c r="H1686">
        <v>0</v>
      </c>
      <c r="I1686" t="s">
        <v>2652</v>
      </c>
      <c r="J1686" s="4">
        <f t="shared" si="78"/>
        <v>26400</v>
      </c>
      <c r="K1686" s="4" t="str">
        <f t="shared" si="79"/>
        <v>2025-01</v>
      </c>
      <c r="L1686" s="4" t="str">
        <f t="shared" si="80"/>
        <v>목</v>
      </c>
      <c r="M1686" s="2" t="str">
        <f>VLOOKUP($C1686, 고객정보!$A$2:$E$151, 2, FALSE)</f>
        <v>부산</v>
      </c>
      <c r="N1686" t="str">
        <f>VLOOKUP(C1686,고객정보!$A$2:$D$151,4,FALSE)</f>
        <v>L3</v>
      </c>
      <c r="O1686" t="str">
        <f>VLOOKUP($C1686, 고객정보!$A$2:$E$151, 5, FALSE)</f>
        <v>10대</v>
      </c>
      <c r="P1686" t="str">
        <f>VLOOKUP(D1686,상품정보!$A$2:$E$61,2,FALSE)</f>
        <v>셔츠</v>
      </c>
      <c r="Q1686" t="str">
        <f>VLOOKUP(D1686,상품정보!$A$2:$D$151,3,FALSE)</f>
        <v>의류</v>
      </c>
      <c r="R1686" t="str">
        <f>VLOOKUP(D1686,상품정보!$A$2:$D$151,4,FALSE)</f>
        <v>브랜드E</v>
      </c>
    </row>
    <row r="1687" spans="1:18" x14ac:dyDescent="0.45">
      <c r="A1687" t="s">
        <v>157</v>
      </c>
      <c r="B1687" t="s">
        <v>2086</v>
      </c>
      <c r="C1687" t="s">
        <v>2432</v>
      </c>
      <c r="D1687" t="s">
        <v>2551</v>
      </c>
      <c r="E1687">
        <v>3</v>
      </c>
      <c r="F1687">
        <v>66600</v>
      </c>
      <c r="G1687">
        <v>500</v>
      </c>
      <c r="H1687">
        <v>800</v>
      </c>
      <c r="I1687" t="s">
        <v>2614</v>
      </c>
      <c r="J1687" s="4">
        <f t="shared" si="78"/>
        <v>199500</v>
      </c>
      <c r="K1687" s="4" t="str">
        <f t="shared" si="79"/>
        <v>2024-12</v>
      </c>
      <c r="L1687" s="4" t="str">
        <f t="shared" si="80"/>
        <v>월</v>
      </c>
      <c r="M1687" s="2" t="str">
        <f>VLOOKUP($C1687, 고객정보!$A$2:$E$151, 2, FALSE)</f>
        <v>서울</v>
      </c>
      <c r="N1687" t="str">
        <f>VLOOKUP(C1687,고객정보!$A$2:$D$151,4,FALSE)</f>
        <v>L5</v>
      </c>
      <c r="O1687" t="str">
        <f>VLOOKUP($C1687, 고객정보!$A$2:$E$151, 5, FALSE)</f>
        <v>20대</v>
      </c>
      <c r="P1687" t="str">
        <f>VLOOKUP(D1687,상품정보!$A$2:$E$61,2,FALSE)</f>
        <v>반지</v>
      </c>
      <c r="Q1687" t="str">
        <f>VLOOKUP(D1687,상품정보!$A$2:$D$151,3,FALSE)</f>
        <v>액세서리</v>
      </c>
      <c r="R1687" t="str">
        <f>VLOOKUP(D1687,상품정보!$A$2:$D$151,4,FALSE)</f>
        <v>브랜드B</v>
      </c>
    </row>
    <row r="1688" spans="1:18" x14ac:dyDescent="0.45">
      <c r="A1688" t="s">
        <v>137</v>
      </c>
      <c r="B1688" t="s">
        <v>2087</v>
      </c>
      <c r="C1688" t="s">
        <v>2498</v>
      </c>
      <c r="D1688" t="s">
        <v>2603</v>
      </c>
      <c r="E1688">
        <v>3</v>
      </c>
      <c r="F1688">
        <v>8200</v>
      </c>
      <c r="G1688">
        <v>0</v>
      </c>
      <c r="H1688">
        <v>2000</v>
      </c>
      <c r="I1688" t="s">
        <v>2613</v>
      </c>
      <c r="J1688" s="4">
        <f t="shared" si="78"/>
        <v>22600</v>
      </c>
      <c r="K1688" s="4" t="str">
        <f t="shared" si="79"/>
        <v>2024-04</v>
      </c>
      <c r="L1688" s="4" t="str">
        <f t="shared" si="80"/>
        <v>화</v>
      </c>
      <c r="M1688" s="2" t="str">
        <f>VLOOKUP($C1688, 고객정보!$A$2:$E$151, 2, FALSE)</f>
        <v>서울</v>
      </c>
      <c r="N1688" t="str">
        <f>VLOOKUP(C1688,고객정보!$A$2:$D$151,4,FALSE)</f>
        <v>L3</v>
      </c>
      <c r="O1688" t="str">
        <f>VLOOKUP($C1688, 고객정보!$A$2:$E$151, 5, FALSE)</f>
        <v>30대</v>
      </c>
      <c r="P1688" t="str">
        <f>VLOOKUP(D1688,상품정보!$A$2:$E$61,2,FALSE)</f>
        <v>목걸이</v>
      </c>
      <c r="Q1688" t="str">
        <f>VLOOKUP(D1688,상품정보!$A$2:$D$151,3,FALSE)</f>
        <v>액세서리</v>
      </c>
      <c r="R1688" t="str">
        <f>VLOOKUP(D1688,상품정보!$A$2:$D$151,4,FALSE)</f>
        <v>브랜드E</v>
      </c>
    </row>
    <row r="1689" spans="1:18" x14ac:dyDescent="0.45">
      <c r="A1689" t="s">
        <v>195</v>
      </c>
      <c r="B1689" t="s">
        <v>2088</v>
      </c>
      <c r="C1689" t="s">
        <v>2519</v>
      </c>
      <c r="D1689" t="s">
        <v>2565</v>
      </c>
      <c r="E1689">
        <v>1</v>
      </c>
      <c r="F1689">
        <v>50000</v>
      </c>
      <c r="G1689">
        <v>500</v>
      </c>
      <c r="H1689">
        <v>0</v>
      </c>
      <c r="I1689" t="s">
        <v>2652</v>
      </c>
      <c r="J1689" s="4">
        <f t="shared" si="78"/>
        <v>50500</v>
      </c>
      <c r="K1689" s="4" t="str">
        <f t="shared" si="79"/>
        <v>2024-11</v>
      </c>
      <c r="L1689" s="4" t="str">
        <f t="shared" si="80"/>
        <v>토</v>
      </c>
      <c r="M1689" s="2" t="str">
        <f>VLOOKUP($C1689, 고객정보!$A$2:$E$151, 2, FALSE)</f>
        <v>서울</v>
      </c>
      <c r="N1689" t="str">
        <f>VLOOKUP(C1689,고객정보!$A$2:$D$151,4,FALSE)</f>
        <v>L4</v>
      </c>
      <c r="O1689" t="str">
        <f>VLOOKUP($C1689, 고객정보!$A$2:$E$151, 5, FALSE)</f>
        <v>20대</v>
      </c>
      <c r="P1689" t="str">
        <f>VLOOKUP(D1689,상품정보!$A$2:$E$61,2,FALSE)</f>
        <v>핸드폰케이스</v>
      </c>
      <c r="Q1689" t="str">
        <f>VLOOKUP(D1689,상품정보!$A$2:$D$151,3,FALSE)</f>
        <v>액세서리</v>
      </c>
      <c r="R1689" t="str">
        <f>VLOOKUP(D1689,상품정보!$A$2:$D$151,4,FALSE)</f>
        <v>브랜드B</v>
      </c>
    </row>
    <row r="1690" spans="1:18" x14ac:dyDescent="0.45">
      <c r="A1690" t="s">
        <v>343</v>
      </c>
      <c r="B1690" t="s">
        <v>2089</v>
      </c>
      <c r="C1690" t="s">
        <v>2505</v>
      </c>
      <c r="D1690" t="s">
        <v>2584</v>
      </c>
      <c r="E1690">
        <v>4</v>
      </c>
      <c r="F1690">
        <v>59700</v>
      </c>
      <c r="G1690">
        <v>1500</v>
      </c>
      <c r="H1690">
        <v>0</v>
      </c>
      <c r="I1690" t="s">
        <v>2652</v>
      </c>
      <c r="J1690" s="4">
        <f t="shared" si="78"/>
        <v>240300</v>
      </c>
      <c r="K1690" s="4" t="str">
        <f t="shared" si="79"/>
        <v>2024-01</v>
      </c>
      <c r="L1690" s="4" t="str">
        <f t="shared" si="80"/>
        <v>화</v>
      </c>
      <c r="M1690" s="2" t="str">
        <f>VLOOKUP($C1690, 고객정보!$A$2:$E$151, 2, FALSE)</f>
        <v>대구</v>
      </c>
      <c r="N1690" t="str">
        <f>VLOOKUP(C1690,고객정보!$A$2:$D$151,4,FALSE)</f>
        <v>L4</v>
      </c>
      <c r="O1690" t="str">
        <f>VLOOKUP($C1690, 고객정보!$A$2:$E$151, 5, FALSE)</f>
        <v>40대</v>
      </c>
      <c r="P1690" t="str">
        <f>VLOOKUP(D1690,상품정보!$A$2:$E$61,2,FALSE)</f>
        <v>목걸이</v>
      </c>
      <c r="Q1690" t="str">
        <f>VLOOKUP(D1690,상품정보!$A$2:$D$151,3,FALSE)</f>
        <v>액세서리</v>
      </c>
      <c r="R1690" t="str">
        <f>VLOOKUP(D1690,상품정보!$A$2:$D$151,4,FALSE)</f>
        <v>브랜드B</v>
      </c>
    </row>
    <row r="1691" spans="1:18" x14ac:dyDescent="0.45">
      <c r="A1691" t="s">
        <v>185</v>
      </c>
      <c r="B1691" t="s">
        <v>2090</v>
      </c>
      <c r="C1691" t="s">
        <v>2463</v>
      </c>
      <c r="D1691" t="s">
        <v>2565</v>
      </c>
      <c r="E1691">
        <v>2</v>
      </c>
      <c r="F1691">
        <v>50000</v>
      </c>
      <c r="G1691">
        <v>1000</v>
      </c>
      <c r="H1691">
        <v>3700</v>
      </c>
      <c r="I1691" t="s">
        <v>2612</v>
      </c>
      <c r="J1691" s="4">
        <f t="shared" si="78"/>
        <v>97300</v>
      </c>
      <c r="K1691" s="4" t="str">
        <f t="shared" si="79"/>
        <v>2024-03</v>
      </c>
      <c r="L1691" s="4" t="str">
        <f t="shared" si="80"/>
        <v>월</v>
      </c>
      <c r="M1691" s="2" t="str">
        <f>VLOOKUP($C1691, 고객정보!$A$2:$E$151, 2, FALSE)</f>
        <v>대구</v>
      </c>
      <c r="N1691" t="str">
        <f>VLOOKUP(C1691,고객정보!$A$2:$D$151,4,FALSE)</f>
        <v>L4</v>
      </c>
      <c r="O1691" t="str">
        <f>VLOOKUP($C1691, 고객정보!$A$2:$E$151, 5, FALSE)</f>
        <v>20대</v>
      </c>
      <c r="P1691" t="str">
        <f>VLOOKUP(D1691,상품정보!$A$2:$E$61,2,FALSE)</f>
        <v>핸드폰케이스</v>
      </c>
      <c r="Q1691" t="str">
        <f>VLOOKUP(D1691,상품정보!$A$2:$D$151,3,FALSE)</f>
        <v>액세서리</v>
      </c>
      <c r="R1691" t="str">
        <f>VLOOKUP(D1691,상품정보!$A$2:$D$151,4,FALSE)</f>
        <v>브랜드B</v>
      </c>
    </row>
    <row r="1692" spans="1:18" x14ac:dyDescent="0.45">
      <c r="A1692" t="s">
        <v>254</v>
      </c>
      <c r="B1692" t="s">
        <v>2091</v>
      </c>
      <c r="C1692" t="s">
        <v>2437</v>
      </c>
      <c r="D1692" t="s">
        <v>2590</v>
      </c>
      <c r="E1692">
        <v>4</v>
      </c>
      <c r="F1692">
        <v>68900</v>
      </c>
      <c r="G1692">
        <v>0</v>
      </c>
      <c r="H1692">
        <v>0</v>
      </c>
      <c r="I1692" t="s">
        <v>2652</v>
      </c>
      <c r="J1692" s="4">
        <f t="shared" si="78"/>
        <v>275600</v>
      </c>
      <c r="K1692" s="4" t="str">
        <f t="shared" si="79"/>
        <v>2024-12</v>
      </c>
      <c r="L1692" s="4" t="str">
        <f t="shared" si="80"/>
        <v>월</v>
      </c>
      <c r="M1692" s="2" t="str">
        <f>VLOOKUP($C1692, 고객정보!$A$2:$E$151, 2, FALSE)</f>
        <v>인천</v>
      </c>
      <c r="N1692" t="str">
        <f>VLOOKUP(C1692,고객정보!$A$2:$D$151,4,FALSE)</f>
        <v>L1</v>
      </c>
      <c r="O1692" t="str">
        <f>VLOOKUP($C1692, 고객정보!$A$2:$E$151, 5, FALSE)</f>
        <v>30대</v>
      </c>
      <c r="P1692" t="str">
        <f>VLOOKUP(D1692,상품정보!$A$2:$E$61,2,FALSE)</f>
        <v>반팔 티셔츠</v>
      </c>
      <c r="Q1692" t="str">
        <f>VLOOKUP(D1692,상품정보!$A$2:$D$151,3,FALSE)</f>
        <v>의류</v>
      </c>
      <c r="R1692" t="str">
        <f>VLOOKUP(D1692,상품정보!$A$2:$D$151,4,FALSE)</f>
        <v>브랜드A</v>
      </c>
    </row>
    <row r="1693" spans="1:18" x14ac:dyDescent="0.45">
      <c r="A1693" t="s">
        <v>372</v>
      </c>
      <c r="B1693" t="s">
        <v>2092</v>
      </c>
      <c r="C1693" t="s">
        <v>2430</v>
      </c>
      <c r="D1693" t="s">
        <v>2553</v>
      </c>
      <c r="E1693">
        <v>4</v>
      </c>
      <c r="F1693">
        <v>63400</v>
      </c>
      <c r="G1693">
        <v>500</v>
      </c>
      <c r="H1693">
        <v>0</v>
      </c>
      <c r="I1693" t="s">
        <v>2652</v>
      </c>
      <c r="J1693" s="4">
        <f t="shared" si="78"/>
        <v>254100</v>
      </c>
      <c r="K1693" s="4" t="str">
        <f t="shared" si="79"/>
        <v>2024-09</v>
      </c>
      <c r="L1693" s="4" t="str">
        <f t="shared" si="80"/>
        <v>월</v>
      </c>
      <c r="M1693" s="2" t="str">
        <f>VLOOKUP($C1693, 고객정보!$A$2:$E$151, 2, FALSE)</f>
        <v>광주</v>
      </c>
      <c r="N1693" t="str">
        <f>VLOOKUP(C1693,고객정보!$A$2:$D$151,4,FALSE)</f>
        <v>L4</v>
      </c>
      <c r="O1693" t="str">
        <f>VLOOKUP($C1693, 고객정보!$A$2:$E$151, 5, FALSE)</f>
        <v>30대</v>
      </c>
      <c r="P1693" t="str">
        <f>VLOOKUP(D1693,상품정보!$A$2:$E$61,2,FALSE)</f>
        <v>귀걸이</v>
      </c>
      <c r="Q1693" t="str">
        <f>VLOOKUP(D1693,상품정보!$A$2:$D$151,3,FALSE)</f>
        <v>액세서리</v>
      </c>
      <c r="R1693" t="str">
        <f>VLOOKUP(D1693,상품정보!$A$2:$D$151,4,FALSE)</f>
        <v>브랜드F</v>
      </c>
    </row>
    <row r="1694" spans="1:18" x14ac:dyDescent="0.45">
      <c r="A1694" t="s">
        <v>253</v>
      </c>
      <c r="B1694" t="s">
        <v>2093</v>
      </c>
      <c r="C1694" t="s">
        <v>2451</v>
      </c>
      <c r="D1694" t="s">
        <v>2592</v>
      </c>
      <c r="E1694">
        <v>2</v>
      </c>
      <c r="F1694">
        <v>72700</v>
      </c>
      <c r="G1694">
        <v>0</v>
      </c>
      <c r="H1694">
        <v>0</v>
      </c>
      <c r="I1694" t="s">
        <v>2652</v>
      </c>
      <c r="J1694" s="4">
        <f t="shared" si="78"/>
        <v>145400</v>
      </c>
      <c r="K1694" s="4" t="str">
        <f t="shared" si="79"/>
        <v>2024-10</v>
      </c>
      <c r="L1694" s="4" t="str">
        <f t="shared" si="80"/>
        <v>일</v>
      </c>
      <c r="M1694" s="2" t="str">
        <f>VLOOKUP($C1694, 고객정보!$A$2:$E$151, 2, FALSE)</f>
        <v>서울</v>
      </c>
      <c r="N1694" t="str">
        <f>VLOOKUP(C1694,고객정보!$A$2:$D$151,4,FALSE)</f>
        <v>L1</v>
      </c>
      <c r="O1694" t="str">
        <f>VLOOKUP($C1694, 고객정보!$A$2:$E$151, 5, FALSE)</f>
        <v>30대</v>
      </c>
      <c r="P1694" t="str">
        <f>VLOOKUP(D1694,상품정보!$A$2:$E$61,2,FALSE)</f>
        <v>귀걸이</v>
      </c>
      <c r="Q1694" t="str">
        <f>VLOOKUP(D1694,상품정보!$A$2:$D$151,3,FALSE)</f>
        <v>액세서리</v>
      </c>
      <c r="R1694" t="str">
        <f>VLOOKUP(D1694,상품정보!$A$2:$D$151,4,FALSE)</f>
        <v>브랜드A</v>
      </c>
    </row>
    <row r="1695" spans="1:18" x14ac:dyDescent="0.45">
      <c r="A1695" t="s">
        <v>299</v>
      </c>
      <c r="B1695" t="s">
        <v>2094</v>
      </c>
      <c r="C1695" t="s">
        <v>2477</v>
      </c>
      <c r="D1695" t="s">
        <v>2609</v>
      </c>
      <c r="E1695">
        <v>3</v>
      </c>
      <c r="F1695">
        <v>58600</v>
      </c>
      <c r="G1695">
        <v>0</v>
      </c>
      <c r="H1695">
        <v>0</v>
      </c>
      <c r="I1695" t="s">
        <v>2652</v>
      </c>
      <c r="J1695" s="4">
        <f t="shared" si="78"/>
        <v>175800</v>
      </c>
      <c r="K1695" s="4" t="str">
        <f t="shared" si="79"/>
        <v>2024-11</v>
      </c>
      <c r="L1695" s="4" t="str">
        <f t="shared" si="80"/>
        <v>화</v>
      </c>
      <c r="M1695" s="2" t="str">
        <f>VLOOKUP($C1695, 고객정보!$A$2:$E$151, 2, FALSE)</f>
        <v>부산</v>
      </c>
      <c r="N1695" t="str">
        <f>VLOOKUP(C1695,고객정보!$A$2:$D$151,4,FALSE)</f>
        <v>L4</v>
      </c>
      <c r="O1695" t="str">
        <f>VLOOKUP($C1695, 고객정보!$A$2:$E$151, 5, FALSE)</f>
        <v>20대</v>
      </c>
      <c r="P1695" t="str">
        <f>VLOOKUP(D1695,상품정보!$A$2:$E$61,2,FALSE)</f>
        <v>목걸이</v>
      </c>
      <c r="Q1695" t="str">
        <f>VLOOKUP(D1695,상품정보!$A$2:$D$151,3,FALSE)</f>
        <v>액세서리</v>
      </c>
      <c r="R1695" t="str">
        <f>VLOOKUP(D1695,상품정보!$A$2:$D$151,4,FALSE)</f>
        <v>브랜드F</v>
      </c>
    </row>
    <row r="1696" spans="1:18" x14ac:dyDescent="0.45">
      <c r="A1696" t="s">
        <v>62</v>
      </c>
      <c r="B1696" t="s">
        <v>2095</v>
      </c>
      <c r="C1696" t="s">
        <v>2481</v>
      </c>
      <c r="D1696" t="s">
        <v>2556</v>
      </c>
      <c r="E1696">
        <v>5</v>
      </c>
      <c r="F1696">
        <v>70100</v>
      </c>
      <c r="G1696">
        <v>0</v>
      </c>
      <c r="H1696">
        <v>0</v>
      </c>
      <c r="I1696" t="s">
        <v>2652</v>
      </c>
      <c r="J1696" s="4">
        <f t="shared" si="78"/>
        <v>350500</v>
      </c>
      <c r="K1696" s="4" t="str">
        <f t="shared" si="79"/>
        <v>2024-03</v>
      </c>
      <c r="L1696" s="4" t="str">
        <f t="shared" si="80"/>
        <v>금</v>
      </c>
      <c r="M1696" s="2" t="str">
        <f>VLOOKUP($C1696, 고객정보!$A$2:$E$151, 2, FALSE)</f>
        <v>부산</v>
      </c>
      <c r="N1696" t="str">
        <f>VLOOKUP(C1696,고객정보!$A$2:$D$151,4,FALSE)</f>
        <v>L5</v>
      </c>
      <c r="O1696" t="str">
        <f>VLOOKUP($C1696, 고객정보!$A$2:$E$151, 5, FALSE)</f>
        <v>20대</v>
      </c>
      <c r="P1696" t="str">
        <f>VLOOKUP(D1696,상품정보!$A$2:$E$61,2,FALSE)</f>
        <v>핸드폰케이스</v>
      </c>
      <c r="Q1696" t="str">
        <f>VLOOKUP(D1696,상품정보!$A$2:$D$151,3,FALSE)</f>
        <v>액세서리</v>
      </c>
      <c r="R1696" t="str">
        <f>VLOOKUP(D1696,상품정보!$A$2:$D$151,4,FALSE)</f>
        <v>브랜드F</v>
      </c>
    </row>
    <row r="1697" spans="1:18" x14ac:dyDescent="0.45">
      <c r="A1697" t="s">
        <v>379</v>
      </c>
      <c r="B1697" t="s">
        <v>2096</v>
      </c>
      <c r="C1697" t="s">
        <v>2548</v>
      </c>
      <c r="D1697" t="s">
        <v>2593</v>
      </c>
      <c r="E1697">
        <v>2</v>
      </c>
      <c r="F1697">
        <v>74600</v>
      </c>
      <c r="G1697">
        <v>0</v>
      </c>
      <c r="H1697">
        <v>0</v>
      </c>
      <c r="I1697" t="s">
        <v>2652</v>
      </c>
      <c r="J1697" s="4">
        <f t="shared" si="78"/>
        <v>149200</v>
      </c>
      <c r="K1697" s="4" t="str">
        <f t="shared" si="79"/>
        <v>2024-10</v>
      </c>
      <c r="L1697" s="4" t="str">
        <f t="shared" si="80"/>
        <v>목</v>
      </c>
      <c r="M1697" s="2" t="str">
        <f>VLOOKUP($C1697, 고객정보!$A$2:$E$151, 2, FALSE)</f>
        <v>수원</v>
      </c>
      <c r="N1697" t="str">
        <f>VLOOKUP(C1697,고객정보!$A$2:$D$151,4,FALSE)</f>
        <v>L2</v>
      </c>
      <c r="O1697" t="str">
        <f>VLOOKUP($C1697, 고객정보!$A$2:$E$151, 5, FALSE)</f>
        <v>50대 이상</v>
      </c>
      <c r="P1697" t="str">
        <f>VLOOKUP(D1697,상품정보!$A$2:$E$61,2,FALSE)</f>
        <v>반팔 티셔츠</v>
      </c>
      <c r="Q1697" t="str">
        <f>VLOOKUP(D1697,상품정보!$A$2:$D$151,3,FALSE)</f>
        <v>의류</v>
      </c>
      <c r="R1697" t="str">
        <f>VLOOKUP(D1697,상품정보!$A$2:$D$151,4,FALSE)</f>
        <v>브랜드B</v>
      </c>
    </row>
    <row r="1698" spans="1:18" x14ac:dyDescent="0.45">
      <c r="A1698" t="s">
        <v>278</v>
      </c>
      <c r="B1698" t="s">
        <v>2097</v>
      </c>
      <c r="C1698" t="s">
        <v>2502</v>
      </c>
      <c r="D1698" t="s">
        <v>2579</v>
      </c>
      <c r="E1698">
        <v>2</v>
      </c>
      <c r="F1698">
        <v>51000</v>
      </c>
      <c r="G1698">
        <v>1000</v>
      </c>
      <c r="H1698">
        <v>0</v>
      </c>
      <c r="I1698" t="s">
        <v>2652</v>
      </c>
      <c r="J1698" s="4">
        <f t="shared" si="78"/>
        <v>103000</v>
      </c>
      <c r="K1698" s="4" t="str">
        <f t="shared" si="79"/>
        <v>2024-03</v>
      </c>
      <c r="L1698" s="4" t="str">
        <f t="shared" si="80"/>
        <v>월</v>
      </c>
      <c r="M1698" s="2" t="str">
        <f>VLOOKUP($C1698, 고객정보!$A$2:$E$151, 2, FALSE)</f>
        <v>부산</v>
      </c>
      <c r="N1698" t="str">
        <f>VLOOKUP(C1698,고객정보!$A$2:$D$151,4,FALSE)</f>
        <v>L4</v>
      </c>
      <c r="O1698" t="str">
        <f>VLOOKUP($C1698, 고객정보!$A$2:$E$151, 5, FALSE)</f>
        <v>20대</v>
      </c>
      <c r="P1698" t="str">
        <f>VLOOKUP(D1698,상품정보!$A$2:$E$61,2,FALSE)</f>
        <v>핸드폰케이스</v>
      </c>
      <c r="Q1698" t="str">
        <f>VLOOKUP(D1698,상품정보!$A$2:$D$151,3,FALSE)</f>
        <v>액세서리</v>
      </c>
      <c r="R1698" t="str">
        <f>VLOOKUP(D1698,상품정보!$A$2:$D$151,4,FALSE)</f>
        <v>브랜드F</v>
      </c>
    </row>
    <row r="1699" spans="1:18" x14ac:dyDescent="0.45">
      <c r="A1699" t="s">
        <v>303</v>
      </c>
      <c r="B1699" t="s">
        <v>2098</v>
      </c>
      <c r="C1699" t="s">
        <v>2488</v>
      </c>
      <c r="D1699" t="s">
        <v>2606</v>
      </c>
      <c r="E1699">
        <v>5</v>
      </c>
      <c r="F1699">
        <v>15000</v>
      </c>
      <c r="G1699">
        <v>500</v>
      </c>
      <c r="H1699">
        <v>0</v>
      </c>
      <c r="I1699" t="s">
        <v>2652</v>
      </c>
      <c r="J1699" s="4">
        <f t="shared" si="78"/>
        <v>75500</v>
      </c>
      <c r="K1699" s="4" t="str">
        <f t="shared" si="79"/>
        <v>2024-03</v>
      </c>
      <c r="L1699" s="4" t="str">
        <f t="shared" si="80"/>
        <v>일</v>
      </c>
      <c r="M1699" s="2" t="str">
        <f>VLOOKUP($C1699, 고객정보!$A$2:$E$151, 2, FALSE)</f>
        <v>서울</v>
      </c>
      <c r="N1699" t="str">
        <f>VLOOKUP(C1699,고객정보!$A$2:$D$151,4,FALSE)</f>
        <v>L3</v>
      </c>
      <c r="O1699" t="str">
        <f>VLOOKUP($C1699, 고객정보!$A$2:$E$151, 5, FALSE)</f>
        <v>40대</v>
      </c>
      <c r="P1699" t="str">
        <f>VLOOKUP(D1699,상품정보!$A$2:$E$61,2,FALSE)</f>
        <v>귀걸이</v>
      </c>
      <c r="Q1699" t="str">
        <f>VLOOKUP(D1699,상품정보!$A$2:$D$151,3,FALSE)</f>
        <v>액세서리</v>
      </c>
      <c r="R1699" t="str">
        <f>VLOOKUP(D1699,상품정보!$A$2:$D$151,4,FALSE)</f>
        <v>브랜드E</v>
      </c>
    </row>
    <row r="1700" spans="1:18" x14ac:dyDescent="0.45">
      <c r="A1700" t="s">
        <v>127</v>
      </c>
      <c r="B1700" t="s">
        <v>2099</v>
      </c>
      <c r="C1700" t="s">
        <v>2491</v>
      </c>
      <c r="D1700" t="s">
        <v>2582</v>
      </c>
      <c r="E1700">
        <v>2</v>
      </c>
      <c r="F1700">
        <v>12500</v>
      </c>
      <c r="G1700">
        <v>0</v>
      </c>
      <c r="H1700">
        <v>12100</v>
      </c>
      <c r="I1700" t="s">
        <v>2613</v>
      </c>
      <c r="J1700" s="4">
        <f t="shared" si="78"/>
        <v>12900</v>
      </c>
      <c r="K1700" s="4" t="str">
        <f t="shared" si="79"/>
        <v>2024-12</v>
      </c>
      <c r="L1700" s="4" t="str">
        <f t="shared" si="80"/>
        <v>일</v>
      </c>
      <c r="M1700" s="2" t="str">
        <f>VLOOKUP($C1700, 고객정보!$A$2:$E$151, 2, FALSE)</f>
        <v>서울</v>
      </c>
      <c r="N1700" t="str">
        <f>VLOOKUP(C1700,고객정보!$A$2:$D$151,4,FALSE)</f>
        <v>L5</v>
      </c>
      <c r="O1700" t="str">
        <f>VLOOKUP($C1700, 고객정보!$A$2:$E$151, 5, FALSE)</f>
        <v>30대</v>
      </c>
      <c r="P1700" t="str">
        <f>VLOOKUP(D1700,상품정보!$A$2:$E$61,2,FALSE)</f>
        <v>셔츠</v>
      </c>
      <c r="Q1700" t="str">
        <f>VLOOKUP(D1700,상품정보!$A$2:$D$151,3,FALSE)</f>
        <v>의류</v>
      </c>
      <c r="R1700" t="str">
        <f>VLOOKUP(D1700,상품정보!$A$2:$D$151,4,FALSE)</f>
        <v>브랜드D</v>
      </c>
    </row>
    <row r="1701" spans="1:18" x14ac:dyDescent="0.45">
      <c r="A1701" t="s">
        <v>132</v>
      </c>
      <c r="B1701" t="s">
        <v>2100</v>
      </c>
      <c r="C1701" t="s">
        <v>2500</v>
      </c>
      <c r="D1701" t="s">
        <v>2582</v>
      </c>
      <c r="E1701">
        <v>2</v>
      </c>
      <c r="F1701">
        <v>12500</v>
      </c>
      <c r="G1701">
        <v>0</v>
      </c>
      <c r="H1701">
        <v>0</v>
      </c>
      <c r="I1701" t="s">
        <v>2652</v>
      </c>
      <c r="J1701" s="4">
        <f t="shared" si="78"/>
        <v>25000</v>
      </c>
      <c r="K1701" s="4" t="str">
        <f t="shared" si="79"/>
        <v>2024-06</v>
      </c>
      <c r="L1701" s="4" t="str">
        <f t="shared" si="80"/>
        <v>화</v>
      </c>
      <c r="M1701" s="2" t="str">
        <f>VLOOKUP($C1701, 고객정보!$A$2:$E$151, 2, FALSE)</f>
        <v>서울</v>
      </c>
      <c r="N1701" t="str">
        <f>VLOOKUP(C1701,고객정보!$A$2:$D$151,4,FALSE)</f>
        <v>L3</v>
      </c>
      <c r="O1701" t="str">
        <f>VLOOKUP($C1701, 고객정보!$A$2:$E$151, 5, FALSE)</f>
        <v>20대</v>
      </c>
      <c r="P1701" t="str">
        <f>VLOOKUP(D1701,상품정보!$A$2:$E$61,2,FALSE)</f>
        <v>셔츠</v>
      </c>
      <c r="Q1701" t="str">
        <f>VLOOKUP(D1701,상품정보!$A$2:$D$151,3,FALSE)</f>
        <v>의류</v>
      </c>
      <c r="R1701" t="str">
        <f>VLOOKUP(D1701,상품정보!$A$2:$D$151,4,FALSE)</f>
        <v>브랜드D</v>
      </c>
    </row>
    <row r="1702" spans="1:18" x14ac:dyDescent="0.45">
      <c r="A1702" t="s">
        <v>170</v>
      </c>
      <c r="B1702" t="s">
        <v>2101</v>
      </c>
      <c r="C1702" t="s">
        <v>2416</v>
      </c>
      <c r="D1702" t="s">
        <v>2562</v>
      </c>
      <c r="E1702">
        <v>5</v>
      </c>
      <c r="F1702">
        <v>15600</v>
      </c>
      <c r="G1702">
        <v>0</v>
      </c>
      <c r="H1702">
        <v>2900</v>
      </c>
      <c r="I1702" t="s">
        <v>2613</v>
      </c>
      <c r="J1702" s="4">
        <f t="shared" si="78"/>
        <v>75100</v>
      </c>
      <c r="K1702" s="4" t="str">
        <f t="shared" si="79"/>
        <v>2025-01</v>
      </c>
      <c r="L1702" s="4" t="str">
        <f t="shared" si="80"/>
        <v>금</v>
      </c>
      <c r="M1702" s="2" t="str">
        <f>VLOOKUP($C1702, 고객정보!$A$2:$E$151, 2, FALSE)</f>
        <v>대구</v>
      </c>
      <c r="N1702" t="str">
        <f>VLOOKUP(C1702,고객정보!$A$2:$D$151,4,FALSE)</f>
        <v>L3</v>
      </c>
      <c r="O1702" t="str">
        <f>VLOOKUP($C1702, 고객정보!$A$2:$E$151, 5, FALSE)</f>
        <v>40대</v>
      </c>
      <c r="P1702" t="str">
        <f>VLOOKUP(D1702,상품정보!$A$2:$E$61,2,FALSE)</f>
        <v>반팔 티셔츠</v>
      </c>
      <c r="Q1702" t="str">
        <f>VLOOKUP(D1702,상품정보!$A$2:$D$151,3,FALSE)</f>
        <v>의류</v>
      </c>
      <c r="R1702" t="str">
        <f>VLOOKUP(D1702,상품정보!$A$2:$D$151,4,FALSE)</f>
        <v>브랜드E</v>
      </c>
    </row>
    <row r="1703" spans="1:18" x14ac:dyDescent="0.45">
      <c r="A1703" t="s">
        <v>212</v>
      </c>
      <c r="B1703" t="s">
        <v>2102</v>
      </c>
      <c r="C1703" t="s">
        <v>2449</v>
      </c>
      <c r="D1703" t="s">
        <v>2604</v>
      </c>
      <c r="E1703">
        <v>3</v>
      </c>
      <c r="F1703">
        <v>9700</v>
      </c>
      <c r="G1703">
        <v>500</v>
      </c>
      <c r="H1703">
        <v>0</v>
      </c>
      <c r="I1703" t="s">
        <v>2652</v>
      </c>
      <c r="J1703" s="4">
        <f t="shared" si="78"/>
        <v>29600</v>
      </c>
      <c r="K1703" s="4" t="str">
        <f t="shared" si="79"/>
        <v>2024-03</v>
      </c>
      <c r="L1703" s="4" t="str">
        <f t="shared" si="80"/>
        <v>금</v>
      </c>
      <c r="M1703" s="2" t="str">
        <f>VLOOKUP($C1703, 고객정보!$A$2:$E$151, 2, FALSE)</f>
        <v>대구</v>
      </c>
      <c r="N1703" t="str">
        <f>VLOOKUP(C1703,고객정보!$A$2:$D$151,4,FALSE)</f>
        <v>L5</v>
      </c>
      <c r="O1703" t="str">
        <f>VLOOKUP($C1703, 고객정보!$A$2:$E$151, 5, FALSE)</f>
        <v>40대</v>
      </c>
      <c r="P1703" t="str">
        <f>VLOOKUP(D1703,상품정보!$A$2:$E$61,2,FALSE)</f>
        <v>반팔 티셔츠</v>
      </c>
      <c r="Q1703" t="str">
        <f>VLOOKUP(D1703,상품정보!$A$2:$D$151,3,FALSE)</f>
        <v>의류</v>
      </c>
      <c r="R1703" t="str">
        <f>VLOOKUP(D1703,상품정보!$A$2:$D$151,4,FALSE)</f>
        <v>브랜드E</v>
      </c>
    </row>
    <row r="1704" spans="1:18" x14ac:dyDescent="0.45">
      <c r="A1704" t="s">
        <v>249</v>
      </c>
      <c r="B1704" t="s">
        <v>2103</v>
      </c>
      <c r="C1704" t="s">
        <v>2503</v>
      </c>
      <c r="D1704" t="s">
        <v>2557</v>
      </c>
      <c r="E1704">
        <v>3</v>
      </c>
      <c r="F1704">
        <v>77700</v>
      </c>
      <c r="G1704">
        <v>500</v>
      </c>
      <c r="H1704">
        <v>0</v>
      </c>
      <c r="I1704" t="s">
        <v>2652</v>
      </c>
      <c r="J1704" s="4">
        <f t="shared" si="78"/>
        <v>233600</v>
      </c>
      <c r="K1704" s="4" t="str">
        <f t="shared" si="79"/>
        <v>2024-07</v>
      </c>
      <c r="L1704" s="4" t="str">
        <f t="shared" si="80"/>
        <v>화</v>
      </c>
      <c r="M1704" s="2" t="str">
        <f>VLOOKUP($C1704, 고객정보!$A$2:$E$151, 2, FALSE)</f>
        <v>대전</v>
      </c>
      <c r="N1704" t="str">
        <f>VLOOKUP(C1704,고객정보!$A$2:$D$151,4,FALSE)</f>
        <v>L3</v>
      </c>
      <c r="O1704" t="str">
        <f>VLOOKUP($C1704, 고객정보!$A$2:$E$151, 5, FALSE)</f>
        <v>40대</v>
      </c>
      <c r="P1704" t="str">
        <f>VLOOKUP(D1704,상품정보!$A$2:$E$61,2,FALSE)</f>
        <v>귀걸이</v>
      </c>
      <c r="Q1704" t="str">
        <f>VLOOKUP(D1704,상품정보!$A$2:$D$151,3,FALSE)</f>
        <v>액세서리</v>
      </c>
      <c r="R1704" t="str">
        <f>VLOOKUP(D1704,상품정보!$A$2:$D$151,4,FALSE)</f>
        <v>브랜드B</v>
      </c>
    </row>
    <row r="1705" spans="1:18" x14ac:dyDescent="0.45">
      <c r="A1705" t="s">
        <v>216</v>
      </c>
      <c r="B1705" t="s">
        <v>2104</v>
      </c>
      <c r="C1705" t="s">
        <v>2524</v>
      </c>
      <c r="D1705" t="s">
        <v>2600</v>
      </c>
      <c r="E1705">
        <v>4</v>
      </c>
      <c r="F1705">
        <v>10900</v>
      </c>
      <c r="G1705">
        <v>500</v>
      </c>
      <c r="H1705">
        <v>0</v>
      </c>
      <c r="I1705" t="s">
        <v>2652</v>
      </c>
      <c r="J1705" s="4">
        <f t="shared" si="78"/>
        <v>44100</v>
      </c>
      <c r="K1705" s="4" t="str">
        <f t="shared" si="79"/>
        <v>2025-01</v>
      </c>
      <c r="L1705" s="4" t="str">
        <f t="shared" si="80"/>
        <v>목</v>
      </c>
      <c r="M1705" s="2" t="str">
        <f>VLOOKUP($C1705, 고객정보!$A$2:$E$151, 2, FALSE)</f>
        <v>서울</v>
      </c>
      <c r="N1705" t="str">
        <f>VLOOKUP(C1705,고객정보!$A$2:$D$151,4,FALSE)</f>
        <v>L5</v>
      </c>
      <c r="O1705" t="str">
        <f>VLOOKUP($C1705, 고객정보!$A$2:$E$151, 5, FALSE)</f>
        <v>10대</v>
      </c>
      <c r="P1705" t="str">
        <f>VLOOKUP(D1705,상품정보!$A$2:$E$61,2,FALSE)</f>
        <v>셔츠</v>
      </c>
      <c r="Q1705" t="str">
        <f>VLOOKUP(D1705,상품정보!$A$2:$D$151,3,FALSE)</f>
        <v>의류</v>
      </c>
      <c r="R1705" t="str">
        <f>VLOOKUP(D1705,상품정보!$A$2:$D$151,4,FALSE)</f>
        <v>브랜드E</v>
      </c>
    </row>
    <row r="1706" spans="1:18" x14ac:dyDescent="0.45">
      <c r="A1706" t="s">
        <v>307</v>
      </c>
      <c r="B1706" t="s">
        <v>2105</v>
      </c>
      <c r="C1706" t="s">
        <v>2508</v>
      </c>
      <c r="D1706" t="s">
        <v>2573</v>
      </c>
      <c r="E1706">
        <v>2</v>
      </c>
      <c r="F1706">
        <v>6400</v>
      </c>
      <c r="G1706">
        <v>500</v>
      </c>
      <c r="H1706">
        <v>0</v>
      </c>
      <c r="I1706" t="s">
        <v>2652</v>
      </c>
      <c r="J1706" s="4">
        <f t="shared" si="78"/>
        <v>13300</v>
      </c>
      <c r="K1706" s="4" t="str">
        <f t="shared" si="79"/>
        <v>2024-02</v>
      </c>
      <c r="L1706" s="4" t="str">
        <f t="shared" si="80"/>
        <v>토</v>
      </c>
      <c r="M1706" s="2" t="str">
        <f>VLOOKUP($C1706, 고객정보!$A$2:$E$151, 2, FALSE)</f>
        <v>광주</v>
      </c>
      <c r="N1706" t="str">
        <f>VLOOKUP(C1706,고객정보!$A$2:$D$151,4,FALSE)</f>
        <v>L1</v>
      </c>
      <c r="O1706" t="str">
        <f>VLOOKUP($C1706, 고객정보!$A$2:$E$151, 5, FALSE)</f>
        <v>50대 이상</v>
      </c>
      <c r="P1706" t="str">
        <f>VLOOKUP(D1706,상품정보!$A$2:$E$61,2,FALSE)</f>
        <v>귀걸이</v>
      </c>
      <c r="Q1706" t="str">
        <f>VLOOKUP(D1706,상품정보!$A$2:$D$151,3,FALSE)</f>
        <v>액세서리</v>
      </c>
      <c r="R1706" t="str">
        <f>VLOOKUP(D1706,상품정보!$A$2:$D$151,4,FALSE)</f>
        <v>브랜드E</v>
      </c>
    </row>
    <row r="1707" spans="1:18" x14ac:dyDescent="0.45">
      <c r="A1707" t="s">
        <v>190</v>
      </c>
      <c r="B1707" t="s">
        <v>2106</v>
      </c>
      <c r="C1707" t="s">
        <v>2469</v>
      </c>
      <c r="D1707" t="s">
        <v>2604</v>
      </c>
      <c r="E1707">
        <v>1</v>
      </c>
      <c r="F1707">
        <v>9700</v>
      </c>
      <c r="G1707">
        <v>0</v>
      </c>
      <c r="H1707">
        <v>0</v>
      </c>
      <c r="I1707" t="s">
        <v>2652</v>
      </c>
      <c r="J1707" s="4">
        <f t="shared" si="78"/>
        <v>9700</v>
      </c>
      <c r="K1707" s="4" t="str">
        <f t="shared" si="79"/>
        <v>2025-01</v>
      </c>
      <c r="L1707" s="4" t="str">
        <f t="shared" si="80"/>
        <v>토</v>
      </c>
      <c r="M1707" s="2" t="str">
        <f>VLOOKUP($C1707, 고객정보!$A$2:$E$151, 2, FALSE)</f>
        <v>수원</v>
      </c>
      <c r="N1707" t="str">
        <f>VLOOKUP(C1707,고객정보!$A$2:$D$151,4,FALSE)</f>
        <v>L5</v>
      </c>
      <c r="O1707" t="str">
        <f>VLOOKUP($C1707, 고객정보!$A$2:$E$151, 5, FALSE)</f>
        <v>20대</v>
      </c>
      <c r="P1707" t="str">
        <f>VLOOKUP(D1707,상품정보!$A$2:$E$61,2,FALSE)</f>
        <v>반팔 티셔츠</v>
      </c>
      <c r="Q1707" t="str">
        <f>VLOOKUP(D1707,상품정보!$A$2:$D$151,3,FALSE)</f>
        <v>의류</v>
      </c>
      <c r="R1707" t="str">
        <f>VLOOKUP(D1707,상품정보!$A$2:$D$151,4,FALSE)</f>
        <v>브랜드E</v>
      </c>
    </row>
    <row r="1708" spans="1:18" x14ac:dyDescent="0.45">
      <c r="A1708" t="s">
        <v>361</v>
      </c>
      <c r="B1708" t="s">
        <v>2107</v>
      </c>
      <c r="C1708" t="s">
        <v>2425</v>
      </c>
      <c r="D1708" t="s">
        <v>2560</v>
      </c>
      <c r="E1708">
        <v>5</v>
      </c>
      <c r="F1708">
        <v>60600</v>
      </c>
      <c r="G1708">
        <v>0</v>
      </c>
      <c r="H1708">
        <v>0</v>
      </c>
      <c r="I1708" t="s">
        <v>2652</v>
      </c>
      <c r="J1708" s="4">
        <f t="shared" si="78"/>
        <v>303000</v>
      </c>
      <c r="K1708" s="4" t="str">
        <f t="shared" si="79"/>
        <v>2024-11</v>
      </c>
      <c r="L1708" s="4" t="str">
        <f t="shared" si="80"/>
        <v>토</v>
      </c>
      <c r="M1708" s="2" t="str">
        <f>VLOOKUP($C1708, 고객정보!$A$2:$E$151, 2, FALSE)</f>
        <v>서울</v>
      </c>
      <c r="N1708" t="str">
        <f>VLOOKUP(C1708,고객정보!$A$2:$D$151,4,FALSE)</f>
        <v>L4</v>
      </c>
      <c r="O1708" t="str">
        <f>VLOOKUP($C1708, 고객정보!$A$2:$E$151, 5, FALSE)</f>
        <v>30대</v>
      </c>
      <c r="P1708" t="str">
        <f>VLOOKUP(D1708,상품정보!$A$2:$E$61,2,FALSE)</f>
        <v>반팔 티셔츠</v>
      </c>
      <c r="Q1708" t="str">
        <f>VLOOKUP(D1708,상품정보!$A$2:$D$151,3,FALSE)</f>
        <v>의류</v>
      </c>
      <c r="R1708" t="str">
        <f>VLOOKUP(D1708,상품정보!$A$2:$D$151,4,FALSE)</f>
        <v>브랜드F</v>
      </c>
    </row>
    <row r="1709" spans="1:18" x14ac:dyDescent="0.45">
      <c r="A1709" t="s">
        <v>138</v>
      </c>
      <c r="B1709" t="s">
        <v>2108</v>
      </c>
      <c r="C1709" t="s">
        <v>2405</v>
      </c>
      <c r="D1709" t="s">
        <v>2560</v>
      </c>
      <c r="E1709">
        <v>2</v>
      </c>
      <c r="F1709">
        <v>60600</v>
      </c>
      <c r="G1709">
        <v>0</v>
      </c>
      <c r="H1709">
        <v>0</v>
      </c>
      <c r="I1709" t="s">
        <v>2652</v>
      </c>
      <c r="J1709" s="4">
        <f t="shared" si="78"/>
        <v>121200</v>
      </c>
      <c r="K1709" s="4" t="str">
        <f t="shared" si="79"/>
        <v>2024-04</v>
      </c>
      <c r="L1709" s="4" t="str">
        <f t="shared" si="80"/>
        <v>일</v>
      </c>
      <c r="M1709" s="2" t="str">
        <f>VLOOKUP($C1709, 고객정보!$A$2:$E$151, 2, FALSE)</f>
        <v>부산</v>
      </c>
      <c r="N1709" t="str">
        <f>VLOOKUP(C1709,고객정보!$A$2:$D$151,4,FALSE)</f>
        <v>L3</v>
      </c>
      <c r="O1709" t="str">
        <f>VLOOKUP($C1709, 고객정보!$A$2:$E$151, 5, FALSE)</f>
        <v>40대</v>
      </c>
      <c r="P1709" t="str">
        <f>VLOOKUP(D1709,상품정보!$A$2:$E$61,2,FALSE)</f>
        <v>반팔 티셔츠</v>
      </c>
      <c r="Q1709" t="str">
        <f>VLOOKUP(D1709,상품정보!$A$2:$D$151,3,FALSE)</f>
        <v>의류</v>
      </c>
      <c r="R1709" t="str">
        <f>VLOOKUP(D1709,상품정보!$A$2:$D$151,4,FALSE)</f>
        <v>브랜드F</v>
      </c>
    </row>
    <row r="1710" spans="1:18" x14ac:dyDescent="0.45">
      <c r="A1710" t="s">
        <v>198</v>
      </c>
      <c r="B1710" t="s">
        <v>2109</v>
      </c>
      <c r="C1710" t="s">
        <v>2480</v>
      </c>
      <c r="D1710" t="s">
        <v>2603</v>
      </c>
      <c r="E1710">
        <v>1</v>
      </c>
      <c r="F1710">
        <v>8200</v>
      </c>
      <c r="G1710">
        <v>1000</v>
      </c>
      <c r="H1710">
        <v>0</v>
      </c>
      <c r="I1710" t="s">
        <v>2652</v>
      </c>
      <c r="J1710" s="4">
        <f t="shared" si="78"/>
        <v>9200</v>
      </c>
      <c r="K1710" s="4" t="str">
        <f t="shared" si="79"/>
        <v>2024-12</v>
      </c>
      <c r="L1710" s="4" t="str">
        <f t="shared" si="80"/>
        <v>수</v>
      </c>
      <c r="M1710" s="2" t="str">
        <f>VLOOKUP($C1710, 고객정보!$A$2:$E$151, 2, FALSE)</f>
        <v>서울</v>
      </c>
      <c r="N1710" t="str">
        <f>VLOOKUP(C1710,고객정보!$A$2:$D$151,4,FALSE)</f>
        <v>L1</v>
      </c>
      <c r="O1710" t="str">
        <f>VLOOKUP($C1710, 고객정보!$A$2:$E$151, 5, FALSE)</f>
        <v>20대</v>
      </c>
      <c r="P1710" t="str">
        <f>VLOOKUP(D1710,상품정보!$A$2:$E$61,2,FALSE)</f>
        <v>목걸이</v>
      </c>
      <c r="Q1710" t="str">
        <f>VLOOKUP(D1710,상품정보!$A$2:$D$151,3,FALSE)</f>
        <v>액세서리</v>
      </c>
      <c r="R1710" t="str">
        <f>VLOOKUP(D1710,상품정보!$A$2:$D$151,4,FALSE)</f>
        <v>브랜드E</v>
      </c>
    </row>
    <row r="1711" spans="1:18" x14ac:dyDescent="0.45">
      <c r="A1711" t="s">
        <v>299</v>
      </c>
      <c r="B1711" t="s">
        <v>2110</v>
      </c>
      <c r="C1711" t="s">
        <v>2466</v>
      </c>
      <c r="D1711" t="s">
        <v>2552</v>
      </c>
      <c r="E1711">
        <v>5</v>
      </c>
      <c r="F1711">
        <v>13300</v>
      </c>
      <c r="G1711">
        <v>1000</v>
      </c>
      <c r="H1711">
        <v>0</v>
      </c>
      <c r="I1711" t="s">
        <v>2652</v>
      </c>
      <c r="J1711" s="4">
        <f t="shared" si="78"/>
        <v>67500</v>
      </c>
      <c r="K1711" s="4" t="str">
        <f t="shared" si="79"/>
        <v>2024-11</v>
      </c>
      <c r="L1711" s="4" t="str">
        <f t="shared" si="80"/>
        <v>화</v>
      </c>
      <c r="M1711" s="2" t="str">
        <f>VLOOKUP($C1711, 고객정보!$A$2:$E$151, 2, FALSE)</f>
        <v>부산</v>
      </c>
      <c r="N1711" t="str">
        <f>VLOOKUP(C1711,고객정보!$A$2:$D$151,4,FALSE)</f>
        <v>L2</v>
      </c>
      <c r="O1711" t="str">
        <f>VLOOKUP($C1711, 고객정보!$A$2:$E$151, 5, FALSE)</f>
        <v>50대 이상</v>
      </c>
      <c r="P1711" t="str">
        <f>VLOOKUP(D1711,상품정보!$A$2:$E$61,2,FALSE)</f>
        <v>셔츠</v>
      </c>
      <c r="Q1711" t="str">
        <f>VLOOKUP(D1711,상품정보!$A$2:$D$151,3,FALSE)</f>
        <v>의류</v>
      </c>
      <c r="R1711" t="str">
        <f>VLOOKUP(D1711,상품정보!$A$2:$D$151,4,FALSE)</f>
        <v>브랜드E</v>
      </c>
    </row>
    <row r="1712" spans="1:18" x14ac:dyDescent="0.45">
      <c r="A1712" t="s">
        <v>182</v>
      </c>
      <c r="B1712" t="s">
        <v>2111</v>
      </c>
      <c r="C1712" t="s">
        <v>2550</v>
      </c>
      <c r="D1712" t="s">
        <v>2588</v>
      </c>
      <c r="E1712">
        <v>3</v>
      </c>
      <c r="F1712">
        <v>7700</v>
      </c>
      <c r="G1712">
        <v>1000</v>
      </c>
      <c r="H1712">
        <v>0</v>
      </c>
      <c r="I1712" t="s">
        <v>2652</v>
      </c>
      <c r="J1712" s="4">
        <f t="shared" si="78"/>
        <v>24100</v>
      </c>
      <c r="K1712" s="4" t="str">
        <f t="shared" si="79"/>
        <v>2024-04</v>
      </c>
      <c r="L1712" s="4" t="str">
        <f t="shared" si="80"/>
        <v>목</v>
      </c>
      <c r="M1712" s="2" t="str">
        <f>VLOOKUP($C1712, 고객정보!$A$2:$E$151, 2, FALSE)</f>
        <v>광주</v>
      </c>
      <c r="N1712" t="str">
        <f>VLOOKUP(C1712,고객정보!$A$2:$D$151,4,FALSE)</f>
        <v>L1</v>
      </c>
      <c r="O1712" t="str">
        <f>VLOOKUP($C1712, 고객정보!$A$2:$E$151, 5, FALSE)</f>
        <v>40대</v>
      </c>
      <c r="P1712" t="str">
        <f>VLOOKUP(D1712,상품정보!$A$2:$E$61,2,FALSE)</f>
        <v>귀걸이</v>
      </c>
      <c r="Q1712" t="str">
        <f>VLOOKUP(D1712,상품정보!$A$2:$D$151,3,FALSE)</f>
        <v>액세서리</v>
      </c>
      <c r="R1712" t="str">
        <f>VLOOKUP(D1712,상품정보!$A$2:$D$151,4,FALSE)</f>
        <v>브랜드D</v>
      </c>
    </row>
    <row r="1713" spans="1:18" x14ac:dyDescent="0.45">
      <c r="A1713" t="s">
        <v>278</v>
      </c>
      <c r="B1713" t="s">
        <v>2112</v>
      </c>
      <c r="C1713" t="s">
        <v>2549</v>
      </c>
      <c r="D1713" t="s">
        <v>2583</v>
      </c>
      <c r="E1713">
        <v>4</v>
      </c>
      <c r="F1713">
        <v>6600</v>
      </c>
      <c r="G1713">
        <v>0</v>
      </c>
      <c r="H1713">
        <v>0</v>
      </c>
      <c r="I1713" t="s">
        <v>2652</v>
      </c>
      <c r="J1713" s="4">
        <f t="shared" si="78"/>
        <v>26400</v>
      </c>
      <c r="K1713" s="4" t="str">
        <f t="shared" si="79"/>
        <v>2024-03</v>
      </c>
      <c r="L1713" s="4" t="str">
        <f t="shared" si="80"/>
        <v>월</v>
      </c>
      <c r="M1713" s="2" t="str">
        <f>VLOOKUP($C1713, 고객정보!$A$2:$E$151, 2, FALSE)</f>
        <v>서울</v>
      </c>
      <c r="N1713" t="str">
        <f>VLOOKUP(C1713,고객정보!$A$2:$D$151,4,FALSE)</f>
        <v>L2</v>
      </c>
      <c r="O1713" t="str">
        <f>VLOOKUP($C1713, 고객정보!$A$2:$E$151, 5, FALSE)</f>
        <v>40대</v>
      </c>
      <c r="P1713" t="str">
        <f>VLOOKUP(D1713,상품정보!$A$2:$E$61,2,FALSE)</f>
        <v>셔츠</v>
      </c>
      <c r="Q1713" t="str">
        <f>VLOOKUP(D1713,상품정보!$A$2:$D$151,3,FALSE)</f>
        <v>의류</v>
      </c>
      <c r="R1713" t="str">
        <f>VLOOKUP(D1713,상품정보!$A$2:$D$151,4,FALSE)</f>
        <v>브랜드E</v>
      </c>
    </row>
    <row r="1714" spans="1:18" x14ac:dyDescent="0.45">
      <c r="A1714" t="s">
        <v>315</v>
      </c>
      <c r="B1714" t="s">
        <v>2113</v>
      </c>
      <c r="C1714" t="s">
        <v>2541</v>
      </c>
      <c r="D1714" t="s">
        <v>2555</v>
      </c>
      <c r="E1714">
        <v>2</v>
      </c>
      <c r="F1714">
        <v>8300</v>
      </c>
      <c r="G1714">
        <v>0</v>
      </c>
      <c r="H1714">
        <v>5900</v>
      </c>
      <c r="I1714" t="s">
        <v>2614</v>
      </c>
      <c r="J1714" s="4">
        <f t="shared" si="78"/>
        <v>10700</v>
      </c>
      <c r="K1714" s="4" t="str">
        <f t="shared" si="79"/>
        <v>2024-01</v>
      </c>
      <c r="L1714" s="4" t="str">
        <f t="shared" si="80"/>
        <v>수</v>
      </c>
      <c r="M1714" s="2" t="str">
        <f>VLOOKUP($C1714, 고객정보!$A$2:$E$151, 2, FALSE)</f>
        <v>대구</v>
      </c>
      <c r="N1714" t="str">
        <f>VLOOKUP(C1714,고객정보!$A$2:$D$151,4,FALSE)</f>
        <v>L5</v>
      </c>
      <c r="O1714" t="str">
        <f>VLOOKUP($C1714, 고객정보!$A$2:$E$151, 5, FALSE)</f>
        <v>30대</v>
      </c>
      <c r="P1714" t="str">
        <f>VLOOKUP(D1714,상품정보!$A$2:$E$61,2,FALSE)</f>
        <v>청바지</v>
      </c>
      <c r="Q1714" t="str">
        <f>VLOOKUP(D1714,상품정보!$A$2:$D$151,3,FALSE)</f>
        <v>의류</v>
      </c>
      <c r="R1714" t="str">
        <f>VLOOKUP(D1714,상품정보!$A$2:$D$151,4,FALSE)</f>
        <v>브랜드E</v>
      </c>
    </row>
    <row r="1715" spans="1:18" x14ac:dyDescent="0.45">
      <c r="A1715" t="s">
        <v>177</v>
      </c>
      <c r="B1715" t="s">
        <v>2114</v>
      </c>
      <c r="C1715" t="s">
        <v>2460</v>
      </c>
      <c r="D1715" t="s">
        <v>2557</v>
      </c>
      <c r="E1715">
        <v>1</v>
      </c>
      <c r="F1715">
        <v>77700</v>
      </c>
      <c r="G1715">
        <v>2000</v>
      </c>
      <c r="H1715">
        <v>0</v>
      </c>
      <c r="I1715" t="s">
        <v>2652</v>
      </c>
      <c r="J1715" s="4">
        <f t="shared" si="78"/>
        <v>79700</v>
      </c>
      <c r="K1715" s="4" t="str">
        <f t="shared" si="79"/>
        <v>2024-05</v>
      </c>
      <c r="L1715" s="4" t="str">
        <f t="shared" si="80"/>
        <v>토</v>
      </c>
      <c r="M1715" s="2" t="str">
        <f>VLOOKUP($C1715, 고객정보!$A$2:$E$151, 2, FALSE)</f>
        <v>대전</v>
      </c>
      <c r="N1715" t="str">
        <f>VLOOKUP(C1715,고객정보!$A$2:$D$151,4,FALSE)</f>
        <v>L4</v>
      </c>
      <c r="O1715" t="str">
        <f>VLOOKUP($C1715, 고객정보!$A$2:$E$151, 5, FALSE)</f>
        <v>20대</v>
      </c>
      <c r="P1715" t="str">
        <f>VLOOKUP(D1715,상품정보!$A$2:$E$61,2,FALSE)</f>
        <v>귀걸이</v>
      </c>
      <c r="Q1715" t="str">
        <f>VLOOKUP(D1715,상품정보!$A$2:$D$151,3,FALSE)</f>
        <v>액세서리</v>
      </c>
      <c r="R1715" t="str">
        <f>VLOOKUP(D1715,상품정보!$A$2:$D$151,4,FALSE)</f>
        <v>브랜드B</v>
      </c>
    </row>
    <row r="1716" spans="1:18" x14ac:dyDescent="0.45">
      <c r="A1716" t="s">
        <v>328</v>
      </c>
      <c r="B1716" t="s">
        <v>2115</v>
      </c>
      <c r="C1716" t="s">
        <v>2524</v>
      </c>
      <c r="D1716" t="s">
        <v>2607</v>
      </c>
      <c r="E1716">
        <v>2</v>
      </c>
      <c r="F1716">
        <v>16000</v>
      </c>
      <c r="G1716">
        <v>0</v>
      </c>
      <c r="H1716">
        <v>0</v>
      </c>
      <c r="I1716" t="s">
        <v>2652</v>
      </c>
      <c r="J1716" s="4">
        <f t="shared" si="78"/>
        <v>32000</v>
      </c>
      <c r="K1716" s="4" t="str">
        <f t="shared" si="79"/>
        <v>2025-01</v>
      </c>
      <c r="L1716" s="4" t="str">
        <f t="shared" si="80"/>
        <v>수</v>
      </c>
      <c r="M1716" s="2" t="str">
        <f>VLOOKUP($C1716, 고객정보!$A$2:$E$151, 2, FALSE)</f>
        <v>서울</v>
      </c>
      <c r="N1716" t="str">
        <f>VLOOKUP(C1716,고객정보!$A$2:$D$151,4,FALSE)</f>
        <v>L5</v>
      </c>
      <c r="O1716" t="str">
        <f>VLOOKUP($C1716, 고객정보!$A$2:$E$151, 5, FALSE)</f>
        <v>10대</v>
      </c>
      <c r="P1716" t="str">
        <f>VLOOKUP(D1716,상품정보!$A$2:$E$61,2,FALSE)</f>
        <v>목걸이</v>
      </c>
      <c r="Q1716" t="str">
        <f>VLOOKUP(D1716,상품정보!$A$2:$D$151,3,FALSE)</f>
        <v>액세서리</v>
      </c>
      <c r="R1716" t="str">
        <f>VLOOKUP(D1716,상품정보!$A$2:$D$151,4,FALSE)</f>
        <v>브랜드E</v>
      </c>
    </row>
    <row r="1717" spans="1:18" x14ac:dyDescent="0.45">
      <c r="A1717" t="s">
        <v>199</v>
      </c>
      <c r="B1717" t="s">
        <v>2116</v>
      </c>
      <c r="C1717" t="s">
        <v>2548</v>
      </c>
      <c r="D1717" t="s">
        <v>2571</v>
      </c>
      <c r="E1717">
        <v>2</v>
      </c>
      <c r="F1717">
        <v>55600</v>
      </c>
      <c r="G1717">
        <v>500</v>
      </c>
      <c r="H1717">
        <v>3100</v>
      </c>
      <c r="I1717" t="s">
        <v>2611</v>
      </c>
      <c r="J1717" s="4">
        <f t="shared" si="78"/>
        <v>108600</v>
      </c>
      <c r="K1717" s="4" t="str">
        <f t="shared" si="79"/>
        <v>2024-08</v>
      </c>
      <c r="L1717" s="4" t="str">
        <f t="shared" si="80"/>
        <v>월</v>
      </c>
      <c r="M1717" s="2" t="str">
        <f>VLOOKUP($C1717, 고객정보!$A$2:$E$151, 2, FALSE)</f>
        <v>수원</v>
      </c>
      <c r="N1717" t="str">
        <f>VLOOKUP(C1717,고객정보!$A$2:$D$151,4,FALSE)</f>
        <v>L2</v>
      </c>
      <c r="O1717" t="str">
        <f>VLOOKUP($C1717, 고객정보!$A$2:$E$151, 5, FALSE)</f>
        <v>50대 이상</v>
      </c>
      <c r="P1717" t="str">
        <f>VLOOKUP(D1717,상품정보!$A$2:$E$61,2,FALSE)</f>
        <v>자켓</v>
      </c>
      <c r="Q1717" t="str">
        <f>VLOOKUP(D1717,상품정보!$A$2:$D$151,3,FALSE)</f>
        <v>의류</v>
      </c>
      <c r="R1717" t="str">
        <f>VLOOKUP(D1717,상품정보!$A$2:$D$151,4,FALSE)</f>
        <v>브랜드B</v>
      </c>
    </row>
    <row r="1718" spans="1:18" x14ac:dyDescent="0.45">
      <c r="A1718" t="s">
        <v>86</v>
      </c>
      <c r="B1718" t="s">
        <v>2117</v>
      </c>
      <c r="C1718" t="s">
        <v>2510</v>
      </c>
      <c r="D1718" t="s">
        <v>2606</v>
      </c>
      <c r="E1718">
        <v>3</v>
      </c>
      <c r="F1718">
        <v>15000</v>
      </c>
      <c r="G1718">
        <v>1500</v>
      </c>
      <c r="H1718">
        <v>0</v>
      </c>
      <c r="I1718" t="s">
        <v>2652</v>
      </c>
      <c r="J1718" s="4">
        <f t="shared" si="78"/>
        <v>46500</v>
      </c>
      <c r="K1718" s="4" t="str">
        <f t="shared" si="79"/>
        <v>2024-08</v>
      </c>
      <c r="L1718" s="4" t="str">
        <f t="shared" si="80"/>
        <v>목</v>
      </c>
      <c r="M1718" s="2" t="str">
        <f>VLOOKUP($C1718, 고객정보!$A$2:$E$151, 2, FALSE)</f>
        <v>부산</v>
      </c>
      <c r="N1718" t="str">
        <f>VLOOKUP(C1718,고객정보!$A$2:$D$151,4,FALSE)</f>
        <v>L3</v>
      </c>
      <c r="O1718" t="str">
        <f>VLOOKUP($C1718, 고객정보!$A$2:$E$151, 5, FALSE)</f>
        <v>20대</v>
      </c>
      <c r="P1718" t="str">
        <f>VLOOKUP(D1718,상품정보!$A$2:$E$61,2,FALSE)</f>
        <v>귀걸이</v>
      </c>
      <c r="Q1718" t="str">
        <f>VLOOKUP(D1718,상품정보!$A$2:$D$151,3,FALSE)</f>
        <v>액세서리</v>
      </c>
      <c r="R1718" t="str">
        <f>VLOOKUP(D1718,상품정보!$A$2:$D$151,4,FALSE)</f>
        <v>브랜드E</v>
      </c>
    </row>
    <row r="1719" spans="1:18" x14ac:dyDescent="0.45">
      <c r="A1719" t="s">
        <v>158</v>
      </c>
      <c r="B1719" t="s">
        <v>2118</v>
      </c>
      <c r="C1719" t="s">
        <v>2427</v>
      </c>
      <c r="D1719" t="s">
        <v>2609</v>
      </c>
      <c r="E1719">
        <v>4</v>
      </c>
      <c r="F1719">
        <v>58600</v>
      </c>
      <c r="G1719">
        <v>0</v>
      </c>
      <c r="H1719">
        <v>0</v>
      </c>
      <c r="I1719" t="s">
        <v>2652</v>
      </c>
      <c r="J1719" s="4">
        <f t="shared" si="78"/>
        <v>234400</v>
      </c>
      <c r="K1719" s="4" t="str">
        <f t="shared" si="79"/>
        <v>2024-01</v>
      </c>
      <c r="L1719" s="4" t="str">
        <f t="shared" si="80"/>
        <v>월</v>
      </c>
      <c r="M1719" s="2" t="str">
        <f>VLOOKUP($C1719, 고객정보!$A$2:$E$151, 2, FALSE)</f>
        <v>부산</v>
      </c>
      <c r="N1719" t="str">
        <f>VLOOKUP(C1719,고객정보!$A$2:$D$151,4,FALSE)</f>
        <v>L4</v>
      </c>
      <c r="O1719" t="str">
        <f>VLOOKUP($C1719, 고객정보!$A$2:$E$151, 5, FALSE)</f>
        <v>20대</v>
      </c>
      <c r="P1719" t="str">
        <f>VLOOKUP(D1719,상품정보!$A$2:$E$61,2,FALSE)</f>
        <v>목걸이</v>
      </c>
      <c r="Q1719" t="str">
        <f>VLOOKUP(D1719,상품정보!$A$2:$D$151,3,FALSE)</f>
        <v>액세서리</v>
      </c>
      <c r="R1719" t="str">
        <f>VLOOKUP(D1719,상품정보!$A$2:$D$151,4,FALSE)</f>
        <v>브랜드F</v>
      </c>
    </row>
    <row r="1720" spans="1:18" x14ac:dyDescent="0.45">
      <c r="A1720" t="s">
        <v>311</v>
      </c>
      <c r="B1720" t="s">
        <v>2119</v>
      </c>
      <c r="C1720" t="s">
        <v>2418</v>
      </c>
      <c r="D1720" t="s">
        <v>2586</v>
      </c>
      <c r="E1720">
        <v>3</v>
      </c>
      <c r="F1720">
        <v>73000</v>
      </c>
      <c r="G1720">
        <v>0</v>
      </c>
      <c r="H1720">
        <v>6600</v>
      </c>
      <c r="I1720" t="s">
        <v>2614</v>
      </c>
      <c r="J1720" s="4">
        <f t="shared" si="78"/>
        <v>212400</v>
      </c>
      <c r="K1720" s="4" t="str">
        <f t="shared" si="79"/>
        <v>2024-07</v>
      </c>
      <c r="L1720" s="4" t="str">
        <f t="shared" si="80"/>
        <v>토</v>
      </c>
      <c r="M1720" s="2" t="str">
        <f>VLOOKUP($C1720, 고객정보!$A$2:$E$151, 2, FALSE)</f>
        <v>부산</v>
      </c>
      <c r="N1720" t="str">
        <f>VLOOKUP(C1720,고객정보!$A$2:$D$151,4,FALSE)</f>
        <v>L5</v>
      </c>
      <c r="O1720" t="str">
        <f>VLOOKUP($C1720, 고객정보!$A$2:$E$151, 5, FALSE)</f>
        <v>30대</v>
      </c>
      <c r="P1720" t="str">
        <f>VLOOKUP(D1720,상품정보!$A$2:$E$61,2,FALSE)</f>
        <v>귀걸이</v>
      </c>
      <c r="Q1720" t="str">
        <f>VLOOKUP(D1720,상품정보!$A$2:$D$151,3,FALSE)</f>
        <v>액세서리</v>
      </c>
      <c r="R1720" t="str">
        <f>VLOOKUP(D1720,상품정보!$A$2:$D$151,4,FALSE)</f>
        <v>브랜드B</v>
      </c>
    </row>
    <row r="1721" spans="1:18" x14ac:dyDescent="0.45">
      <c r="A1721" t="s">
        <v>264</v>
      </c>
      <c r="B1721" t="s">
        <v>2120</v>
      </c>
      <c r="C1721" t="s">
        <v>2453</v>
      </c>
      <c r="D1721" t="s">
        <v>2560</v>
      </c>
      <c r="E1721">
        <v>5</v>
      </c>
      <c r="F1721">
        <v>60600</v>
      </c>
      <c r="G1721">
        <v>0</v>
      </c>
      <c r="H1721">
        <v>0</v>
      </c>
      <c r="I1721" t="s">
        <v>2652</v>
      </c>
      <c r="J1721" s="4">
        <f t="shared" si="78"/>
        <v>303000</v>
      </c>
      <c r="K1721" s="4" t="str">
        <f t="shared" si="79"/>
        <v>2024-09</v>
      </c>
      <c r="L1721" s="4" t="str">
        <f t="shared" si="80"/>
        <v>수</v>
      </c>
      <c r="M1721" s="2" t="str">
        <f>VLOOKUP($C1721, 고객정보!$A$2:$E$151, 2, FALSE)</f>
        <v>대구</v>
      </c>
      <c r="N1721" t="str">
        <f>VLOOKUP(C1721,고객정보!$A$2:$D$151,4,FALSE)</f>
        <v>L5</v>
      </c>
      <c r="O1721" t="str">
        <f>VLOOKUP($C1721, 고객정보!$A$2:$E$151, 5, FALSE)</f>
        <v>50대 이상</v>
      </c>
      <c r="P1721" t="str">
        <f>VLOOKUP(D1721,상품정보!$A$2:$E$61,2,FALSE)</f>
        <v>반팔 티셔츠</v>
      </c>
      <c r="Q1721" t="str">
        <f>VLOOKUP(D1721,상품정보!$A$2:$D$151,3,FALSE)</f>
        <v>의류</v>
      </c>
      <c r="R1721" t="str">
        <f>VLOOKUP(D1721,상품정보!$A$2:$D$151,4,FALSE)</f>
        <v>브랜드F</v>
      </c>
    </row>
    <row r="1722" spans="1:18" x14ac:dyDescent="0.45">
      <c r="A1722" t="s">
        <v>58</v>
      </c>
      <c r="B1722" t="s">
        <v>2121</v>
      </c>
      <c r="C1722" t="s">
        <v>2483</v>
      </c>
      <c r="D1722" t="s">
        <v>2578</v>
      </c>
      <c r="E1722">
        <v>1</v>
      </c>
      <c r="F1722">
        <v>78000</v>
      </c>
      <c r="G1722">
        <v>500</v>
      </c>
      <c r="H1722">
        <v>0</v>
      </c>
      <c r="I1722" t="s">
        <v>2652</v>
      </c>
      <c r="J1722" s="4">
        <f t="shared" si="78"/>
        <v>78500</v>
      </c>
      <c r="K1722" s="4" t="str">
        <f t="shared" si="79"/>
        <v>2024-08</v>
      </c>
      <c r="L1722" s="4" t="str">
        <f t="shared" si="80"/>
        <v>월</v>
      </c>
      <c r="M1722" s="2" t="str">
        <f>VLOOKUP($C1722, 고객정보!$A$2:$E$151, 2, FALSE)</f>
        <v>인천</v>
      </c>
      <c r="N1722" t="str">
        <f>VLOOKUP(C1722,고객정보!$A$2:$D$151,4,FALSE)</f>
        <v>L1</v>
      </c>
      <c r="O1722" t="str">
        <f>VLOOKUP($C1722, 고객정보!$A$2:$E$151, 5, FALSE)</f>
        <v>30대</v>
      </c>
      <c r="P1722" t="str">
        <f>VLOOKUP(D1722,상품정보!$A$2:$E$61,2,FALSE)</f>
        <v>귀걸이</v>
      </c>
      <c r="Q1722" t="str">
        <f>VLOOKUP(D1722,상품정보!$A$2:$D$151,3,FALSE)</f>
        <v>액세서리</v>
      </c>
      <c r="R1722" t="str">
        <f>VLOOKUP(D1722,상품정보!$A$2:$D$151,4,FALSE)</f>
        <v>브랜드B</v>
      </c>
    </row>
    <row r="1723" spans="1:18" x14ac:dyDescent="0.45">
      <c r="A1723" t="s">
        <v>8</v>
      </c>
      <c r="B1723" t="s">
        <v>2122</v>
      </c>
      <c r="C1723" t="s">
        <v>2462</v>
      </c>
      <c r="D1723" t="s">
        <v>2602</v>
      </c>
      <c r="E1723">
        <v>1</v>
      </c>
      <c r="F1723">
        <v>59900</v>
      </c>
      <c r="G1723">
        <v>0</v>
      </c>
      <c r="H1723">
        <v>0</v>
      </c>
      <c r="I1723" t="s">
        <v>2652</v>
      </c>
      <c r="J1723" s="4">
        <f t="shared" si="78"/>
        <v>59900</v>
      </c>
      <c r="K1723" s="4" t="str">
        <f t="shared" si="79"/>
        <v>2024-05</v>
      </c>
      <c r="L1723" s="4" t="str">
        <f t="shared" si="80"/>
        <v>일</v>
      </c>
      <c r="M1723" s="2" t="str">
        <f>VLOOKUP($C1723, 고객정보!$A$2:$E$151, 2, FALSE)</f>
        <v>광주</v>
      </c>
      <c r="N1723" t="str">
        <f>VLOOKUP(C1723,고객정보!$A$2:$D$151,4,FALSE)</f>
        <v>L5</v>
      </c>
      <c r="O1723" t="str">
        <f>VLOOKUP($C1723, 고객정보!$A$2:$E$151, 5, FALSE)</f>
        <v>50대 이상</v>
      </c>
      <c r="P1723" t="str">
        <f>VLOOKUP(D1723,상품정보!$A$2:$E$61,2,FALSE)</f>
        <v>셔츠</v>
      </c>
      <c r="Q1723" t="str">
        <f>VLOOKUP(D1723,상품정보!$A$2:$D$151,3,FALSE)</f>
        <v>의류</v>
      </c>
      <c r="R1723" t="str">
        <f>VLOOKUP(D1723,상품정보!$A$2:$D$151,4,FALSE)</f>
        <v>브랜드A</v>
      </c>
    </row>
    <row r="1724" spans="1:18" x14ac:dyDescent="0.45">
      <c r="A1724" t="s">
        <v>119</v>
      </c>
      <c r="B1724" t="s">
        <v>2123</v>
      </c>
      <c r="C1724" t="s">
        <v>2521</v>
      </c>
      <c r="D1724" t="s">
        <v>2561</v>
      </c>
      <c r="E1724">
        <v>4</v>
      </c>
      <c r="F1724">
        <v>63300</v>
      </c>
      <c r="G1724">
        <v>0</v>
      </c>
      <c r="H1724">
        <v>0</v>
      </c>
      <c r="I1724" t="s">
        <v>2652</v>
      </c>
      <c r="J1724" s="4">
        <f t="shared" si="78"/>
        <v>253200</v>
      </c>
      <c r="K1724" s="4" t="str">
        <f t="shared" si="79"/>
        <v>2025-01</v>
      </c>
      <c r="L1724" s="4" t="str">
        <f t="shared" si="80"/>
        <v>토</v>
      </c>
      <c r="M1724" s="2" t="str">
        <f>VLOOKUP($C1724, 고객정보!$A$2:$E$151, 2, FALSE)</f>
        <v>서울</v>
      </c>
      <c r="N1724" t="str">
        <f>VLOOKUP(C1724,고객정보!$A$2:$D$151,4,FALSE)</f>
        <v>L1</v>
      </c>
      <c r="O1724" t="str">
        <f>VLOOKUP($C1724, 고객정보!$A$2:$E$151, 5, FALSE)</f>
        <v>30대</v>
      </c>
      <c r="P1724" t="str">
        <f>VLOOKUP(D1724,상품정보!$A$2:$E$61,2,FALSE)</f>
        <v>귀걸이</v>
      </c>
      <c r="Q1724" t="str">
        <f>VLOOKUP(D1724,상품정보!$A$2:$D$151,3,FALSE)</f>
        <v>액세서리</v>
      </c>
      <c r="R1724" t="str">
        <f>VLOOKUP(D1724,상품정보!$A$2:$D$151,4,FALSE)</f>
        <v>브랜드B</v>
      </c>
    </row>
    <row r="1725" spans="1:18" x14ac:dyDescent="0.45">
      <c r="A1725" t="s">
        <v>169</v>
      </c>
      <c r="B1725" t="s">
        <v>2124</v>
      </c>
      <c r="C1725" t="s">
        <v>2476</v>
      </c>
      <c r="D1725" t="s">
        <v>2562</v>
      </c>
      <c r="E1725">
        <v>4</v>
      </c>
      <c r="F1725">
        <v>15600</v>
      </c>
      <c r="G1725">
        <v>2000</v>
      </c>
      <c r="H1725">
        <v>0</v>
      </c>
      <c r="I1725" t="s">
        <v>2652</v>
      </c>
      <c r="J1725" s="4">
        <f t="shared" si="78"/>
        <v>64400</v>
      </c>
      <c r="K1725" s="4" t="str">
        <f t="shared" si="79"/>
        <v>2024-09</v>
      </c>
      <c r="L1725" s="4" t="str">
        <f t="shared" si="80"/>
        <v>토</v>
      </c>
      <c r="M1725" s="2" t="str">
        <f>VLOOKUP($C1725, 고객정보!$A$2:$E$151, 2, FALSE)</f>
        <v>서울</v>
      </c>
      <c r="N1725" t="str">
        <f>VLOOKUP(C1725,고객정보!$A$2:$D$151,4,FALSE)</f>
        <v>L2</v>
      </c>
      <c r="O1725" t="str">
        <f>VLOOKUP($C1725, 고객정보!$A$2:$E$151, 5, FALSE)</f>
        <v>10대</v>
      </c>
      <c r="P1725" t="str">
        <f>VLOOKUP(D1725,상품정보!$A$2:$E$61,2,FALSE)</f>
        <v>반팔 티셔츠</v>
      </c>
      <c r="Q1725" t="str">
        <f>VLOOKUP(D1725,상품정보!$A$2:$D$151,3,FALSE)</f>
        <v>의류</v>
      </c>
      <c r="R1725" t="str">
        <f>VLOOKUP(D1725,상품정보!$A$2:$D$151,4,FALSE)</f>
        <v>브랜드E</v>
      </c>
    </row>
    <row r="1726" spans="1:18" x14ac:dyDescent="0.45">
      <c r="A1726" t="s">
        <v>281</v>
      </c>
      <c r="B1726" t="s">
        <v>2125</v>
      </c>
      <c r="C1726" t="s">
        <v>2431</v>
      </c>
      <c r="D1726" t="s">
        <v>2555</v>
      </c>
      <c r="E1726">
        <v>3</v>
      </c>
      <c r="F1726">
        <v>8300</v>
      </c>
      <c r="G1726">
        <v>1000</v>
      </c>
      <c r="H1726">
        <v>0</v>
      </c>
      <c r="I1726" t="s">
        <v>2652</v>
      </c>
      <c r="J1726" s="4">
        <f t="shared" si="78"/>
        <v>25900</v>
      </c>
      <c r="K1726" s="4" t="str">
        <f t="shared" si="79"/>
        <v>2024-08</v>
      </c>
      <c r="L1726" s="4" t="str">
        <f t="shared" si="80"/>
        <v>화</v>
      </c>
      <c r="M1726" s="2" t="str">
        <f>VLOOKUP($C1726, 고객정보!$A$2:$E$151, 2, FALSE)</f>
        <v>광주</v>
      </c>
      <c r="N1726" t="str">
        <f>VLOOKUP(C1726,고객정보!$A$2:$D$151,4,FALSE)</f>
        <v>L3</v>
      </c>
      <c r="O1726" t="str">
        <f>VLOOKUP($C1726, 고객정보!$A$2:$E$151, 5, FALSE)</f>
        <v>40대</v>
      </c>
      <c r="P1726" t="str">
        <f>VLOOKUP(D1726,상품정보!$A$2:$E$61,2,FALSE)</f>
        <v>청바지</v>
      </c>
      <c r="Q1726" t="str">
        <f>VLOOKUP(D1726,상품정보!$A$2:$D$151,3,FALSE)</f>
        <v>의류</v>
      </c>
      <c r="R1726" t="str">
        <f>VLOOKUP(D1726,상품정보!$A$2:$D$151,4,FALSE)</f>
        <v>브랜드E</v>
      </c>
    </row>
    <row r="1727" spans="1:18" x14ac:dyDescent="0.45">
      <c r="A1727" t="s">
        <v>294</v>
      </c>
      <c r="B1727" t="s">
        <v>2126</v>
      </c>
      <c r="C1727" t="s">
        <v>2533</v>
      </c>
      <c r="D1727" t="s">
        <v>2584</v>
      </c>
      <c r="E1727">
        <v>3</v>
      </c>
      <c r="F1727">
        <v>59700</v>
      </c>
      <c r="G1727">
        <v>2000</v>
      </c>
      <c r="H1727">
        <v>0</v>
      </c>
      <c r="I1727" t="s">
        <v>2652</v>
      </c>
      <c r="J1727" s="4">
        <f t="shared" si="78"/>
        <v>181100</v>
      </c>
      <c r="K1727" s="4" t="str">
        <f t="shared" si="79"/>
        <v>2024-05</v>
      </c>
      <c r="L1727" s="4" t="str">
        <f t="shared" si="80"/>
        <v>일</v>
      </c>
      <c r="M1727" s="2" t="str">
        <f>VLOOKUP($C1727, 고객정보!$A$2:$E$151, 2, FALSE)</f>
        <v>인천</v>
      </c>
      <c r="N1727" t="str">
        <f>VLOOKUP(C1727,고객정보!$A$2:$D$151,4,FALSE)</f>
        <v>L5</v>
      </c>
      <c r="O1727" t="str">
        <f>VLOOKUP($C1727, 고객정보!$A$2:$E$151, 5, FALSE)</f>
        <v>30대</v>
      </c>
      <c r="P1727" t="str">
        <f>VLOOKUP(D1727,상품정보!$A$2:$E$61,2,FALSE)</f>
        <v>목걸이</v>
      </c>
      <c r="Q1727" t="str">
        <f>VLOOKUP(D1727,상품정보!$A$2:$D$151,3,FALSE)</f>
        <v>액세서리</v>
      </c>
      <c r="R1727" t="str">
        <f>VLOOKUP(D1727,상품정보!$A$2:$D$151,4,FALSE)</f>
        <v>브랜드B</v>
      </c>
    </row>
    <row r="1728" spans="1:18" x14ac:dyDescent="0.45">
      <c r="A1728" t="s">
        <v>225</v>
      </c>
      <c r="B1728" t="s">
        <v>2127</v>
      </c>
      <c r="C1728" t="s">
        <v>2507</v>
      </c>
      <c r="D1728" t="s">
        <v>2566</v>
      </c>
      <c r="E1728">
        <v>4</v>
      </c>
      <c r="F1728">
        <v>60600</v>
      </c>
      <c r="G1728">
        <v>0</v>
      </c>
      <c r="H1728">
        <v>0</v>
      </c>
      <c r="I1728" t="s">
        <v>2652</v>
      </c>
      <c r="J1728" s="4">
        <f t="shared" si="78"/>
        <v>242400</v>
      </c>
      <c r="K1728" s="4" t="str">
        <f t="shared" si="79"/>
        <v>2024-05</v>
      </c>
      <c r="L1728" s="4" t="str">
        <f t="shared" si="80"/>
        <v>목</v>
      </c>
      <c r="M1728" s="2" t="str">
        <f>VLOOKUP($C1728, 고객정보!$A$2:$E$151, 2, FALSE)</f>
        <v>대전</v>
      </c>
      <c r="N1728" t="str">
        <f>VLOOKUP(C1728,고객정보!$A$2:$D$151,4,FALSE)</f>
        <v>L2</v>
      </c>
      <c r="O1728" t="str">
        <f>VLOOKUP($C1728, 고객정보!$A$2:$E$151, 5, FALSE)</f>
        <v>40대</v>
      </c>
      <c r="P1728" t="str">
        <f>VLOOKUP(D1728,상품정보!$A$2:$E$61,2,FALSE)</f>
        <v>반팔 티셔츠</v>
      </c>
      <c r="Q1728" t="str">
        <f>VLOOKUP(D1728,상품정보!$A$2:$D$151,3,FALSE)</f>
        <v>의류</v>
      </c>
      <c r="R1728" t="str">
        <f>VLOOKUP(D1728,상품정보!$A$2:$D$151,4,FALSE)</f>
        <v>브랜드A</v>
      </c>
    </row>
    <row r="1729" spans="1:18" x14ac:dyDescent="0.45">
      <c r="A1729" t="s">
        <v>308</v>
      </c>
      <c r="B1729" t="s">
        <v>2128</v>
      </c>
      <c r="C1729" t="s">
        <v>2455</v>
      </c>
      <c r="D1729" t="s">
        <v>2606</v>
      </c>
      <c r="E1729">
        <v>5</v>
      </c>
      <c r="F1729">
        <v>15000</v>
      </c>
      <c r="G1729">
        <v>500</v>
      </c>
      <c r="H1729">
        <v>6600</v>
      </c>
      <c r="I1729" t="s">
        <v>2613</v>
      </c>
      <c r="J1729" s="4">
        <f t="shared" si="78"/>
        <v>68900</v>
      </c>
      <c r="K1729" s="4" t="str">
        <f t="shared" si="79"/>
        <v>2024-03</v>
      </c>
      <c r="L1729" s="4" t="str">
        <f t="shared" si="80"/>
        <v>수</v>
      </c>
      <c r="M1729" s="2" t="str">
        <f>VLOOKUP($C1729, 고객정보!$A$2:$E$151, 2, FALSE)</f>
        <v>서울</v>
      </c>
      <c r="N1729" t="str">
        <f>VLOOKUP(C1729,고객정보!$A$2:$D$151,4,FALSE)</f>
        <v>L5</v>
      </c>
      <c r="O1729" t="str">
        <f>VLOOKUP($C1729, 고객정보!$A$2:$E$151, 5, FALSE)</f>
        <v>20대</v>
      </c>
      <c r="P1729" t="str">
        <f>VLOOKUP(D1729,상품정보!$A$2:$E$61,2,FALSE)</f>
        <v>귀걸이</v>
      </c>
      <c r="Q1729" t="str">
        <f>VLOOKUP(D1729,상품정보!$A$2:$D$151,3,FALSE)</f>
        <v>액세서리</v>
      </c>
      <c r="R1729" t="str">
        <f>VLOOKUP(D1729,상품정보!$A$2:$D$151,4,FALSE)</f>
        <v>브랜드E</v>
      </c>
    </row>
    <row r="1730" spans="1:18" x14ac:dyDescent="0.45">
      <c r="A1730" t="s">
        <v>38</v>
      </c>
      <c r="B1730" t="s">
        <v>2129</v>
      </c>
      <c r="C1730" t="s">
        <v>2507</v>
      </c>
      <c r="D1730" t="s">
        <v>2569</v>
      </c>
      <c r="E1730">
        <v>4</v>
      </c>
      <c r="F1730">
        <v>11400</v>
      </c>
      <c r="G1730">
        <v>2000</v>
      </c>
      <c r="H1730">
        <v>2700</v>
      </c>
      <c r="I1730" t="s">
        <v>2612</v>
      </c>
      <c r="J1730" s="4">
        <f t="shared" si="78"/>
        <v>44900</v>
      </c>
      <c r="K1730" s="4" t="str">
        <f t="shared" si="79"/>
        <v>2024-02</v>
      </c>
      <c r="L1730" s="4" t="str">
        <f t="shared" si="80"/>
        <v>금</v>
      </c>
      <c r="M1730" s="2" t="str">
        <f>VLOOKUP($C1730, 고객정보!$A$2:$E$151, 2, FALSE)</f>
        <v>대전</v>
      </c>
      <c r="N1730" t="str">
        <f>VLOOKUP(C1730,고객정보!$A$2:$D$151,4,FALSE)</f>
        <v>L2</v>
      </c>
      <c r="O1730" t="str">
        <f>VLOOKUP($C1730, 고객정보!$A$2:$E$151, 5, FALSE)</f>
        <v>40대</v>
      </c>
      <c r="P1730" t="str">
        <f>VLOOKUP(D1730,상품정보!$A$2:$E$61,2,FALSE)</f>
        <v>귀걸이</v>
      </c>
      <c r="Q1730" t="str">
        <f>VLOOKUP(D1730,상품정보!$A$2:$D$151,3,FALSE)</f>
        <v>액세서리</v>
      </c>
      <c r="R1730" t="str">
        <f>VLOOKUP(D1730,상품정보!$A$2:$D$151,4,FALSE)</f>
        <v>브랜드E</v>
      </c>
    </row>
    <row r="1731" spans="1:18" x14ac:dyDescent="0.45">
      <c r="A1731" t="s">
        <v>78</v>
      </c>
      <c r="B1731" t="s">
        <v>2130</v>
      </c>
      <c r="C1731" t="s">
        <v>2519</v>
      </c>
      <c r="D1731" t="s">
        <v>2580</v>
      </c>
      <c r="E1731">
        <v>2</v>
      </c>
      <c r="F1731">
        <v>77800</v>
      </c>
      <c r="G1731">
        <v>0</v>
      </c>
      <c r="H1731">
        <v>0</v>
      </c>
      <c r="I1731" t="s">
        <v>2652</v>
      </c>
      <c r="J1731" s="4">
        <f t="shared" ref="J1731:J1794" si="81">E1731*F1731+G1731-H1731</f>
        <v>155600</v>
      </c>
      <c r="K1731" s="4" t="str">
        <f t="shared" ref="K1731:K1794" si="82">LEFT(A1731,7)</f>
        <v>2024-10</v>
      </c>
      <c r="L1731" s="4" t="str">
        <f t="shared" ref="L1731:L1794" si="83">TEXT(WEEKDAY(A1731),"aaa")</f>
        <v>토</v>
      </c>
      <c r="M1731" s="2" t="str">
        <f>VLOOKUP($C1731, 고객정보!$A$2:$E$151, 2, FALSE)</f>
        <v>서울</v>
      </c>
      <c r="N1731" t="str">
        <f>VLOOKUP(C1731,고객정보!$A$2:$D$151,4,FALSE)</f>
        <v>L4</v>
      </c>
      <c r="O1731" t="str">
        <f>VLOOKUP($C1731, 고객정보!$A$2:$E$151, 5, FALSE)</f>
        <v>20대</v>
      </c>
      <c r="P1731" t="str">
        <f>VLOOKUP(D1731,상품정보!$A$2:$E$61,2,FALSE)</f>
        <v>청바지</v>
      </c>
      <c r="Q1731" t="str">
        <f>VLOOKUP(D1731,상품정보!$A$2:$D$151,3,FALSE)</f>
        <v>의류</v>
      </c>
      <c r="R1731" t="str">
        <f>VLOOKUP(D1731,상품정보!$A$2:$D$151,4,FALSE)</f>
        <v>브랜드A</v>
      </c>
    </row>
    <row r="1732" spans="1:18" x14ac:dyDescent="0.45">
      <c r="A1732" t="s">
        <v>249</v>
      </c>
      <c r="B1732" t="s">
        <v>2131</v>
      </c>
      <c r="C1732" t="s">
        <v>2403</v>
      </c>
      <c r="D1732" t="s">
        <v>2552</v>
      </c>
      <c r="E1732">
        <v>4</v>
      </c>
      <c r="F1732">
        <v>13300</v>
      </c>
      <c r="G1732">
        <v>0</v>
      </c>
      <c r="H1732">
        <v>0</v>
      </c>
      <c r="I1732" t="s">
        <v>2652</v>
      </c>
      <c r="J1732" s="4">
        <f t="shared" si="81"/>
        <v>53200</v>
      </c>
      <c r="K1732" s="4" t="str">
        <f t="shared" si="82"/>
        <v>2024-07</v>
      </c>
      <c r="L1732" s="4" t="str">
        <f t="shared" si="83"/>
        <v>화</v>
      </c>
      <c r="M1732" s="2" t="str">
        <f>VLOOKUP($C1732, 고객정보!$A$2:$E$151, 2, FALSE)</f>
        <v>수원</v>
      </c>
      <c r="N1732" t="str">
        <f>VLOOKUP(C1732,고객정보!$A$2:$D$151,4,FALSE)</f>
        <v>L3</v>
      </c>
      <c r="O1732" t="str">
        <f>VLOOKUP($C1732, 고객정보!$A$2:$E$151, 5, FALSE)</f>
        <v>30대</v>
      </c>
      <c r="P1732" t="str">
        <f>VLOOKUP(D1732,상품정보!$A$2:$E$61,2,FALSE)</f>
        <v>셔츠</v>
      </c>
      <c r="Q1732" t="str">
        <f>VLOOKUP(D1732,상품정보!$A$2:$D$151,3,FALSE)</f>
        <v>의류</v>
      </c>
      <c r="R1732" t="str">
        <f>VLOOKUP(D1732,상품정보!$A$2:$D$151,4,FALSE)</f>
        <v>브랜드E</v>
      </c>
    </row>
    <row r="1733" spans="1:18" x14ac:dyDescent="0.45">
      <c r="A1733" t="s">
        <v>340</v>
      </c>
      <c r="B1733" t="s">
        <v>2132</v>
      </c>
      <c r="C1733" t="s">
        <v>2442</v>
      </c>
      <c r="D1733" t="s">
        <v>2556</v>
      </c>
      <c r="E1733">
        <v>1</v>
      </c>
      <c r="F1733">
        <v>70100</v>
      </c>
      <c r="G1733">
        <v>1000</v>
      </c>
      <c r="H1733">
        <v>0</v>
      </c>
      <c r="I1733" t="s">
        <v>2652</v>
      </c>
      <c r="J1733" s="4">
        <f t="shared" si="81"/>
        <v>71100</v>
      </c>
      <c r="K1733" s="4" t="str">
        <f t="shared" si="82"/>
        <v>2024-04</v>
      </c>
      <c r="L1733" s="4" t="str">
        <f t="shared" si="83"/>
        <v>월</v>
      </c>
      <c r="M1733" s="2" t="str">
        <f>VLOOKUP($C1733, 고객정보!$A$2:$E$151, 2, FALSE)</f>
        <v>부산</v>
      </c>
      <c r="N1733" t="str">
        <f>VLOOKUP(C1733,고객정보!$A$2:$D$151,4,FALSE)</f>
        <v>L1</v>
      </c>
      <c r="O1733" t="str">
        <f>VLOOKUP($C1733, 고객정보!$A$2:$E$151, 5, FALSE)</f>
        <v>40대</v>
      </c>
      <c r="P1733" t="str">
        <f>VLOOKUP(D1733,상품정보!$A$2:$E$61,2,FALSE)</f>
        <v>핸드폰케이스</v>
      </c>
      <c r="Q1733" t="str">
        <f>VLOOKUP(D1733,상품정보!$A$2:$D$151,3,FALSE)</f>
        <v>액세서리</v>
      </c>
      <c r="R1733" t="str">
        <f>VLOOKUP(D1733,상품정보!$A$2:$D$151,4,FALSE)</f>
        <v>브랜드F</v>
      </c>
    </row>
    <row r="1734" spans="1:18" x14ac:dyDescent="0.45">
      <c r="A1734" t="s">
        <v>234</v>
      </c>
      <c r="B1734" t="s">
        <v>2133</v>
      </c>
      <c r="C1734" t="s">
        <v>2462</v>
      </c>
      <c r="D1734" t="s">
        <v>2589</v>
      </c>
      <c r="E1734">
        <v>2</v>
      </c>
      <c r="F1734">
        <v>71400</v>
      </c>
      <c r="G1734">
        <v>1500</v>
      </c>
      <c r="H1734">
        <v>0</v>
      </c>
      <c r="I1734" t="s">
        <v>2652</v>
      </c>
      <c r="J1734" s="4">
        <f t="shared" si="81"/>
        <v>144300</v>
      </c>
      <c r="K1734" s="4" t="str">
        <f t="shared" si="82"/>
        <v>2024-08</v>
      </c>
      <c r="L1734" s="4" t="str">
        <f t="shared" si="83"/>
        <v>화</v>
      </c>
      <c r="M1734" s="2" t="str">
        <f>VLOOKUP($C1734, 고객정보!$A$2:$E$151, 2, FALSE)</f>
        <v>광주</v>
      </c>
      <c r="N1734" t="str">
        <f>VLOOKUP(C1734,고객정보!$A$2:$D$151,4,FALSE)</f>
        <v>L5</v>
      </c>
      <c r="O1734" t="str">
        <f>VLOOKUP($C1734, 고객정보!$A$2:$E$151, 5, FALSE)</f>
        <v>50대 이상</v>
      </c>
      <c r="P1734" t="str">
        <f>VLOOKUP(D1734,상품정보!$A$2:$E$61,2,FALSE)</f>
        <v>셔츠</v>
      </c>
      <c r="Q1734" t="str">
        <f>VLOOKUP(D1734,상품정보!$A$2:$D$151,3,FALSE)</f>
        <v>의류</v>
      </c>
      <c r="R1734" t="str">
        <f>VLOOKUP(D1734,상품정보!$A$2:$D$151,4,FALSE)</f>
        <v>브랜드A</v>
      </c>
    </row>
    <row r="1735" spans="1:18" x14ac:dyDescent="0.45">
      <c r="A1735" t="s">
        <v>174</v>
      </c>
      <c r="B1735" t="s">
        <v>2134</v>
      </c>
      <c r="C1735" t="s">
        <v>2411</v>
      </c>
      <c r="D1735" t="s">
        <v>2605</v>
      </c>
      <c r="E1735">
        <v>3</v>
      </c>
      <c r="F1735">
        <v>6800</v>
      </c>
      <c r="G1735">
        <v>0</v>
      </c>
      <c r="H1735">
        <v>0</v>
      </c>
      <c r="I1735" t="s">
        <v>2652</v>
      </c>
      <c r="J1735" s="4">
        <f t="shared" si="81"/>
        <v>20400</v>
      </c>
      <c r="K1735" s="4" t="str">
        <f t="shared" si="82"/>
        <v>2024-12</v>
      </c>
      <c r="L1735" s="4" t="str">
        <f t="shared" si="83"/>
        <v>금</v>
      </c>
      <c r="M1735" s="2" t="str">
        <f>VLOOKUP($C1735, 고객정보!$A$2:$E$151, 2, FALSE)</f>
        <v>부산</v>
      </c>
      <c r="N1735" t="str">
        <f>VLOOKUP(C1735,고객정보!$A$2:$D$151,4,FALSE)</f>
        <v>L5</v>
      </c>
      <c r="O1735" t="str">
        <f>VLOOKUP($C1735, 고객정보!$A$2:$E$151, 5, FALSE)</f>
        <v>30대</v>
      </c>
      <c r="P1735" t="str">
        <f>VLOOKUP(D1735,상품정보!$A$2:$E$61,2,FALSE)</f>
        <v>핸드폰케이스</v>
      </c>
      <c r="Q1735" t="str">
        <f>VLOOKUP(D1735,상품정보!$A$2:$D$151,3,FALSE)</f>
        <v>액세서리</v>
      </c>
      <c r="R1735" t="str">
        <f>VLOOKUP(D1735,상품정보!$A$2:$D$151,4,FALSE)</f>
        <v>브랜드D</v>
      </c>
    </row>
    <row r="1736" spans="1:18" x14ac:dyDescent="0.45">
      <c r="A1736" t="s">
        <v>38</v>
      </c>
      <c r="B1736" t="s">
        <v>2135</v>
      </c>
      <c r="C1736" t="s">
        <v>2541</v>
      </c>
      <c r="D1736" t="s">
        <v>2588</v>
      </c>
      <c r="E1736">
        <v>1</v>
      </c>
      <c r="F1736">
        <v>7700</v>
      </c>
      <c r="G1736">
        <v>500</v>
      </c>
      <c r="H1736">
        <v>0</v>
      </c>
      <c r="I1736" t="s">
        <v>2652</v>
      </c>
      <c r="J1736" s="4">
        <f t="shared" si="81"/>
        <v>8200</v>
      </c>
      <c r="K1736" s="4" t="str">
        <f t="shared" si="82"/>
        <v>2024-02</v>
      </c>
      <c r="L1736" s="4" t="str">
        <f t="shared" si="83"/>
        <v>금</v>
      </c>
      <c r="M1736" s="2" t="str">
        <f>VLOOKUP($C1736, 고객정보!$A$2:$E$151, 2, FALSE)</f>
        <v>대구</v>
      </c>
      <c r="N1736" t="str">
        <f>VLOOKUP(C1736,고객정보!$A$2:$D$151,4,FALSE)</f>
        <v>L5</v>
      </c>
      <c r="O1736" t="str">
        <f>VLOOKUP($C1736, 고객정보!$A$2:$E$151, 5, FALSE)</f>
        <v>30대</v>
      </c>
      <c r="P1736" t="str">
        <f>VLOOKUP(D1736,상품정보!$A$2:$E$61,2,FALSE)</f>
        <v>귀걸이</v>
      </c>
      <c r="Q1736" t="str">
        <f>VLOOKUP(D1736,상품정보!$A$2:$D$151,3,FALSE)</f>
        <v>액세서리</v>
      </c>
      <c r="R1736" t="str">
        <f>VLOOKUP(D1736,상품정보!$A$2:$D$151,4,FALSE)</f>
        <v>브랜드D</v>
      </c>
    </row>
    <row r="1737" spans="1:18" x14ac:dyDescent="0.45">
      <c r="A1737" t="s">
        <v>388</v>
      </c>
      <c r="B1737" t="s">
        <v>2136</v>
      </c>
      <c r="C1737" t="s">
        <v>2504</v>
      </c>
      <c r="D1737" t="s">
        <v>2588</v>
      </c>
      <c r="E1737">
        <v>4</v>
      </c>
      <c r="F1737">
        <v>7700</v>
      </c>
      <c r="G1737">
        <v>1500</v>
      </c>
      <c r="H1737">
        <v>4300</v>
      </c>
      <c r="I1737" t="s">
        <v>2613</v>
      </c>
      <c r="J1737" s="4">
        <f t="shared" si="81"/>
        <v>28000</v>
      </c>
      <c r="K1737" s="4" t="str">
        <f t="shared" si="82"/>
        <v>2024-11</v>
      </c>
      <c r="L1737" s="4" t="str">
        <f t="shared" si="83"/>
        <v>수</v>
      </c>
      <c r="M1737" s="2" t="str">
        <f>VLOOKUP($C1737, 고객정보!$A$2:$E$151, 2, FALSE)</f>
        <v>서울</v>
      </c>
      <c r="N1737" t="str">
        <f>VLOOKUP(C1737,고객정보!$A$2:$D$151,4,FALSE)</f>
        <v>L1</v>
      </c>
      <c r="O1737" t="str">
        <f>VLOOKUP($C1737, 고객정보!$A$2:$E$151, 5, FALSE)</f>
        <v>40대</v>
      </c>
      <c r="P1737" t="str">
        <f>VLOOKUP(D1737,상품정보!$A$2:$E$61,2,FALSE)</f>
        <v>귀걸이</v>
      </c>
      <c r="Q1737" t="str">
        <f>VLOOKUP(D1737,상품정보!$A$2:$D$151,3,FALSE)</f>
        <v>액세서리</v>
      </c>
      <c r="R1737" t="str">
        <f>VLOOKUP(D1737,상품정보!$A$2:$D$151,4,FALSE)</f>
        <v>브랜드D</v>
      </c>
    </row>
    <row r="1738" spans="1:18" x14ac:dyDescent="0.45">
      <c r="A1738" t="s">
        <v>111</v>
      </c>
      <c r="B1738" t="s">
        <v>2137</v>
      </c>
      <c r="C1738" t="s">
        <v>2415</v>
      </c>
      <c r="D1738" t="s">
        <v>2553</v>
      </c>
      <c r="E1738">
        <v>5</v>
      </c>
      <c r="F1738">
        <v>63400</v>
      </c>
      <c r="G1738">
        <v>1000</v>
      </c>
      <c r="H1738">
        <v>0</v>
      </c>
      <c r="I1738" t="s">
        <v>2652</v>
      </c>
      <c r="J1738" s="4">
        <f t="shared" si="81"/>
        <v>318000</v>
      </c>
      <c r="K1738" s="4" t="str">
        <f t="shared" si="82"/>
        <v>2024-12</v>
      </c>
      <c r="L1738" s="4" t="str">
        <f t="shared" si="83"/>
        <v>토</v>
      </c>
      <c r="M1738" s="2" t="str">
        <f>VLOOKUP($C1738, 고객정보!$A$2:$E$151, 2, FALSE)</f>
        <v>광주</v>
      </c>
      <c r="N1738" t="str">
        <f>VLOOKUP(C1738,고객정보!$A$2:$D$151,4,FALSE)</f>
        <v>L3</v>
      </c>
      <c r="O1738" t="str">
        <f>VLOOKUP($C1738, 고객정보!$A$2:$E$151, 5, FALSE)</f>
        <v>30대</v>
      </c>
      <c r="P1738" t="str">
        <f>VLOOKUP(D1738,상품정보!$A$2:$E$61,2,FALSE)</f>
        <v>귀걸이</v>
      </c>
      <c r="Q1738" t="str">
        <f>VLOOKUP(D1738,상품정보!$A$2:$D$151,3,FALSE)</f>
        <v>액세서리</v>
      </c>
      <c r="R1738" t="str">
        <f>VLOOKUP(D1738,상품정보!$A$2:$D$151,4,FALSE)</f>
        <v>브랜드F</v>
      </c>
    </row>
    <row r="1739" spans="1:18" x14ac:dyDescent="0.45">
      <c r="A1739" t="s">
        <v>361</v>
      </c>
      <c r="B1739" t="s">
        <v>2138</v>
      </c>
      <c r="C1739" t="s">
        <v>2496</v>
      </c>
      <c r="D1739" t="s">
        <v>2586</v>
      </c>
      <c r="E1739">
        <v>5</v>
      </c>
      <c r="F1739">
        <v>73000</v>
      </c>
      <c r="G1739">
        <v>1500</v>
      </c>
      <c r="H1739">
        <v>0</v>
      </c>
      <c r="I1739" t="s">
        <v>2652</v>
      </c>
      <c r="J1739" s="4">
        <f t="shared" si="81"/>
        <v>366500</v>
      </c>
      <c r="K1739" s="4" t="str">
        <f t="shared" si="82"/>
        <v>2024-11</v>
      </c>
      <c r="L1739" s="4" t="str">
        <f t="shared" si="83"/>
        <v>토</v>
      </c>
      <c r="M1739" s="2" t="str">
        <f>VLOOKUP($C1739, 고객정보!$A$2:$E$151, 2, FALSE)</f>
        <v>서울</v>
      </c>
      <c r="N1739" t="str">
        <f>VLOOKUP(C1739,고객정보!$A$2:$D$151,4,FALSE)</f>
        <v>L3</v>
      </c>
      <c r="O1739" t="str">
        <f>VLOOKUP($C1739, 고객정보!$A$2:$E$151, 5, FALSE)</f>
        <v>50대 이상</v>
      </c>
      <c r="P1739" t="str">
        <f>VLOOKUP(D1739,상품정보!$A$2:$E$61,2,FALSE)</f>
        <v>귀걸이</v>
      </c>
      <c r="Q1739" t="str">
        <f>VLOOKUP(D1739,상품정보!$A$2:$D$151,3,FALSE)</f>
        <v>액세서리</v>
      </c>
      <c r="R1739" t="str">
        <f>VLOOKUP(D1739,상품정보!$A$2:$D$151,4,FALSE)</f>
        <v>브랜드B</v>
      </c>
    </row>
    <row r="1740" spans="1:18" x14ac:dyDescent="0.45">
      <c r="A1740" t="s">
        <v>29</v>
      </c>
      <c r="B1740" t="s">
        <v>2139</v>
      </c>
      <c r="C1740" t="s">
        <v>2432</v>
      </c>
      <c r="D1740" t="s">
        <v>2559</v>
      </c>
      <c r="E1740">
        <v>5</v>
      </c>
      <c r="F1740">
        <v>5400</v>
      </c>
      <c r="G1740">
        <v>1000</v>
      </c>
      <c r="H1740">
        <v>0</v>
      </c>
      <c r="I1740" t="s">
        <v>2652</v>
      </c>
      <c r="J1740" s="4">
        <f t="shared" si="81"/>
        <v>28000</v>
      </c>
      <c r="K1740" s="4" t="str">
        <f t="shared" si="82"/>
        <v>2024-07</v>
      </c>
      <c r="L1740" s="4" t="str">
        <f t="shared" si="83"/>
        <v>토</v>
      </c>
      <c r="M1740" s="2" t="str">
        <f>VLOOKUP($C1740, 고객정보!$A$2:$E$151, 2, FALSE)</f>
        <v>서울</v>
      </c>
      <c r="N1740" t="str">
        <f>VLOOKUP(C1740,고객정보!$A$2:$D$151,4,FALSE)</f>
        <v>L5</v>
      </c>
      <c r="O1740" t="str">
        <f>VLOOKUP($C1740, 고객정보!$A$2:$E$151, 5, FALSE)</f>
        <v>20대</v>
      </c>
      <c r="P1740" t="str">
        <f>VLOOKUP(D1740,상품정보!$A$2:$E$61,2,FALSE)</f>
        <v>반지</v>
      </c>
      <c r="Q1740" t="str">
        <f>VLOOKUP(D1740,상품정보!$A$2:$D$151,3,FALSE)</f>
        <v>액세서리</v>
      </c>
      <c r="R1740" t="str">
        <f>VLOOKUP(D1740,상품정보!$A$2:$D$151,4,FALSE)</f>
        <v>브랜드D</v>
      </c>
    </row>
    <row r="1741" spans="1:18" x14ac:dyDescent="0.45">
      <c r="A1741" t="s">
        <v>121</v>
      </c>
      <c r="B1741" t="s">
        <v>2140</v>
      </c>
      <c r="C1741" t="s">
        <v>2473</v>
      </c>
      <c r="D1741" t="s">
        <v>2587</v>
      </c>
      <c r="E1741">
        <v>2</v>
      </c>
      <c r="F1741">
        <v>50200</v>
      </c>
      <c r="G1741">
        <v>0</v>
      </c>
      <c r="H1741">
        <v>0</v>
      </c>
      <c r="I1741" t="s">
        <v>2652</v>
      </c>
      <c r="J1741" s="4">
        <f t="shared" si="81"/>
        <v>100400</v>
      </c>
      <c r="K1741" s="4" t="str">
        <f t="shared" si="82"/>
        <v>2024-06</v>
      </c>
      <c r="L1741" s="4" t="str">
        <f t="shared" si="83"/>
        <v>목</v>
      </c>
      <c r="M1741" s="2" t="str">
        <f>VLOOKUP($C1741, 고객정보!$A$2:$E$151, 2, FALSE)</f>
        <v>수원</v>
      </c>
      <c r="N1741" t="str">
        <f>VLOOKUP(C1741,고객정보!$A$2:$D$151,4,FALSE)</f>
        <v>L3</v>
      </c>
      <c r="O1741" t="str">
        <f>VLOOKUP($C1741, 고객정보!$A$2:$E$151, 5, FALSE)</f>
        <v>50대 이상</v>
      </c>
      <c r="P1741" t="str">
        <f>VLOOKUP(D1741,상품정보!$A$2:$E$61,2,FALSE)</f>
        <v>반지</v>
      </c>
      <c r="Q1741" t="str">
        <f>VLOOKUP(D1741,상품정보!$A$2:$D$151,3,FALSE)</f>
        <v>액세서리</v>
      </c>
      <c r="R1741" t="str">
        <f>VLOOKUP(D1741,상품정보!$A$2:$D$151,4,FALSE)</f>
        <v>브랜드B</v>
      </c>
    </row>
    <row r="1742" spans="1:18" x14ac:dyDescent="0.45">
      <c r="A1742" t="s">
        <v>102</v>
      </c>
      <c r="B1742" t="s">
        <v>2141</v>
      </c>
      <c r="C1742" t="s">
        <v>2500</v>
      </c>
      <c r="D1742" t="s">
        <v>2576</v>
      </c>
      <c r="E1742">
        <v>2</v>
      </c>
      <c r="F1742">
        <v>8800</v>
      </c>
      <c r="G1742">
        <v>0</v>
      </c>
      <c r="H1742">
        <v>1400</v>
      </c>
      <c r="I1742" t="s">
        <v>2612</v>
      </c>
      <c r="J1742" s="4">
        <f t="shared" si="81"/>
        <v>16200</v>
      </c>
      <c r="K1742" s="4" t="str">
        <f t="shared" si="82"/>
        <v>2024-03</v>
      </c>
      <c r="L1742" s="4" t="str">
        <f t="shared" si="83"/>
        <v>일</v>
      </c>
      <c r="M1742" s="2" t="str">
        <f>VLOOKUP($C1742, 고객정보!$A$2:$E$151, 2, FALSE)</f>
        <v>서울</v>
      </c>
      <c r="N1742" t="str">
        <f>VLOOKUP(C1742,고객정보!$A$2:$D$151,4,FALSE)</f>
        <v>L3</v>
      </c>
      <c r="O1742" t="str">
        <f>VLOOKUP($C1742, 고객정보!$A$2:$E$151, 5, FALSE)</f>
        <v>20대</v>
      </c>
      <c r="P1742" t="str">
        <f>VLOOKUP(D1742,상품정보!$A$2:$E$61,2,FALSE)</f>
        <v>핸드폰케이스</v>
      </c>
      <c r="Q1742" t="str">
        <f>VLOOKUP(D1742,상품정보!$A$2:$D$151,3,FALSE)</f>
        <v>액세서리</v>
      </c>
      <c r="R1742" t="str">
        <f>VLOOKUP(D1742,상품정보!$A$2:$D$151,4,FALSE)</f>
        <v>브랜드D</v>
      </c>
    </row>
    <row r="1743" spans="1:18" x14ac:dyDescent="0.45">
      <c r="A1743" t="s">
        <v>13</v>
      </c>
      <c r="B1743" t="s">
        <v>2142</v>
      </c>
      <c r="C1743" t="s">
        <v>2535</v>
      </c>
      <c r="D1743" t="s">
        <v>2604</v>
      </c>
      <c r="E1743">
        <v>1</v>
      </c>
      <c r="F1743">
        <v>9700</v>
      </c>
      <c r="G1743">
        <v>1500</v>
      </c>
      <c r="H1743">
        <v>4000</v>
      </c>
      <c r="I1743" t="s">
        <v>2612</v>
      </c>
      <c r="J1743" s="4">
        <f t="shared" si="81"/>
        <v>7200</v>
      </c>
      <c r="K1743" s="4" t="str">
        <f t="shared" si="82"/>
        <v>2024-08</v>
      </c>
      <c r="L1743" s="4" t="str">
        <f t="shared" si="83"/>
        <v>금</v>
      </c>
      <c r="M1743" s="2" t="str">
        <f>VLOOKUP($C1743, 고객정보!$A$2:$E$151, 2, FALSE)</f>
        <v>서울</v>
      </c>
      <c r="N1743" t="str">
        <f>VLOOKUP(C1743,고객정보!$A$2:$D$151,4,FALSE)</f>
        <v>L2</v>
      </c>
      <c r="O1743" t="str">
        <f>VLOOKUP($C1743, 고객정보!$A$2:$E$151, 5, FALSE)</f>
        <v>10대</v>
      </c>
      <c r="P1743" t="str">
        <f>VLOOKUP(D1743,상품정보!$A$2:$E$61,2,FALSE)</f>
        <v>반팔 티셔츠</v>
      </c>
      <c r="Q1743" t="str">
        <f>VLOOKUP(D1743,상품정보!$A$2:$D$151,3,FALSE)</f>
        <v>의류</v>
      </c>
      <c r="R1743" t="str">
        <f>VLOOKUP(D1743,상품정보!$A$2:$D$151,4,FALSE)</f>
        <v>브랜드E</v>
      </c>
    </row>
    <row r="1744" spans="1:18" x14ac:dyDescent="0.45">
      <c r="A1744" t="s">
        <v>193</v>
      </c>
      <c r="B1744" t="s">
        <v>2143</v>
      </c>
      <c r="C1744" t="s">
        <v>2479</v>
      </c>
      <c r="D1744" t="s">
        <v>2600</v>
      </c>
      <c r="E1744">
        <v>4</v>
      </c>
      <c r="F1744">
        <v>10900</v>
      </c>
      <c r="G1744">
        <v>1000</v>
      </c>
      <c r="H1744">
        <v>6200</v>
      </c>
      <c r="I1744" t="s">
        <v>2614</v>
      </c>
      <c r="J1744" s="4">
        <f t="shared" si="81"/>
        <v>38400</v>
      </c>
      <c r="K1744" s="4" t="str">
        <f t="shared" si="82"/>
        <v>2024-05</v>
      </c>
      <c r="L1744" s="4" t="str">
        <f t="shared" si="83"/>
        <v>월</v>
      </c>
      <c r="M1744" s="2" t="str">
        <f>VLOOKUP($C1744, 고객정보!$A$2:$E$151, 2, FALSE)</f>
        <v>부산</v>
      </c>
      <c r="N1744" t="str">
        <f>VLOOKUP(C1744,고객정보!$A$2:$D$151,4,FALSE)</f>
        <v>L2</v>
      </c>
      <c r="O1744" t="str">
        <f>VLOOKUP($C1744, 고객정보!$A$2:$E$151, 5, FALSE)</f>
        <v>10대</v>
      </c>
      <c r="P1744" t="str">
        <f>VLOOKUP(D1744,상품정보!$A$2:$E$61,2,FALSE)</f>
        <v>셔츠</v>
      </c>
      <c r="Q1744" t="str">
        <f>VLOOKUP(D1744,상품정보!$A$2:$D$151,3,FALSE)</f>
        <v>의류</v>
      </c>
      <c r="R1744" t="str">
        <f>VLOOKUP(D1744,상품정보!$A$2:$D$151,4,FALSE)</f>
        <v>브랜드E</v>
      </c>
    </row>
    <row r="1745" spans="1:18" x14ac:dyDescent="0.45">
      <c r="A1745" t="s">
        <v>293</v>
      </c>
      <c r="B1745" t="s">
        <v>2144</v>
      </c>
      <c r="C1745" t="s">
        <v>2522</v>
      </c>
      <c r="D1745" t="s">
        <v>2580</v>
      </c>
      <c r="E1745">
        <v>2</v>
      </c>
      <c r="F1745">
        <v>77800</v>
      </c>
      <c r="G1745">
        <v>0</v>
      </c>
      <c r="H1745">
        <v>0</v>
      </c>
      <c r="I1745" t="s">
        <v>2652</v>
      </c>
      <c r="J1745" s="4">
        <f t="shared" si="81"/>
        <v>155600</v>
      </c>
      <c r="K1745" s="4" t="str">
        <f t="shared" si="82"/>
        <v>2024-04</v>
      </c>
      <c r="L1745" s="4" t="str">
        <f t="shared" si="83"/>
        <v>토</v>
      </c>
      <c r="M1745" s="2" t="str">
        <f>VLOOKUP($C1745, 고객정보!$A$2:$E$151, 2, FALSE)</f>
        <v>부산</v>
      </c>
      <c r="N1745" t="str">
        <f>VLOOKUP(C1745,고객정보!$A$2:$D$151,4,FALSE)</f>
        <v>L4</v>
      </c>
      <c r="O1745" t="str">
        <f>VLOOKUP($C1745, 고객정보!$A$2:$E$151, 5, FALSE)</f>
        <v>40대</v>
      </c>
      <c r="P1745" t="str">
        <f>VLOOKUP(D1745,상품정보!$A$2:$E$61,2,FALSE)</f>
        <v>청바지</v>
      </c>
      <c r="Q1745" t="str">
        <f>VLOOKUP(D1745,상품정보!$A$2:$D$151,3,FALSE)</f>
        <v>의류</v>
      </c>
      <c r="R1745" t="str">
        <f>VLOOKUP(D1745,상품정보!$A$2:$D$151,4,FALSE)</f>
        <v>브랜드A</v>
      </c>
    </row>
    <row r="1746" spans="1:18" x14ac:dyDescent="0.45">
      <c r="A1746" t="s">
        <v>387</v>
      </c>
      <c r="B1746" t="s">
        <v>2145</v>
      </c>
      <c r="C1746" t="s">
        <v>2490</v>
      </c>
      <c r="D1746" t="s">
        <v>2598</v>
      </c>
      <c r="E1746">
        <v>3</v>
      </c>
      <c r="F1746">
        <v>77300</v>
      </c>
      <c r="G1746">
        <v>500</v>
      </c>
      <c r="H1746">
        <v>0</v>
      </c>
      <c r="I1746" t="s">
        <v>2652</v>
      </c>
      <c r="J1746" s="4">
        <f t="shared" si="81"/>
        <v>232400</v>
      </c>
      <c r="K1746" s="4" t="str">
        <f t="shared" si="82"/>
        <v>2024-01</v>
      </c>
      <c r="L1746" s="4" t="str">
        <f t="shared" si="83"/>
        <v>일</v>
      </c>
      <c r="M1746" s="2" t="str">
        <f>VLOOKUP($C1746, 고객정보!$A$2:$E$151, 2, FALSE)</f>
        <v>부산</v>
      </c>
      <c r="N1746" t="str">
        <f>VLOOKUP(C1746,고객정보!$A$2:$D$151,4,FALSE)</f>
        <v>L3</v>
      </c>
      <c r="O1746" t="str">
        <f>VLOOKUP($C1746, 고객정보!$A$2:$E$151, 5, FALSE)</f>
        <v>20대</v>
      </c>
      <c r="P1746" t="str">
        <f>VLOOKUP(D1746,상품정보!$A$2:$E$61,2,FALSE)</f>
        <v>청바지</v>
      </c>
      <c r="Q1746" t="str">
        <f>VLOOKUP(D1746,상품정보!$A$2:$D$151,3,FALSE)</f>
        <v>의류</v>
      </c>
      <c r="R1746" t="str">
        <f>VLOOKUP(D1746,상품정보!$A$2:$D$151,4,FALSE)</f>
        <v>브랜드F</v>
      </c>
    </row>
    <row r="1747" spans="1:18" x14ac:dyDescent="0.45">
      <c r="A1747" t="s">
        <v>196</v>
      </c>
      <c r="B1747" t="s">
        <v>2146</v>
      </c>
      <c r="C1747" t="s">
        <v>2413</v>
      </c>
      <c r="D1747" t="s">
        <v>2583</v>
      </c>
      <c r="E1747">
        <v>4</v>
      </c>
      <c r="F1747">
        <v>6600</v>
      </c>
      <c r="G1747">
        <v>500</v>
      </c>
      <c r="H1747">
        <v>0</v>
      </c>
      <c r="I1747" t="s">
        <v>2652</v>
      </c>
      <c r="J1747" s="4">
        <f t="shared" si="81"/>
        <v>26900</v>
      </c>
      <c r="K1747" s="4" t="str">
        <f t="shared" si="82"/>
        <v>2024-10</v>
      </c>
      <c r="L1747" s="4" t="str">
        <f t="shared" si="83"/>
        <v>토</v>
      </c>
      <c r="M1747" s="2" t="str">
        <f>VLOOKUP($C1747, 고객정보!$A$2:$E$151, 2, FALSE)</f>
        <v>서울</v>
      </c>
      <c r="N1747" t="str">
        <f>VLOOKUP(C1747,고객정보!$A$2:$D$151,4,FALSE)</f>
        <v>L5</v>
      </c>
      <c r="O1747" t="str">
        <f>VLOOKUP($C1747, 고객정보!$A$2:$E$151, 5, FALSE)</f>
        <v>30대</v>
      </c>
      <c r="P1747" t="str">
        <f>VLOOKUP(D1747,상품정보!$A$2:$E$61,2,FALSE)</f>
        <v>셔츠</v>
      </c>
      <c r="Q1747" t="str">
        <f>VLOOKUP(D1747,상품정보!$A$2:$D$151,3,FALSE)</f>
        <v>의류</v>
      </c>
      <c r="R1747" t="str">
        <f>VLOOKUP(D1747,상품정보!$A$2:$D$151,4,FALSE)</f>
        <v>브랜드E</v>
      </c>
    </row>
    <row r="1748" spans="1:18" x14ac:dyDescent="0.45">
      <c r="A1748" t="s">
        <v>330</v>
      </c>
      <c r="B1748" t="s">
        <v>2147</v>
      </c>
      <c r="C1748" t="s">
        <v>2408</v>
      </c>
      <c r="D1748" t="s">
        <v>2560</v>
      </c>
      <c r="E1748">
        <v>4</v>
      </c>
      <c r="F1748">
        <v>60600</v>
      </c>
      <c r="G1748">
        <v>500</v>
      </c>
      <c r="H1748">
        <v>0</v>
      </c>
      <c r="I1748" t="s">
        <v>2652</v>
      </c>
      <c r="J1748" s="4">
        <f t="shared" si="81"/>
        <v>242900</v>
      </c>
      <c r="K1748" s="4" t="str">
        <f t="shared" si="82"/>
        <v>2024-05</v>
      </c>
      <c r="L1748" s="4" t="str">
        <f t="shared" si="83"/>
        <v>수</v>
      </c>
      <c r="M1748" s="2" t="str">
        <f>VLOOKUP($C1748, 고객정보!$A$2:$E$151, 2, FALSE)</f>
        <v>수원</v>
      </c>
      <c r="N1748" t="str">
        <f>VLOOKUP(C1748,고객정보!$A$2:$D$151,4,FALSE)</f>
        <v>L5</v>
      </c>
      <c r="O1748" t="str">
        <f>VLOOKUP($C1748, 고객정보!$A$2:$E$151, 5, FALSE)</f>
        <v>20대</v>
      </c>
      <c r="P1748" t="str">
        <f>VLOOKUP(D1748,상품정보!$A$2:$E$61,2,FALSE)</f>
        <v>반팔 티셔츠</v>
      </c>
      <c r="Q1748" t="str">
        <f>VLOOKUP(D1748,상품정보!$A$2:$D$151,3,FALSE)</f>
        <v>의류</v>
      </c>
      <c r="R1748" t="str">
        <f>VLOOKUP(D1748,상품정보!$A$2:$D$151,4,FALSE)</f>
        <v>브랜드F</v>
      </c>
    </row>
    <row r="1749" spans="1:18" x14ac:dyDescent="0.45">
      <c r="A1749" t="s">
        <v>234</v>
      </c>
      <c r="B1749" t="s">
        <v>2148</v>
      </c>
      <c r="C1749" t="s">
        <v>2410</v>
      </c>
      <c r="D1749" t="s">
        <v>2589</v>
      </c>
      <c r="E1749">
        <v>4</v>
      </c>
      <c r="F1749">
        <v>71400</v>
      </c>
      <c r="G1749">
        <v>500</v>
      </c>
      <c r="H1749">
        <v>0</v>
      </c>
      <c r="I1749" t="s">
        <v>2652</v>
      </c>
      <c r="J1749" s="4">
        <f t="shared" si="81"/>
        <v>286100</v>
      </c>
      <c r="K1749" s="4" t="str">
        <f t="shared" si="82"/>
        <v>2024-08</v>
      </c>
      <c r="L1749" s="4" t="str">
        <f t="shared" si="83"/>
        <v>화</v>
      </c>
      <c r="M1749" s="2" t="str">
        <f>VLOOKUP($C1749, 고객정보!$A$2:$E$151, 2, FALSE)</f>
        <v>대전</v>
      </c>
      <c r="N1749" t="str">
        <f>VLOOKUP(C1749,고객정보!$A$2:$D$151,4,FALSE)</f>
        <v>L2</v>
      </c>
      <c r="O1749" t="str">
        <f>VLOOKUP($C1749, 고객정보!$A$2:$E$151, 5, FALSE)</f>
        <v>10대</v>
      </c>
      <c r="P1749" t="str">
        <f>VLOOKUP(D1749,상품정보!$A$2:$E$61,2,FALSE)</f>
        <v>셔츠</v>
      </c>
      <c r="Q1749" t="str">
        <f>VLOOKUP(D1749,상품정보!$A$2:$D$151,3,FALSE)</f>
        <v>의류</v>
      </c>
      <c r="R1749" t="str">
        <f>VLOOKUP(D1749,상품정보!$A$2:$D$151,4,FALSE)</f>
        <v>브랜드A</v>
      </c>
    </row>
    <row r="1750" spans="1:18" x14ac:dyDescent="0.45">
      <c r="A1750" t="s">
        <v>359</v>
      </c>
      <c r="B1750" t="s">
        <v>2149</v>
      </c>
      <c r="C1750" t="s">
        <v>2460</v>
      </c>
      <c r="D1750" t="s">
        <v>2556</v>
      </c>
      <c r="E1750">
        <v>1</v>
      </c>
      <c r="F1750">
        <v>70100</v>
      </c>
      <c r="G1750">
        <v>1500</v>
      </c>
      <c r="H1750">
        <v>600</v>
      </c>
      <c r="I1750" t="s">
        <v>2613</v>
      </c>
      <c r="J1750" s="4">
        <f t="shared" si="81"/>
        <v>71000</v>
      </c>
      <c r="K1750" s="4" t="str">
        <f t="shared" si="82"/>
        <v>2024-11</v>
      </c>
      <c r="L1750" s="4" t="str">
        <f t="shared" si="83"/>
        <v>일</v>
      </c>
      <c r="M1750" s="2" t="str">
        <f>VLOOKUP($C1750, 고객정보!$A$2:$E$151, 2, FALSE)</f>
        <v>대전</v>
      </c>
      <c r="N1750" t="str">
        <f>VLOOKUP(C1750,고객정보!$A$2:$D$151,4,FALSE)</f>
        <v>L4</v>
      </c>
      <c r="O1750" t="str">
        <f>VLOOKUP($C1750, 고객정보!$A$2:$E$151, 5, FALSE)</f>
        <v>20대</v>
      </c>
      <c r="P1750" t="str">
        <f>VLOOKUP(D1750,상품정보!$A$2:$E$61,2,FALSE)</f>
        <v>핸드폰케이스</v>
      </c>
      <c r="Q1750" t="str">
        <f>VLOOKUP(D1750,상품정보!$A$2:$D$151,3,FALSE)</f>
        <v>액세서리</v>
      </c>
      <c r="R1750" t="str">
        <f>VLOOKUP(D1750,상품정보!$A$2:$D$151,4,FALSE)</f>
        <v>브랜드F</v>
      </c>
    </row>
    <row r="1751" spans="1:18" x14ac:dyDescent="0.45">
      <c r="A1751" t="s">
        <v>14</v>
      </c>
      <c r="B1751" t="s">
        <v>2150</v>
      </c>
      <c r="C1751" t="s">
        <v>2408</v>
      </c>
      <c r="D1751" t="s">
        <v>2585</v>
      </c>
      <c r="E1751">
        <v>5</v>
      </c>
      <c r="F1751">
        <v>14900</v>
      </c>
      <c r="G1751">
        <v>1000</v>
      </c>
      <c r="H1751">
        <v>0</v>
      </c>
      <c r="I1751" t="s">
        <v>2652</v>
      </c>
      <c r="J1751" s="4">
        <f t="shared" si="81"/>
        <v>75500</v>
      </c>
      <c r="K1751" s="4" t="str">
        <f t="shared" si="82"/>
        <v>2024-05</v>
      </c>
      <c r="L1751" s="4" t="str">
        <f t="shared" si="83"/>
        <v>수</v>
      </c>
      <c r="M1751" s="2" t="str">
        <f>VLOOKUP($C1751, 고객정보!$A$2:$E$151, 2, FALSE)</f>
        <v>수원</v>
      </c>
      <c r="N1751" t="str">
        <f>VLOOKUP(C1751,고객정보!$A$2:$D$151,4,FALSE)</f>
        <v>L5</v>
      </c>
      <c r="O1751" t="str">
        <f>VLOOKUP($C1751, 고객정보!$A$2:$E$151, 5, FALSE)</f>
        <v>20대</v>
      </c>
      <c r="P1751" t="str">
        <f>VLOOKUP(D1751,상품정보!$A$2:$E$61,2,FALSE)</f>
        <v>반팔 티셔츠</v>
      </c>
      <c r="Q1751" t="str">
        <f>VLOOKUP(D1751,상품정보!$A$2:$D$151,3,FALSE)</f>
        <v>의류</v>
      </c>
      <c r="R1751" t="str">
        <f>VLOOKUP(D1751,상품정보!$A$2:$D$151,4,FALSE)</f>
        <v>브랜드C</v>
      </c>
    </row>
    <row r="1752" spans="1:18" x14ac:dyDescent="0.45">
      <c r="A1752" t="s">
        <v>257</v>
      </c>
      <c r="B1752" t="s">
        <v>2151</v>
      </c>
      <c r="C1752" t="s">
        <v>2463</v>
      </c>
      <c r="D1752" t="s">
        <v>2602</v>
      </c>
      <c r="E1752">
        <v>2</v>
      </c>
      <c r="F1752">
        <v>59900</v>
      </c>
      <c r="G1752">
        <v>500</v>
      </c>
      <c r="H1752">
        <v>0</v>
      </c>
      <c r="I1752" t="s">
        <v>2652</v>
      </c>
      <c r="J1752" s="4">
        <f t="shared" si="81"/>
        <v>120300</v>
      </c>
      <c r="K1752" s="4" t="str">
        <f t="shared" si="82"/>
        <v>2024-01</v>
      </c>
      <c r="L1752" s="4" t="str">
        <f t="shared" si="83"/>
        <v>금</v>
      </c>
      <c r="M1752" s="2" t="str">
        <f>VLOOKUP($C1752, 고객정보!$A$2:$E$151, 2, FALSE)</f>
        <v>대구</v>
      </c>
      <c r="N1752" t="str">
        <f>VLOOKUP(C1752,고객정보!$A$2:$D$151,4,FALSE)</f>
        <v>L4</v>
      </c>
      <c r="O1752" t="str">
        <f>VLOOKUP($C1752, 고객정보!$A$2:$E$151, 5, FALSE)</f>
        <v>20대</v>
      </c>
      <c r="P1752" t="str">
        <f>VLOOKUP(D1752,상품정보!$A$2:$E$61,2,FALSE)</f>
        <v>셔츠</v>
      </c>
      <c r="Q1752" t="str">
        <f>VLOOKUP(D1752,상품정보!$A$2:$D$151,3,FALSE)</f>
        <v>의류</v>
      </c>
      <c r="R1752" t="str">
        <f>VLOOKUP(D1752,상품정보!$A$2:$D$151,4,FALSE)</f>
        <v>브랜드A</v>
      </c>
    </row>
    <row r="1753" spans="1:18" x14ac:dyDescent="0.45">
      <c r="A1753" t="s">
        <v>323</v>
      </c>
      <c r="B1753" t="s">
        <v>2152</v>
      </c>
      <c r="C1753" t="s">
        <v>2543</v>
      </c>
      <c r="D1753" t="s">
        <v>2573</v>
      </c>
      <c r="E1753">
        <v>1</v>
      </c>
      <c r="F1753">
        <v>6400</v>
      </c>
      <c r="G1753">
        <v>0</v>
      </c>
      <c r="H1753">
        <v>0</v>
      </c>
      <c r="I1753" t="s">
        <v>2652</v>
      </c>
      <c r="J1753" s="4">
        <f t="shared" si="81"/>
        <v>6400</v>
      </c>
      <c r="K1753" s="4" t="str">
        <f t="shared" si="82"/>
        <v>2024-11</v>
      </c>
      <c r="L1753" s="4" t="str">
        <f t="shared" si="83"/>
        <v>토</v>
      </c>
      <c r="M1753" s="2" t="str">
        <f>VLOOKUP($C1753, 고객정보!$A$2:$E$151, 2, FALSE)</f>
        <v>대구</v>
      </c>
      <c r="N1753" t="str">
        <f>VLOOKUP(C1753,고객정보!$A$2:$D$151,4,FALSE)</f>
        <v>L2</v>
      </c>
      <c r="O1753" t="str">
        <f>VLOOKUP($C1753, 고객정보!$A$2:$E$151, 5, FALSE)</f>
        <v>10대</v>
      </c>
      <c r="P1753" t="str">
        <f>VLOOKUP(D1753,상품정보!$A$2:$E$61,2,FALSE)</f>
        <v>귀걸이</v>
      </c>
      <c r="Q1753" t="str">
        <f>VLOOKUP(D1753,상품정보!$A$2:$D$151,3,FALSE)</f>
        <v>액세서리</v>
      </c>
      <c r="R1753" t="str">
        <f>VLOOKUP(D1753,상품정보!$A$2:$D$151,4,FALSE)</f>
        <v>브랜드E</v>
      </c>
    </row>
    <row r="1754" spans="1:18" x14ac:dyDescent="0.45">
      <c r="A1754" t="s">
        <v>315</v>
      </c>
      <c r="B1754" t="s">
        <v>2153</v>
      </c>
      <c r="C1754" t="s">
        <v>2542</v>
      </c>
      <c r="D1754" t="s">
        <v>2564</v>
      </c>
      <c r="E1754">
        <v>2</v>
      </c>
      <c r="F1754">
        <v>66600</v>
      </c>
      <c r="G1754">
        <v>500</v>
      </c>
      <c r="H1754">
        <v>0</v>
      </c>
      <c r="I1754" t="s">
        <v>2652</v>
      </c>
      <c r="J1754" s="4">
        <f t="shared" si="81"/>
        <v>133700</v>
      </c>
      <c r="K1754" s="4" t="str">
        <f t="shared" si="82"/>
        <v>2024-01</v>
      </c>
      <c r="L1754" s="4" t="str">
        <f t="shared" si="83"/>
        <v>수</v>
      </c>
      <c r="M1754" s="2" t="str">
        <f>VLOOKUP($C1754, 고객정보!$A$2:$E$151, 2, FALSE)</f>
        <v>부산</v>
      </c>
      <c r="N1754" t="str">
        <f>VLOOKUP(C1754,고객정보!$A$2:$D$151,4,FALSE)</f>
        <v>L1</v>
      </c>
      <c r="O1754" t="str">
        <f>VLOOKUP($C1754, 고객정보!$A$2:$E$151, 5, FALSE)</f>
        <v>50대 이상</v>
      </c>
      <c r="P1754" t="str">
        <f>VLOOKUP(D1754,상품정보!$A$2:$E$61,2,FALSE)</f>
        <v>청바지</v>
      </c>
      <c r="Q1754" t="str">
        <f>VLOOKUP(D1754,상품정보!$A$2:$D$151,3,FALSE)</f>
        <v>의류</v>
      </c>
      <c r="R1754" t="str">
        <f>VLOOKUP(D1754,상품정보!$A$2:$D$151,4,FALSE)</f>
        <v>브랜드B</v>
      </c>
    </row>
    <row r="1755" spans="1:18" x14ac:dyDescent="0.45">
      <c r="A1755" t="s">
        <v>189</v>
      </c>
      <c r="B1755" t="s">
        <v>2154</v>
      </c>
      <c r="C1755" t="s">
        <v>2494</v>
      </c>
      <c r="D1755" t="s">
        <v>2569</v>
      </c>
      <c r="E1755">
        <v>5</v>
      </c>
      <c r="F1755">
        <v>11400</v>
      </c>
      <c r="G1755">
        <v>2000</v>
      </c>
      <c r="H1755">
        <v>0</v>
      </c>
      <c r="I1755" t="s">
        <v>2652</v>
      </c>
      <c r="J1755" s="4">
        <f t="shared" si="81"/>
        <v>59000</v>
      </c>
      <c r="K1755" s="4" t="str">
        <f t="shared" si="82"/>
        <v>2024-06</v>
      </c>
      <c r="L1755" s="4" t="str">
        <f t="shared" si="83"/>
        <v>토</v>
      </c>
      <c r="M1755" s="2" t="str">
        <f>VLOOKUP($C1755, 고객정보!$A$2:$E$151, 2, FALSE)</f>
        <v>대구</v>
      </c>
      <c r="N1755" t="str">
        <f>VLOOKUP(C1755,고객정보!$A$2:$D$151,4,FALSE)</f>
        <v>L4</v>
      </c>
      <c r="O1755" t="str">
        <f>VLOOKUP($C1755, 고객정보!$A$2:$E$151, 5, FALSE)</f>
        <v>40대</v>
      </c>
      <c r="P1755" t="str">
        <f>VLOOKUP(D1755,상품정보!$A$2:$E$61,2,FALSE)</f>
        <v>귀걸이</v>
      </c>
      <c r="Q1755" t="str">
        <f>VLOOKUP(D1755,상품정보!$A$2:$D$151,3,FALSE)</f>
        <v>액세서리</v>
      </c>
      <c r="R1755" t="str">
        <f>VLOOKUP(D1755,상품정보!$A$2:$D$151,4,FALSE)</f>
        <v>브랜드E</v>
      </c>
    </row>
    <row r="1756" spans="1:18" x14ac:dyDescent="0.45">
      <c r="A1756" t="s">
        <v>257</v>
      </c>
      <c r="B1756" t="s">
        <v>2155</v>
      </c>
      <c r="C1756" t="s">
        <v>2481</v>
      </c>
      <c r="D1756" t="s">
        <v>2582</v>
      </c>
      <c r="E1756">
        <v>1</v>
      </c>
      <c r="F1756">
        <v>12500</v>
      </c>
      <c r="G1756">
        <v>1000</v>
      </c>
      <c r="H1756">
        <v>7400</v>
      </c>
      <c r="I1756" t="s">
        <v>2611</v>
      </c>
      <c r="J1756" s="4">
        <f t="shared" si="81"/>
        <v>6100</v>
      </c>
      <c r="K1756" s="4" t="str">
        <f t="shared" si="82"/>
        <v>2024-01</v>
      </c>
      <c r="L1756" s="4" t="str">
        <f t="shared" si="83"/>
        <v>금</v>
      </c>
      <c r="M1756" s="2" t="str">
        <f>VLOOKUP($C1756, 고객정보!$A$2:$E$151, 2, FALSE)</f>
        <v>부산</v>
      </c>
      <c r="N1756" t="str">
        <f>VLOOKUP(C1756,고객정보!$A$2:$D$151,4,FALSE)</f>
        <v>L5</v>
      </c>
      <c r="O1756" t="str">
        <f>VLOOKUP($C1756, 고객정보!$A$2:$E$151, 5, FALSE)</f>
        <v>20대</v>
      </c>
      <c r="P1756" t="str">
        <f>VLOOKUP(D1756,상품정보!$A$2:$E$61,2,FALSE)</f>
        <v>셔츠</v>
      </c>
      <c r="Q1756" t="str">
        <f>VLOOKUP(D1756,상품정보!$A$2:$D$151,3,FALSE)</f>
        <v>의류</v>
      </c>
      <c r="R1756" t="str">
        <f>VLOOKUP(D1756,상품정보!$A$2:$D$151,4,FALSE)</f>
        <v>브랜드D</v>
      </c>
    </row>
    <row r="1757" spans="1:18" x14ac:dyDescent="0.45">
      <c r="A1757" t="s">
        <v>94</v>
      </c>
      <c r="B1757" t="s">
        <v>2156</v>
      </c>
      <c r="C1757" t="s">
        <v>2438</v>
      </c>
      <c r="D1757" t="s">
        <v>2592</v>
      </c>
      <c r="E1757">
        <v>2</v>
      </c>
      <c r="F1757">
        <v>72700</v>
      </c>
      <c r="G1757">
        <v>0</v>
      </c>
      <c r="H1757">
        <v>4700</v>
      </c>
      <c r="I1757" t="s">
        <v>2613</v>
      </c>
      <c r="J1757" s="4">
        <f t="shared" si="81"/>
        <v>140700</v>
      </c>
      <c r="K1757" s="4" t="str">
        <f t="shared" si="82"/>
        <v>2024-03</v>
      </c>
      <c r="L1757" s="4" t="str">
        <f t="shared" si="83"/>
        <v>토</v>
      </c>
      <c r="M1757" s="2" t="str">
        <f>VLOOKUP($C1757, 고객정보!$A$2:$E$151, 2, FALSE)</f>
        <v>대구</v>
      </c>
      <c r="N1757" t="str">
        <f>VLOOKUP(C1757,고객정보!$A$2:$D$151,4,FALSE)</f>
        <v>L4</v>
      </c>
      <c r="O1757" t="str">
        <f>VLOOKUP($C1757, 고객정보!$A$2:$E$151, 5, FALSE)</f>
        <v>30대</v>
      </c>
      <c r="P1757" t="str">
        <f>VLOOKUP(D1757,상품정보!$A$2:$E$61,2,FALSE)</f>
        <v>귀걸이</v>
      </c>
      <c r="Q1757" t="str">
        <f>VLOOKUP(D1757,상품정보!$A$2:$D$151,3,FALSE)</f>
        <v>액세서리</v>
      </c>
      <c r="R1757" t="str">
        <f>VLOOKUP(D1757,상품정보!$A$2:$D$151,4,FALSE)</f>
        <v>브랜드A</v>
      </c>
    </row>
    <row r="1758" spans="1:18" x14ac:dyDescent="0.45">
      <c r="A1758" t="s">
        <v>253</v>
      </c>
      <c r="B1758" t="s">
        <v>2157</v>
      </c>
      <c r="C1758" t="s">
        <v>2517</v>
      </c>
      <c r="D1758" t="s">
        <v>2598</v>
      </c>
      <c r="E1758">
        <v>5</v>
      </c>
      <c r="F1758">
        <v>77300</v>
      </c>
      <c r="G1758">
        <v>0</v>
      </c>
      <c r="H1758">
        <v>15900</v>
      </c>
      <c r="I1758" t="s">
        <v>2613</v>
      </c>
      <c r="J1758" s="4">
        <f t="shared" si="81"/>
        <v>370600</v>
      </c>
      <c r="K1758" s="4" t="str">
        <f t="shared" si="82"/>
        <v>2024-10</v>
      </c>
      <c r="L1758" s="4" t="str">
        <f t="shared" si="83"/>
        <v>일</v>
      </c>
      <c r="M1758" s="2" t="str">
        <f>VLOOKUP($C1758, 고객정보!$A$2:$E$151, 2, FALSE)</f>
        <v>서울</v>
      </c>
      <c r="N1758" t="str">
        <f>VLOOKUP(C1758,고객정보!$A$2:$D$151,4,FALSE)</f>
        <v>L4</v>
      </c>
      <c r="O1758" t="str">
        <f>VLOOKUP($C1758, 고객정보!$A$2:$E$151, 5, FALSE)</f>
        <v>20대</v>
      </c>
      <c r="P1758" t="str">
        <f>VLOOKUP(D1758,상품정보!$A$2:$E$61,2,FALSE)</f>
        <v>청바지</v>
      </c>
      <c r="Q1758" t="str">
        <f>VLOOKUP(D1758,상품정보!$A$2:$D$151,3,FALSE)</f>
        <v>의류</v>
      </c>
      <c r="R1758" t="str">
        <f>VLOOKUP(D1758,상품정보!$A$2:$D$151,4,FALSE)</f>
        <v>브랜드F</v>
      </c>
    </row>
    <row r="1759" spans="1:18" x14ac:dyDescent="0.45">
      <c r="A1759" t="s">
        <v>151</v>
      </c>
      <c r="B1759" t="s">
        <v>2158</v>
      </c>
      <c r="C1759" t="s">
        <v>2406</v>
      </c>
      <c r="D1759" t="s">
        <v>2604</v>
      </c>
      <c r="E1759">
        <v>4</v>
      </c>
      <c r="F1759">
        <v>9700</v>
      </c>
      <c r="G1759">
        <v>1000</v>
      </c>
      <c r="H1759">
        <v>0</v>
      </c>
      <c r="I1759" t="s">
        <v>2652</v>
      </c>
      <c r="J1759" s="4">
        <f t="shared" si="81"/>
        <v>39800</v>
      </c>
      <c r="K1759" s="4" t="str">
        <f t="shared" si="82"/>
        <v>2025-01</v>
      </c>
      <c r="L1759" s="4" t="str">
        <f t="shared" si="83"/>
        <v>토</v>
      </c>
      <c r="M1759" s="2" t="str">
        <f>VLOOKUP($C1759, 고객정보!$A$2:$E$151, 2, FALSE)</f>
        <v>부산</v>
      </c>
      <c r="N1759" t="str">
        <f>VLOOKUP(C1759,고객정보!$A$2:$D$151,4,FALSE)</f>
        <v>L5</v>
      </c>
      <c r="O1759" t="str">
        <f>VLOOKUP($C1759, 고객정보!$A$2:$E$151, 5, FALSE)</f>
        <v>30대</v>
      </c>
      <c r="P1759" t="str">
        <f>VLOOKUP(D1759,상품정보!$A$2:$E$61,2,FALSE)</f>
        <v>반팔 티셔츠</v>
      </c>
      <c r="Q1759" t="str">
        <f>VLOOKUP(D1759,상품정보!$A$2:$D$151,3,FALSE)</f>
        <v>의류</v>
      </c>
      <c r="R1759" t="str">
        <f>VLOOKUP(D1759,상품정보!$A$2:$D$151,4,FALSE)</f>
        <v>브랜드E</v>
      </c>
    </row>
    <row r="1760" spans="1:18" x14ac:dyDescent="0.45">
      <c r="A1760" t="s">
        <v>173</v>
      </c>
      <c r="B1760" t="s">
        <v>2159</v>
      </c>
      <c r="C1760" t="s">
        <v>2465</v>
      </c>
      <c r="D1760" t="s">
        <v>2599</v>
      </c>
      <c r="E1760">
        <v>1</v>
      </c>
      <c r="F1760">
        <v>73800</v>
      </c>
      <c r="G1760">
        <v>500</v>
      </c>
      <c r="H1760">
        <v>0</v>
      </c>
      <c r="I1760" t="s">
        <v>2652</v>
      </c>
      <c r="J1760" s="4">
        <f t="shared" si="81"/>
        <v>74300</v>
      </c>
      <c r="K1760" s="4" t="str">
        <f t="shared" si="82"/>
        <v>2024-02</v>
      </c>
      <c r="L1760" s="4" t="str">
        <f t="shared" si="83"/>
        <v>토</v>
      </c>
      <c r="M1760" s="2" t="str">
        <f>VLOOKUP($C1760, 고객정보!$A$2:$E$151, 2, FALSE)</f>
        <v>서울</v>
      </c>
      <c r="N1760" t="str">
        <f>VLOOKUP(C1760,고객정보!$A$2:$D$151,4,FALSE)</f>
        <v>L1</v>
      </c>
      <c r="O1760" t="str">
        <f>VLOOKUP($C1760, 고객정보!$A$2:$E$151, 5, FALSE)</f>
        <v>20대</v>
      </c>
      <c r="P1760" t="str">
        <f>VLOOKUP(D1760,상품정보!$A$2:$E$61,2,FALSE)</f>
        <v>핸드폰케이스</v>
      </c>
      <c r="Q1760" t="str">
        <f>VLOOKUP(D1760,상품정보!$A$2:$D$151,3,FALSE)</f>
        <v>액세서리</v>
      </c>
      <c r="R1760" t="str">
        <f>VLOOKUP(D1760,상품정보!$A$2:$D$151,4,FALSE)</f>
        <v>브랜드F</v>
      </c>
    </row>
    <row r="1761" spans="1:18" x14ac:dyDescent="0.45">
      <c r="A1761" t="s">
        <v>29</v>
      </c>
      <c r="B1761" t="s">
        <v>2160</v>
      </c>
      <c r="C1761" t="s">
        <v>2528</v>
      </c>
      <c r="D1761" t="s">
        <v>2597</v>
      </c>
      <c r="E1761">
        <v>3</v>
      </c>
      <c r="F1761">
        <v>65300</v>
      </c>
      <c r="G1761">
        <v>0</v>
      </c>
      <c r="H1761">
        <v>0</v>
      </c>
      <c r="I1761" t="s">
        <v>2652</v>
      </c>
      <c r="J1761" s="4">
        <f t="shared" si="81"/>
        <v>195900</v>
      </c>
      <c r="K1761" s="4" t="str">
        <f t="shared" si="82"/>
        <v>2024-07</v>
      </c>
      <c r="L1761" s="4" t="str">
        <f t="shared" si="83"/>
        <v>토</v>
      </c>
      <c r="M1761" s="2" t="str">
        <f>VLOOKUP($C1761, 고객정보!$A$2:$E$151, 2, FALSE)</f>
        <v>광주</v>
      </c>
      <c r="N1761" t="str">
        <f>VLOOKUP(C1761,고객정보!$A$2:$D$151,4,FALSE)</f>
        <v>L3</v>
      </c>
      <c r="O1761" t="str">
        <f>VLOOKUP($C1761, 고객정보!$A$2:$E$151, 5, FALSE)</f>
        <v>10대</v>
      </c>
      <c r="P1761" t="str">
        <f>VLOOKUP(D1761,상품정보!$A$2:$E$61,2,FALSE)</f>
        <v>반지</v>
      </c>
      <c r="Q1761" t="str">
        <f>VLOOKUP(D1761,상품정보!$A$2:$D$151,3,FALSE)</f>
        <v>액세서리</v>
      </c>
      <c r="R1761" t="str">
        <f>VLOOKUP(D1761,상품정보!$A$2:$D$151,4,FALSE)</f>
        <v>브랜드F</v>
      </c>
    </row>
    <row r="1762" spans="1:18" x14ac:dyDescent="0.45">
      <c r="A1762" t="s">
        <v>304</v>
      </c>
      <c r="B1762" t="s">
        <v>2161</v>
      </c>
      <c r="C1762" t="s">
        <v>2416</v>
      </c>
      <c r="D1762" t="s">
        <v>2557</v>
      </c>
      <c r="E1762">
        <v>4</v>
      </c>
      <c r="F1762">
        <v>77700</v>
      </c>
      <c r="G1762">
        <v>0</v>
      </c>
      <c r="H1762">
        <v>0</v>
      </c>
      <c r="I1762" t="s">
        <v>2652</v>
      </c>
      <c r="J1762" s="4">
        <f t="shared" si="81"/>
        <v>310800</v>
      </c>
      <c r="K1762" s="4" t="str">
        <f t="shared" si="82"/>
        <v>2024-10</v>
      </c>
      <c r="L1762" s="4" t="str">
        <f t="shared" si="83"/>
        <v>화</v>
      </c>
      <c r="M1762" s="2" t="str">
        <f>VLOOKUP($C1762, 고객정보!$A$2:$E$151, 2, FALSE)</f>
        <v>대구</v>
      </c>
      <c r="N1762" t="str">
        <f>VLOOKUP(C1762,고객정보!$A$2:$D$151,4,FALSE)</f>
        <v>L3</v>
      </c>
      <c r="O1762" t="str">
        <f>VLOOKUP($C1762, 고객정보!$A$2:$E$151, 5, FALSE)</f>
        <v>40대</v>
      </c>
      <c r="P1762" t="str">
        <f>VLOOKUP(D1762,상품정보!$A$2:$E$61,2,FALSE)</f>
        <v>귀걸이</v>
      </c>
      <c r="Q1762" t="str">
        <f>VLOOKUP(D1762,상품정보!$A$2:$D$151,3,FALSE)</f>
        <v>액세서리</v>
      </c>
      <c r="R1762" t="str">
        <f>VLOOKUP(D1762,상품정보!$A$2:$D$151,4,FALSE)</f>
        <v>브랜드B</v>
      </c>
    </row>
    <row r="1763" spans="1:18" x14ac:dyDescent="0.45">
      <c r="A1763" t="s">
        <v>88</v>
      </c>
      <c r="B1763" t="s">
        <v>2162</v>
      </c>
      <c r="C1763" t="s">
        <v>2433</v>
      </c>
      <c r="D1763" t="s">
        <v>2595</v>
      </c>
      <c r="E1763">
        <v>4</v>
      </c>
      <c r="F1763">
        <v>12700</v>
      </c>
      <c r="G1763">
        <v>1000</v>
      </c>
      <c r="H1763">
        <v>5600</v>
      </c>
      <c r="I1763" t="s">
        <v>2611</v>
      </c>
      <c r="J1763" s="4">
        <f t="shared" si="81"/>
        <v>46200</v>
      </c>
      <c r="K1763" s="4" t="str">
        <f t="shared" si="82"/>
        <v>2024-03</v>
      </c>
      <c r="L1763" s="4" t="str">
        <f t="shared" si="83"/>
        <v>토</v>
      </c>
      <c r="M1763" s="2" t="str">
        <f>VLOOKUP($C1763, 고객정보!$A$2:$E$151, 2, FALSE)</f>
        <v>부산</v>
      </c>
      <c r="N1763" t="str">
        <f>VLOOKUP(C1763,고객정보!$A$2:$D$151,4,FALSE)</f>
        <v>L3</v>
      </c>
      <c r="O1763" t="str">
        <f>VLOOKUP($C1763, 고객정보!$A$2:$E$151, 5, FALSE)</f>
        <v>10대</v>
      </c>
      <c r="P1763" t="str">
        <f>VLOOKUP(D1763,상품정보!$A$2:$E$61,2,FALSE)</f>
        <v>반지</v>
      </c>
      <c r="Q1763" t="str">
        <f>VLOOKUP(D1763,상품정보!$A$2:$D$151,3,FALSE)</f>
        <v>액세서리</v>
      </c>
      <c r="R1763" t="str">
        <f>VLOOKUP(D1763,상품정보!$A$2:$D$151,4,FALSE)</f>
        <v>브랜드C</v>
      </c>
    </row>
    <row r="1764" spans="1:18" x14ac:dyDescent="0.45">
      <c r="A1764" t="s">
        <v>204</v>
      </c>
      <c r="B1764" t="s">
        <v>2163</v>
      </c>
      <c r="C1764" t="s">
        <v>2487</v>
      </c>
      <c r="D1764" t="s">
        <v>2606</v>
      </c>
      <c r="E1764">
        <v>3</v>
      </c>
      <c r="F1764">
        <v>15000</v>
      </c>
      <c r="G1764">
        <v>0</v>
      </c>
      <c r="H1764">
        <v>0</v>
      </c>
      <c r="I1764" t="s">
        <v>2652</v>
      </c>
      <c r="J1764" s="4">
        <f t="shared" si="81"/>
        <v>45000</v>
      </c>
      <c r="K1764" s="4" t="str">
        <f t="shared" si="82"/>
        <v>2024-06</v>
      </c>
      <c r="L1764" s="4" t="str">
        <f t="shared" si="83"/>
        <v>월</v>
      </c>
      <c r="M1764" s="2" t="str">
        <f>VLOOKUP($C1764, 고객정보!$A$2:$E$151, 2, FALSE)</f>
        <v>서울</v>
      </c>
      <c r="N1764" t="str">
        <f>VLOOKUP(C1764,고객정보!$A$2:$D$151,4,FALSE)</f>
        <v>L1</v>
      </c>
      <c r="O1764" t="str">
        <f>VLOOKUP($C1764, 고객정보!$A$2:$E$151, 5, FALSE)</f>
        <v>10대</v>
      </c>
      <c r="P1764" t="str">
        <f>VLOOKUP(D1764,상품정보!$A$2:$E$61,2,FALSE)</f>
        <v>귀걸이</v>
      </c>
      <c r="Q1764" t="str">
        <f>VLOOKUP(D1764,상품정보!$A$2:$D$151,3,FALSE)</f>
        <v>액세서리</v>
      </c>
      <c r="R1764" t="str">
        <f>VLOOKUP(D1764,상품정보!$A$2:$D$151,4,FALSE)</f>
        <v>브랜드E</v>
      </c>
    </row>
    <row r="1765" spans="1:18" x14ac:dyDescent="0.45">
      <c r="A1765" t="s">
        <v>100</v>
      </c>
      <c r="B1765" t="s">
        <v>2164</v>
      </c>
      <c r="C1765" t="s">
        <v>2513</v>
      </c>
      <c r="D1765" t="s">
        <v>2592</v>
      </c>
      <c r="E1765">
        <v>5</v>
      </c>
      <c r="F1765">
        <v>72700</v>
      </c>
      <c r="G1765">
        <v>500</v>
      </c>
      <c r="H1765">
        <v>0</v>
      </c>
      <c r="I1765" t="s">
        <v>2652</v>
      </c>
      <c r="J1765" s="4">
        <f t="shared" si="81"/>
        <v>364000</v>
      </c>
      <c r="K1765" s="4" t="str">
        <f t="shared" si="82"/>
        <v>2024-04</v>
      </c>
      <c r="L1765" s="4" t="str">
        <f t="shared" si="83"/>
        <v>수</v>
      </c>
      <c r="M1765" s="2" t="str">
        <f>VLOOKUP($C1765, 고객정보!$A$2:$E$151, 2, FALSE)</f>
        <v>수원</v>
      </c>
      <c r="N1765" t="str">
        <f>VLOOKUP(C1765,고객정보!$A$2:$D$151,4,FALSE)</f>
        <v>L5</v>
      </c>
      <c r="O1765" t="str">
        <f>VLOOKUP($C1765, 고객정보!$A$2:$E$151, 5, FALSE)</f>
        <v>20대</v>
      </c>
      <c r="P1765" t="str">
        <f>VLOOKUP(D1765,상품정보!$A$2:$E$61,2,FALSE)</f>
        <v>귀걸이</v>
      </c>
      <c r="Q1765" t="str">
        <f>VLOOKUP(D1765,상품정보!$A$2:$D$151,3,FALSE)</f>
        <v>액세서리</v>
      </c>
      <c r="R1765" t="str">
        <f>VLOOKUP(D1765,상품정보!$A$2:$D$151,4,FALSE)</f>
        <v>브랜드A</v>
      </c>
    </row>
    <row r="1766" spans="1:18" x14ac:dyDescent="0.45">
      <c r="A1766" t="s">
        <v>67</v>
      </c>
      <c r="B1766" t="s">
        <v>2165</v>
      </c>
      <c r="C1766" t="s">
        <v>2420</v>
      </c>
      <c r="D1766" t="s">
        <v>2598</v>
      </c>
      <c r="E1766">
        <v>1</v>
      </c>
      <c r="F1766">
        <v>77300</v>
      </c>
      <c r="G1766">
        <v>1500</v>
      </c>
      <c r="H1766">
        <v>0</v>
      </c>
      <c r="I1766" t="s">
        <v>2652</v>
      </c>
      <c r="J1766" s="4">
        <f t="shared" si="81"/>
        <v>78800</v>
      </c>
      <c r="K1766" s="4" t="str">
        <f t="shared" si="82"/>
        <v>2024-02</v>
      </c>
      <c r="L1766" s="4" t="str">
        <f t="shared" si="83"/>
        <v>일</v>
      </c>
      <c r="M1766" s="2" t="str">
        <f>VLOOKUP($C1766, 고객정보!$A$2:$E$151, 2, FALSE)</f>
        <v>대전</v>
      </c>
      <c r="N1766" t="str">
        <f>VLOOKUP(C1766,고객정보!$A$2:$D$151,4,FALSE)</f>
        <v>L3</v>
      </c>
      <c r="O1766" t="str">
        <f>VLOOKUP($C1766, 고객정보!$A$2:$E$151, 5, FALSE)</f>
        <v>30대</v>
      </c>
      <c r="P1766" t="str">
        <f>VLOOKUP(D1766,상품정보!$A$2:$E$61,2,FALSE)</f>
        <v>청바지</v>
      </c>
      <c r="Q1766" t="str">
        <f>VLOOKUP(D1766,상품정보!$A$2:$D$151,3,FALSE)</f>
        <v>의류</v>
      </c>
      <c r="R1766" t="str">
        <f>VLOOKUP(D1766,상품정보!$A$2:$D$151,4,FALSE)</f>
        <v>브랜드F</v>
      </c>
    </row>
    <row r="1767" spans="1:18" x14ac:dyDescent="0.45">
      <c r="A1767" t="s">
        <v>165</v>
      </c>
      <c r="B1767" t="s">
        <v>2166</v>
      </c>
      <c r="C1767" t="s">
        <v>2453</v>
      </c>
      <c r="D1767" t="s">
        <v>2586</v>
      </c>
      <c r="E1767">
        <v>5</v>
      </c>
      <c r="F1767">
        <v>73000</v>
      </c>
      <c r="G1767">
        <v>1500</v>
      </c>
      <c r="H1767">
        <v>0</v>
      </c>
      <c r="I1767" t="s">
        <v>2652</v>
      </c>
      <c r="J1767" s="4">
        <f t="shared" si="81"/>
        <v>366500</v>
      </c>
      <c r="K1767" s="4" t="str">
        <f t="shared" si="82"/>
        <v>2024-02</v>
      </c>
      <c r="L1767" s="4" t="str">
        <f t="shared" si="83"/>
        <v>수</v>
      </c>
      <c r="M1767" s="2" t="str">
        <f>VLOOKUP($C1767, 고객정보!$A$2:$E$151, 2, FALSE)</f>
        <v>대구</v>
      </c>
      <c r="N1767" t="str">
        <f>VLOOKUP(C1767,고객정보!$A$2:$D$151,4,FALSE)</f>
        <v>L5</v>
      </c>
      <c r="O1767" t="str">
        <f>VLOOKUP($C1767, 고객정보!$A$2:$E$151, 5, FALSE)</f>
        <v>50대 이상</v>
      </c>
      <c r="P1767" t="str">
        <f>VLOOKUP(D1767,상품정보!$A$2:$E$61,2,FALSE)</f>
        <v>귀걸이</v>
      </c>
      <c r="Q1767" t="str">
        <f>VLOOKUP(D1767,상품정보!$A$2:$D$151,3,FALSE)</f>
        <v>액세서리</v>
      </c>
      <c r="R1767" t="str">
        <f>VLOOKUP(D1767,상품정보!$A$2:$D$151,4,FALSE)</f>
        <v>브랜드B</v>
      </c>
    </row>
    <row r="1768" spans="1:18" x14ac:dyDescent="0.45">
      <c r="A1768" t="s">
        <v>139</v>
      </c>
      <c r="B1768" t="s">
        <v>2167</v>
      </c>
      <c r="C1768" t="s">
        <v>2545</v>
      </c>
      <c r="D1768" t="s">
        <v>2586</v>
      </c>
      <c r="E1768">
        <v>5</v>
      </c>
      <c r="F1768">
        <v>73000</v>
      </c>
      <c r="G1768">
        <v>0</v>
      </c>
      <c r="H1768">
        <v>11700</v>
      </c>
      <c r="I1768" t="s">
        <v>2614</v>
      </c>
      <c r="J1768" s="4">
        <f t="shared" si="81"/>
        <v>353300</v>
      </c>
      <c r="K1768" s="4" t="str">
        <f t="shared" si="82"/>
        <v>2024-12</v>
      </c>
      <c r="L1768" s="4" t="str">
        <f t="shared" si="83"/>
        <v>금</v>
      </c>
      <c r="M1768" s="2" t="str">
        <f>VLOOKUP($C1768, 고객정보!$A$2:$E$151, 2, FALSE)</f>
        <v>서울</v>
      </c>
      <c r="N1768" t="str">
        <f>VLOOKUP(C1768,고객정보!$A$2:$D$151,4,FALSE)</f>
        <v>L4</v>
      </c>
      <c r="O1768" t="str">
        <f>VLOOKUP($C1768, 고객정보!$A$2:$E$151, 5, FALSE)</f>
        <v>30대</v>
      </c>
      <c r="P1768" t="str">
        <f>VLOOKUP(D1768,상품정보!$A$2:$E$61,2,FALSE)</f>
        <v>귀걸이</v>
      </c>
      <c r="Q1768" t="str">
        <f>VLOOKUP(D1768,상품정보!$A$2:$D$151,3,FALSE)</f>
        <v>액세서리</v>
      </c>
      <c r="R1768" t="str">
        <f>VLOOKUP(D1768,상품정보!$A$2:$D$151,4,FALSE)</f>
        <v>브랜드B</v>
      </c>
    </row>
    <row r="1769" spans="1:18" x14ac:dyDescent="0.45">
      <c r="A1769" t="s">
        <v>132</v>
      </c>
      <c r="B1769" t="s">
        <v>2168</v>
      </c>
      <c r="C1769" t="s">
        <v>2547</v>
      </c>
      <c r="D1769" t="s">
        <v>2609</v>
      </c>
      <c r="E1769">
        <v>5</v>
      </c>
      <c r="F1769">
        <v>58600</v>
      </c>
      <c r="G1769">
        <v>0</v>
      </c>
      <c r="H1769">
        <v>0</v>
      </c>
      <c r="I1769" t="s">
        <v>2652</v>
      </c>
      <c r="J1769" s="4">
        <f t="shared" si="81"/>
        <v>293000</v>
      </c>
      <c r="K1769" s="4" t="str">
        <f t="shared" si="82"/>
        <v>2024-06</v>
      </c>
      <c r="L1769" s="4" t="str">
        <f t="shared" si="83"/>
        <v>화</v>
      </c>
      <c r="M1769" s="2" t="str">
        <f>VLOOKUP($C1769, 고객정보!$A$2:$E$151, 2, FALSE)</f>
        <v>광주</v>
      </c>
      <c r="N1769" t="str">
        <f>VLOOKUP(C1769,고객정보!$A$2:$D$151,4,FALSE)</f>
        <v>L2</v>
      </c>
      <c r="O1769" t="str">
        <f>VLOOKUP($C1769, 고객정보!$A$2:$E$151, 5, FALSE)</f>
        <v>20대</v>
      </c>
      <c r="P1769" t="str">
        <f>VLOOKUP(D1769,상품정보!$A$2:$E$61,2,FALSE)</f>
        <v>목걸이</v>
      </c>
      <c r="Q1769" t="str">
        <f>VLOOKUP(D1769,상품정보!$A$2:$D$151,3,FALSE)</f>
        <v>액세서리</v>
      </c>
      <c r="R1769" t="str">
        <f>VLOOKUP(D1769,상품정보!$A$2:$D$151,4,FALSE)</f>
        <v>브랜드F</v>
      </c>
    </row>
    <row r="1770" spans="1:18" x14ac:dyDescent="0.45">
      <c r="A1770" t="s">
        <v>374</v>
      </c>
      <c r="B1770" t="s">
        <v>2169</v>
      </c>
      <c r="C1770" t="s">
        <v>2482</v>
      </c>
      <c r="D1770" t="s">
        <v>2578</v>
      </c>
      <c r="E1770">
        <v>5</v>
      </c>
      <c r="F1770">
        <v>78000</v>
      </c>
      <c r="G1770">
        <v>0</v>
      </c>
      <c r="H1770">
        <v>0</v>
      </c>
      <c r="I1770" t="s">
        <v>2652</v>
      </c>
      <c r="J1770" s="4">
        <f t="shared" si="81"/>
        <v>390000</v>
      </c>
      <c r="K1770" s="4" t="str">
        <f t="shared" si="82"/>
        <v>2024-11</v>
      </c>
      <c r="L1770" s="4" t="str">
        <f t="shared" si="83"/>
        <v>금</v>
      </c>
      <c r="M1770" s="2" t="str">
        <f>VLOOKUP($C1770, 고객정보!$A$2:$E$151, 2, FALSE)</f>
        <v>서울</v>
      </c>
      <c r="N1770" t="str">
        <f>VLOOKUP(C1770,고객정보!$A$2:$D$151,4,FALSE)</f>
        <v>L2</v>
      </c>
      <c r="O1770" t="str">
        <f>VLOOKUP($C1770, 고객정보!$A$2:$E$151, 5, FALSE)</f>
        <v>30대</v>
      </c>
      <c r="P1770" t="str">
        <f>VLOOKUP(D1770,상품정보!$A$2:$E$61,2,FALSE)</f>
        <v>귀걸이</v>
      </c>
      <c r="Q1770" t="str">
        <f>VLOOKUP(D1770,상품정보!$A$2:$D$151,3,FALSE)</f>
        <v>액세서리</v>
      </c>
      <c r="R1770" t="str">
        <f>VLOOKUP(D1770,상품정보!$A$2:$D$151,4,FALSE)</f>
        <v>브랜드B</v>
      </c>
    </row>
    <row r="1771" spans="1:18" x14ac:dyDescent="0.45">
      <c r="A1771" t="s">
        <v>297</v>
      </c>
      <c r="B1771" t="s">
        <v>2170</v>
      </c>
      <c r="C1771" t="s">
        <v>2498</v>
      </c>
      <c r="D1771" t="s">
        <v>2568</v>
      </c>
      <c r="E1771">
        <v>2</v>
      </c>
      <c r="F1771">
        <v>16800</v>
      </c>
      <c r="G1771">
        <v>1500</v>
      </c>
      <c r="H1771">
        <v>0</v>
      </c>
      <c r="I1771" t="s">
        <v>2652</v>
      </c>
      <c r="J1771" s="4">
        <f t="shared" si="81"/>
        <v>35100</v>
      </c>
      <c r="K1771" s="4" t="str">
        <f t="shared" si="82"/>
        <v>2024-11</v>
      </c>
      <c r="L1771" s="4" t="str">
        <f t="shared" si="83"/>
        <v>일</v>
      </c>
      <c r="M1771" s="2" t="str">
        <f>VLOOKUP($C1771, 고객정보!$A$2:$E$151, 2, FALSE)</f>
        <v>서울</v>
      </c>
      <c r="N1771" t="str">
        <f>VLOOKUP(C1771,고객정보!$A$2:$D$151,4,FALSE)</f>
        <v>L3</v>
      </c>
      <c r="O1771" t="str">
        <f>VLOOKUP($C1771, 고객정보!$A$2:$E$151, 5, FALSE)</f>
        <v>30대</v>
      </c>
      <c r="P1771" t="str">
        <f>VLOOKUP(D1771,상품정보!$A$2:$E$61,2,FALSE)</f>
        <v>청바지</v>
      </c>
      <c r="Q1771" t="str">
        <f>VLOOKUP(D1771,상품정보!$A$2:$D$151,3,FALSE)</f>
        <v>의류</v>
      </c>
      <c r="R1771" t="str">
        <f>VLOOKUP(D1771,상품정보!$A$2:$D$151,4,FALSE)</f>
        <v>브랜드C</v>
      </c>
    </row>
    <row r="1772" spans="1:18" x14ac:dyDescent="0.45">
      <c r="A1772" t="s">
        <v>65</v>
      </c>
      <c r="B1772" t="s">
        <v>2171</v>
      </c>
      <c r="C1772" t="s">
        <v>2500</v>
      </c>
      <c r="D1772" t="s">
        <v>2583</v>
      </c>
      <c r="E1772">
        <v>5</v>
      </c>
      <c r="F1772">
        <v>6600</v>
      </c>
      <c r="G1772">
        <v>0</v>
      </c>
      <c r="H1772">
        <v>0</v>
      </c>
      <c r="I1772" t="s">
        <v>2652</v>
      </c>
      <c r="J1772" s="4">
        <f t="shared" si="81"/>
        <v>33000</v>
      </c>
      <c r="K1772" s="4" t="str">
        <f t="shared" si="82"/>
        <v>2025-01</v>
      </c>
      <c r="L1772" s="4" t="str">
        <f t="shared" si="83"/>
        <v>수</v>
      </c>
      <c r="M1772" s="2" t="str">
        <f>VLOOKUP($C1772, 고객정보!$A$2:$E$151, 2, FALSE)</f>
        <v>서울</v>
      </c>
      <c r="N1772" t="str">
        <f>VLOOKUP(C1772,고객정보!$A$2:$D$151,4,FALSE)</f>
        <v>L3</v>
      </c>
      <c r="O1772" t="str">
        <f>VLOOKUP($C1772, 고객정보!$A$2:$E$151, 5, FALSE)</f>
        <v>20대</v>
      </c>
      <c r="P1772" t="str">
        <f>VLOOKUP(D1772,상품정보!$A$2:$E$61,2,FALSE)</f>
        <v>셔츠</v>
      </c>
      <c r="Q1772" t="str">
        <f>VLOOKUP(D1772,상품정보!$A$2:$D$151,3,FALSE)</f>
        <v>의류</v>
      </c>
      <c r="R1772" t="str">
        <f>VLOOKUP(D1772,상품정보!$A$2:$D$151,4,FALSE)</f>
        <v>브랜드E</v>
      </c>
    </row>
    <row r="1773" spans="1:18" x14ac:dyDescent="0.45">
      <c r="A1773" t="s">
        <v>317</v>
      </c>
      <c r="B1773" t="s">
        <v>2172</v>
      </c>
      <c r="C1773" t="s">
        <v>2530</v>
      </c>
      <c r="D1773" t="s">
        <v>2583</v>
      </c>
      <c r="E1773">
        <v>2</v>
      </c>
      <c r="F1773">
        <v>6600</v>
      </c>
      <c r="G1773">
        <v>500</v>
      </c>
      <c r="H1773">
        <v>3200</v>
      </c>
      <c r="I1773" t="s">
        <v>2613</v>
      </c>
      <c r="J1773" s="4">
        <f t="shared" si="81"/>
        <v>10500</v>
      </c>
      <c r="K1773" s="4" t="str">
        <f t="shared" si="82"/>
        <v>2024-11</v>
      </c>
      <c r="L1773" s="4" t="str">
        <f t="shared" si="83"/>
        <v>금</v>
      </c>
      <c r="M1773" s="2" t="str">
        <f>VLOOKUP($C1773, 고객정보!$A$2:$E$151, 2, FALSE)</f>
        <v>대전</v>
      </c>
      <c r="N1773" t="str">
        <f>VLOOKUP(C1773,고객정보!$A$2:$D$151,4,FALSE)</f>
        <v>L2</v>
      </c>
      <c r="O1773" t="str">
        <f>VLOOKUP($C1773, 고객정보!$A$2:$E$151, 5, FALSE)</f>
        <v>20대</v>
      </c>
      <c r="P1773" t="str">
        <f>VLOOKUP(D1773,상품정보!$A$2:$E$61,2,FALSE)</f>
        <v>셔츠</v>
      </c>
      <c r="Q1773" t="str">
        <f>VLOOKUP(D1773,상품정보!$A$2:$D$151,3,FALSE)</f>
        <v>의류</v>
      </c>
      <c r="R1773" t="str">
        <f>VLOOKUP(D1773,상품정보!$A$2:$D$151,4,FALSE)</f>
        <v>브랜드E</v>
      </c>
    </row>
    <row r="1774" spans="1:18" x14ac:dyDescent="0.45">
      <c r="A1774" t="s">
        <v>280</v>
      </c>
      <c r="B1774" t="s">
        <v>2173</v>
      </c>
      <c r="C1774" t="s">
        <v>2405</v>
      </c>
      <c r="D1774" t="s">
        <v>2588</v>
      </c>
      <c r="E1774">
        <v>3</v>
      </c>
      <c r="F1774">
        <v>7700</v>
      </c>
      <c r="G1774">
        <v>500</v>
      </c>
      <c r="H1774">
        <v>2300</v>
      </c>
      <c r="I1774" t="s">
        <v>2613</v>
      </c>
      <c r="J1774" s="4">
        <f t="shared" si="81"/>
        <v>21300</v>
      </c>
      <c r="K1774" s="4" t="str">
        <f t="shared" si="82"/>
        <v>2024-04</v>
      </c>
      <c r="L1774" s="4" t="str">
        <f t="shared" si="83"/>
        <v>화</v>
      </c>
      <c r="M1774" s="2" t="str">
        <f>VLOOKUP($C1774, 고객정보!$A$2:$E$151, 2, FALSE)</f>
        <v>부산</v>
      </c>
      <c r="N1774" t="str">
        <f>VLOOKUP(C1774,고객정보!$A$2:$D$151,4,FALSE)</f>
        <v>L3</v>
      </c>
      <c r="O1774" t="str">
        <f>VLOOKUP($C1774, 고객정보!$A$2:$E$151, 5, FALSE)</f>
        <v>40대</v>
      </c>
      <c r="P1774" t="str">
        <f>VLOOKUP(D1774,상품정보!$A$2:$E$61,2,FALSE)</f>
        <v>귀걸이</v>
      </c>
      <c r="Q1774" t="str">
        <f>VLOOKUP(D1774,상품정보!$A$2:$D$151,3,FALSE)</f>
        <v>액세서리</v>
      </c>
      <c r="R1774" t="str">
        <f>VLOOKUP(D1774,상품정보!$A$2:$D$151,4,FALSE)</f>
        <v>브랜드D</v>
      </c>
    </row>
    <row r="1775" spans="1:18" x14ac:dyDescent="0.45">
      <c r="A1775" t="s">
        <v>154</v>
      </c>
      <c r="B1775" t="s">
        <v>2174</v>
      </c>
      <c r="C1775" t="s">
        <v>2490</v>
      </c>
      <c r="D1775" t="s">
        <v>2580</v>
      </c>
      <c r="E1775">
        <v>1</v>
      </c>
      <c r="F1775">
        <v>77800</v>
      </c>
      <c r="G1775">
        <v>0</v>
      </c>
      <c r="H1775">
        <v>600</v>
      </c>
      <c r="I1775" t="s">
        <v>2612</v>
      </c>
      <c r="J1775" s="4">
        <f t="shared" si="81"/>
        <v>77200</v>
      </c>
      <c r="K1775" s="4" t="str">
        <f t="shared" si="82"/>
        <v>2024-08</v>
      </c>
      <c r="L1775" s="4" t="str">
        <f t="shared" si="83"/>
        <v>월</v>
      </c>
      <c r="M1775" s="2" t="str">
        <f>VLOOKUP($C1775, 고객정보!$A$2:$E$151, 2, FALSE)</f>
        <v>부산</v>
      </c>
      <c r="N1775" t="str">
        <f>VLOOKUP(C1775,고객정보!$A$2:$D$151,4,FALSE)</f>
        <v>L3</v>
      </c>
      <c r="O1775" t="str">
        <f>VLOOKUP($C1775, 고객정보!$A$2:$E$151, 5, FALSE)</f>
        <v>20대</v>
      </c>
      <c r="P1775" t="str">
        <f>VLOOKUP(D1775,상품정보!$A$2:$E$61,2,FALSE)</f>
        <v>청바지</v>
      </c>
      <c r="Q1775" t="str">
        <f>VLOOKUP(D1775,상품정보!$A$2:$D$151,3,FALSE)</f>
        <v>의류</v>
      </c>
      <c r="R1775" t="str">
        <f>VLOOKUP(D1775,상품정보!$A$2:$D$151,4,FALSE)</f>
        <v>브랜드A</v>
      </c>
    </row>
    <row r="1776" spans="1:18" x14ac:dyDescent="0.45">
      <c r="A1776" t="s">
        <v>115</v>
      </c>
      <c r="B1776" t="s">
        <v>2175</v>
      </c>
      <c r="C1776" t="s">
        <v>2449</v>
      </c>
      <c r="D1776" t="s">
        <v>2574</v>
      </c>
      <c r="E1776">
        <v>2</v>
      </c>
      <c r="F1776">
        <v>8600</v>
      </c>
      <c r="G1776">
        <v>500</v>
      </c>
      <c r="H1776">
        <v>3300</v>
      </c>
      <c r="I1776" t="s">
        <v>2613</v>
      </c>
      <c r="J1776" s="4">
        <f t="shared" si="81"/>
        <v>14400</v>
      </c>
      <c r="K1776" s="4" t="str">
        <f t="shared" si="82"/>
        <v>2024-11</v>
      </c>
      <c r="L1776" s="4" t="str">
        <f t="shared" si="83"/>
        <v>월</v>
      </c>
      <c r="M1776" s="2" t="str">
        <f>VLOOKUP($C1776, 고객정보!$A$2:$E$151, 2, FALSE)</f>
        <v>대구</v>
      </c>
      <c r="N1776" t="str">
        <f>VLOOKUP(C1776,고객정보!$A$2:$D$151,4,FALSE)</f>
        <v>L5</v>
      </c>
      <c r="O1776" t="str">
        <f>VLOOKUP($C1776, 고객정보!$A$2:$E$151, 5, FALSE)</f>
        <v>40대</v>
      </c>
      <c r="P1776" t="str">
        <f>VLOOKUP(D1776,상품정보!$A$2:$E$61,2,FALSE)</f>
        <v>셔츠</v>
      </c>
      <c r="Q1776" t="str">
        <f>VLOOKUP(D1776,상품정보!$A$2:$D$151,3,FALSE)</f>
        <v>의류</v>
      </c>
      <c r="R1776" t="str">
        <f>VLOOKUP(D1776,상품정보!$A$2:$D$151,4,FALSE)</f>
        <v>브랜드D</v>
      </c>
    </row>
    <row r="1777" spans="1:18" x14ac:dyDescent="0.45">
      <c r="A1777" t="s">
        <v>347</v>
      </c>
      <c r="B1777" t="s">
        <v>2176</v>
      </c>
      <c r="C1777" t="s">
        <v>2515</v>
      </c>
      <c r="D1777" t="s">
        <v>2592</v>
      </c>
      <c r="E1777">
        <v>1</v>
      </c>
      <c r="F1777">
        <v>72700</v>
      </c>
      <c r="G1777">
        <v>1000</v>
      </c>
      <c r="H1777">
        <v>0</v>
      </c>
      <c r="I1777" t="s">
        <v>2652</v>
      </c>
      <c r="J1777" s="4">
        <f t="shared" si="81"/>
        <v>73700</v>
      </c>
      <c r="K1777" s="4" t="str">
        <f t="shared" si="82"/>
        <v>2024-06</v>
      </c>
      <c r="L1777" s="4" t="str">
        <f t="shared" si="83"/>
        <v>수</v>
      </c>
      <c r="M1777" s="2" t="str">
        <f>VLOOKUP($C1777, 고객정보!$A$2:$E$151, 2, FALSE)</f>
        <v>부산</v>
      </c>
      <c r="N1777" t="str">
        <f>VLOOKUP(C1777,고객정보!$A$2:$D$151,4,FALSE)</f>
        <v>L5</v>
      </c>
      <c r="O1777" t="str">
        <f>VLOOKUP($C1777, 고객정보!$A$2:$E$151, 5, FALSE)</f>
        <v>40대</v>
      </c>
      <c r="P1777" t="str">
        <f>VLOOKUP(D1777,상품정보!$A$2:$E$61,2,FALSE)</f>
        <v>귀걸이</v>
      </c>
      <c r="Q1777" t="str">
        <f>VLOOKUP(D1777,상품정보!$A$2:$D$151,3,FALSE)</f>
        <v>액세서리</v>
      </c>
      <c r="R1777" t="str">
        <f>VLOOKUP(D1777,상품정보!$A$2:$D$151,4,FALSE)</f>
        <v>브랜드A</v>
      </c>
    </row>
    <row r="1778" spans="1:18" x14ac:dyDescent="0.45">
      <c r="A1778" t="s">
        <v>390</v>
      </c>
      <c r="B1778" t="s">
        <v>2177</v>
      </c>
      <c r="C1778" t="s">
        <v>2542</v>
      </c>
      <c r="D1778" t="s">
        <v>2562</v>
      </c>
      <c r="E1778">
        <v>2</v>
      </c>
      <c r="F1778">
        <v>15600</v>
      </c>
      <c r="G1778">
        <v>500</v>
      </c>
      <c r="H1778">
        <v>0</v>
      </c>
      <c r="I1778" t="s">
        <v>2652</v>
      </c>
      <c r="J1778" s="4">
        <f t="shared" si="81"/>
        <v>31700</v>
      </c>
      <c r="K1778" s="4" t="str">
        <f t="shared" si="82"/>
        <v>2024-01</v>
      </c>
      <c r="L1778" s="4" t="str">
        <f t="shared" si="83"/>
        <v>토</v>
      </c>
      <c r="M1778" s="2" t="str">
        <f>VLOOKUP($C1778, 고객정보!$A$2:$E$151, 2, FALSE)</f>
        <v>부산</v>
      </c>
      <c r="N1778" t="str">
        <f>VLOOKUP(C1778,고객정보!$A$2:$D$151,4,FALSE)</f>
        <v>L1</v>
      </c>
      <c r="O1778" t="str">
        <f>VLOOKUP($C1778, 고객정보!$A$2:$E$151, 5, FALSE)</f>
        <v>50대 이상</v>
      </c>
      <c r="P1778" t="str">
        <f>VLOOKUP(D1778,상품정보!$A$2:$E$61,2,FALSE)</f>
        <v>반팔 티셔츠</v>
      </c>
      <c r="Q1778" t="str">
        <f>VLOOKUP(D1778,상품정보!$A$2:$D$151,3,FALSE)</f>
        <v>의류</v>
      </c>
      <c r="R1778" t="str">
        <f>VLOOKUP(D1778,상품정보!$A$2:$D$151,4,FALSE)</f>
        <v>브랜드E</v>
      </c>
    </row>
    <row r="1779" spans="1:18" x14ac:dyDescent="0.45">
      <c r="A1779" t="s">
        <v>362</v>
      </c>
      <c r="B1779" t="s">
        <v>2178</v>
      </c>
      <c r="C1779" t="s">
        <v>2448</v>
      </c>
      <c r="D1779" t="s">
        <v>2606</v>
      </c>
      <c r="E1779">
        <v>3</v>
      </c>
      <c r="F1779">
        <v>15000</v>
      </c>
      <c r="G1779">
        <v>0</v>
      </c>
      <c r="H1779">
        <v>0</v>
      </c>
      <c r="I1779" t="s">
        <v>2652</v>
      </c>
      <c r="J1779" s="4">
        <f t="shared" si="81"/>
        <v>45000</v>
      </c>
      <c r="K1779" s="4" t="str">
        <f t="shared" si="82"/>
        <v>2024-05</v>
      </c>
      <c r="L1779" s="4" t="str">
        <f t="shared" si="83"/>
        <v>금</v>
      </c>
      <c r="M1779" s="2" t="str">
        <f>VLOOKUP($C1779, 고객정보!$A$2:$E$151, 2, FALSE)</f>
        <v>광주</v>
      </c>
      <c r="N1779" t="str">
        <f>VLOOKUP(C1779,고객정보!$A$2:$D$151,4,FALSE)</f>
        <v>L3</v>
      </c>
      <c r="O1779" t="str">
        <f>VLOOKUP($C1779, 고객정보!$A$2:$E$151, 5, FALSE)</f>
        <v>50대 이상</v>
      </c>
      <c r="P1779" t="str">
        <f>VLOOKUP(D1779,상품정보!$A$2:$E$61,2,FALSE)</f>
        <v>귀걸이</v>
      </c>
      <c r="Q1779" t="str">
        <f>VLOOKUP(D1779,상품정보!$A$2:$D$151,3,FALSE)</f>
        <v>액세서리</v>
      </c>
      <c r="R1779" t="str">
        <f>VLOOKUP(D1779,상품정보!$A$2:$D$151,4,FALSE)</f>
        <v>브랜드E</v>
      </c>
    </row>
    <row r="1780" spans="1:18" x14ac:dyDescent="0.45">
      <c r="A1780" t="s">
        <v>46</v>
      </c>
      <c r="B1780" t="s">
        <v>2179</v>
      </c>
      <c r="C1780" t="s">
        <v>2416</v>
      </c>
      <c r="D1780" t="s">
        <v>2600</v>
      </c>
      <c r="E1780">
        <v>3</v>
      </c>
      <c r="F1780">
        <v>10900</v>
      </c>
      <c r="G1780">
        <v>1500</v>
      </c>
      <c r="H1780">
        <v>0</v>
      </c>
      <c r="I1780" t="s">
        <v>2652</v>
      </c>
      <c r="J1780" s="4">
        <f t="shared" si="81"/>
        <v>34200</v>
      </c>
      <c r="K1780" s="4" t="str">
        <f t="shared" si="82"/>
        <v>2024-09</v>
      </c>
      <c r="L1780" s="4" t="str">
        <f t="shared" si="83"/>
        <v>월</v>
      </c>
      <c r="M1780" s="2" t="str">
        <f>VLOOKUP($C1780, 고객정보!$A$2:$E$151, 2, FALSE)</f>
        <v>대구</v>
      </c>
      <c r="N1780" t="str">
        <f>VLOOKUP(C1780,고객정보!$A$2:$D$151,4,FALSE)</f>
        <v>L3</v>
      </c>
      <c r="O1780" t="str">
        <f>VLOOKUP($C1780, 고객정보!$A$2:$E$151, 5, FALSE)</f>
        <v>40대</v>
      </c>
      <c r="P1780" t="str">
        <f>VLOOKUP(D1780,상품정보!$A$2:$E$61,2,FALSE)</f>
        <v>셔츠</v>
      </c>
      <c r="Q1780" t="str">
        <f>VLOOKUP(D1780,상품정보!$A$2:$D$151,3,FALSE)</f>
        <v>의류</v>
      </c>
      <c r="R1780" t="str">
        <f>VLOOKUP(D1780,상품정보!$A$2:$D$151,4,FALSE)</f>
        <v>브랜드E</v>
      </c>
    </row>
    <row r="1781" spans="1:18" x14ac:dyDescent="0.45">
      <c r="A1781" t="s">
        <v>183</v>
      </c>
      <c r="B1781" t="s">
        <v>2180</v>
      </c>
      <c r="C1781" t="s">
        <v>2495</v>
      </c>
      <c r="D1781" t="s">
        <v>2597</v>
      </c>
      <c r="E1781">
        <v>1</v>
      </c>
      <c r="F1781">
        <v>65300</v>
      </c>
      <c r="G1781">
        <v>2000</v>
      </c>
      <c r="H1781">
        <v>400</v>
      </c>
      <c r="I1781" t="s">
        <v>2611</v>
      </c>
      <c r="J1781" s="4">
        <f t="shared" si="81"/>
        <v>66900</v>
      </c>
      <c r="K1781" s="4" t="str">
        <f t="shared" si="82"/>
        <v>2024-02</v>
      </c>
      <c r="L1781" s="4" t="str">
        <f t="shared" si="83"/>
        <v>수</v>
      </c>
      <c r="M1781" s="2" t="str">
        <f>VLOOKUP($C1781, 고객정보!$A$2:$E$151, 2, FALSE)</f>
        <v>N/A</v>
      </c>
      <c r="N1781" t="str">
        <f>VLOOKUP(C1781,고객정보!$A$2:$D$151,4,FALSE)</f>
        <v>L1</v>
      </c>
      <c r="O1781" t="str">
        <f>VLOOKUP($C1781, 고객정보!$A$2:$E$151, 5, FALSE)</f>
        <v>50대 이상</v>
      </c>
      <c r="P1781" t="str">
        <f>VLOOKUP(D1781,상품정보!$A$2:$E$61,2,FALSE)</f>
        <v>반지</v>
      </c>
      <c r="Q1781" t="str">
        <f>VLOOKUP(D1781,상품정보!$A$2:$D$151,3,FALSE)</f>
        <v>액세서리</v>
      </c>
      <c r="R1781" t="str">
        <f>VLOOKUP(D1781,상품정보!$A$2:$D$151,4,FALSE)</f>
        <v>브랜드F</v>
      </c>
    </row>
    <row r="1782" spans="1:18" x14ac:dyDescent="0.45">
      <c r="A1782" t="s">
        <v>146</v>
      </c>
      <c r="B1782" t="s">
        <v>2181</v>
      </c>
      <c r="C1782" t="s">
        <v>2526</v>
      </c>
      <c r="D1782" t="s">
        <v>2558</v>
      </c>
      <c r="E1782">
        <v>4</v>
      </c>
      <c r="F1782">
        <v>63700</v>
      </c>
      <c r="G1782">
        <v>500</v>
      </c>
      <c r="H1782">
        <v>0</v>
      </c>
      <c r="I1782" t="s">
        <v>2652</v>
      </c>
      <c r="J1782" s="4">
        <f t="shared" si="81"/>
        <v>255300</v>
      </c>
      <c r="K1782" s="4" t="str">
        <f t="shared" si="82"/>
        <v>2025-01</v>
      </c>
      <c r="L1782" s="4" t="str">
        <f t="shared" si="83"/>
        <v>일</v>
      </c>
      <c r="M1782" s="2" t="str">
        <f>VLOOKUP($C1782, 고객정보!$A$2:$E$151, 2, FALSE)</f>
        <v>부산</v>
      </c>
      <c r="N1782" t="str">
        <f>VLOOKUP(C1782,고객정보!$A$2:$D$151,4,FALSE)</f>
        <v>L3</v>
      </c>
      <c r="O1782" t="str">
        <f>VLOOKUP($C1782, 고객정보!$A$2:$E$151, 5, FALSE)</f>
        <v>10대</v>
      </c>
      <c r="P1782" t="str">
        <f>VLOOKUP(D1782,상품정보!$A$2:$E$61,2,FALSE)</f>
        <v>셔츠</v>
      </c>
      <c r="Q1782" t="str">
        <f>VLOOKUP(D1782,상품정보!$A$2:$D$151,3,FALSE)</f>
        <v>의류</v>
      </c>
      <c r="R1782" t="str">
        <f>VLOOKUP(D1782,상품정보!$A$2:$D$151,4,FALSE)</f>
        <v>브랜드A</v>
      </c>
    </row>
    <row r="1783" spans="1:18" x14ac:dyDescent="0.45">
      <c r="A1783" t="s">
        <v>319</v>
      </c>
      <c r="B1783" t="s">
        <v>2182</v>
      </c>
      <c r="C1783" t="s">
        <v>2489</v>
      </c>
      <c r="D1783" t="s">
        <v>2598</v>
      </c>
      <c r="E1783">
        <v>1</v>
      </c>
      <c r="F1783">
        <v>77300</v>
      </c>
      <c r="G1783">
        <v>500</v>
      </c>
      <c r="H1783">
        <v>600</v>
      </c>
      <c r="I1783" t="s">
        <v>2612</v>
      </c>
      <c r="J1783" s="4">
        <f t="shared" si="81"/>
        <v>77200</v>
      </c>
      <c r="K1783" s="4" t="str">
        <f t="shared" si="82"/>
        <v>2024-03</v>
      </c>
      <c r="L1783" s="4" t="str">
        <f t="shared" si="83"/>
        <v>토</v>
      </c>
      <c r="M1783" s="2" t="str">
        <f>VLOOKUP($C1783, 고객정보!$A$2:$E$151, 2, FALSE)</f>
        <v>서울</v>
      </c>
      <c r="N1783" t="str">
        <f>VLOOKUP(C1783,고객정보!$A$2:$D$151,4,FALSE)</f>
        <v>L3</v>
      </c>
      <c r="O1783" t="str">
        <f>VLOOKUP($C1783, 고객정보!$A$2:$E$151, 5, FALSE)</f>
        <v>10대</v>
      </c>
      <c r="P1783" t="str">
        <f>VLOOKUP(D1783,상품정보!$A$2:$E$61,2,FALSE)</f>
        <v>청바지</v>
      </c>
      <c r="Q1783" t="str">
        <f>VLOOKUP(D1783,상품정보!$A$2:$D$151,3,FALSE)</f>
        <v>의류</v>
      </c>
      <c r="R1783" t="str">
        <f>VLOOKUP(D1783,상품정보!$A$2:$D$151,4,FALSE)</f>
        <v>브랜드F</v>
      </c>
    </row>
    <row r="1784" spans="1:18" x14ac:dyDescent="0.45">
      <c r="A1784" t="s">
        <v>122</v>
      </c>
      <c r="B1784" t="s">
        <v>2183</v>
      </c>
      <c r="C1784" t="s">
        <v>2512</v>
      </c>
      <c r="D1784" t="s">
        <v>2558</v>
      </c>
      <c r="E1784">
        <v>3</v>
      </c>
      <c r="F1784">
        <v>63700</v>
      </c>
      <c r="G1784">
        <v>1000</v>
      </c>
      <c r="H1784">
        <v>0</v>
      </c>
      <c r="I1784" t="s">
        <v>2652</v>
      </c>
      <c r="J1784" s="4">
        <f t="shared" si="81"/>
        <v>192100</v>
      </c>
      <c r="K1784" s="4" t="str">
        <f t="shared" si="82"/>
        <v>2024-12</v>
      </c>
      <c r="L1784" s="4" t="str">
        <f t="shared" si="83"/>
        <v>화</v>
      </c>
      <c r="M1784" s="2" t="str">
        <f>VLOOKUP($C1784, 고객정보!$A$2:$E$151, 2, FALSE)</f>
        <v>서울</v>
      </c>
      <c r="N1784" t="str">
        <f>VLOOKUP(C1784,고객정보!$A$2:$D$151,4,FALSE)</f>
        <v>L1</v>
      </c>
      <c r="O1784" t="str">
        <f>VLOOKUP($C1784, 고객정보!$A$2:$E$151, 5, FALSE)</f>
        <v>10대</v>
      </c>
      <c r="P1784" t="str">
        <f>VLOOKUP(D1784,상품정보!$A$2:$E$61,2,FALSE)</f>
        <v>셔츠</v>
      </c>
      <c r="Q1784" t="str">
        <f>VLOOKUP(D1784,상품정보!$A$2:$D$151,3,FALSE)</f>
        <v>의류</v>
      </c>
      <c r="R1784" t="str">
        <f>VLOOKUP(D1784,상품정보!$A$2:$D$151,4,FALSE)</f>
        <v>브랜드A</v>
      </c>
    </row>
    <row r="1785" spans="1:18" x14ac:dyDescent="0.45">
      <c r="A1785" t="s">
        <v>205</v>
      </c>
      <c r="B1785" t="s">
        <v>2184</v>
      </c>
      <c r="C1785" t="s">
        <v>2466</v>
      </c>
      <c r="D1785" t="s">
        <v>2582</v>
      </c>
      <c r="E1785">
        <v>4</v>
      </c>
      <c r="F1785">
        <v>12500</v>
      </c>
      <c r="G1785">
        <v>500</v>
      </c>
      <c r="H1785">
        <v>0</v>
      </c>
      <c r="I1785" t="s">
        <v>2652</v>
      </c>
      <c r="J1785" s="4">
        <f t="shared" si="81"/>
        <v>50500</v>
      </c>
      <c r="K1785" s="4" t="str">
        <f t="shared" si="82"/>
        <v>2024-01</v>
      </c>
      <c r="L1785" s="4" t="str">
        <f t="shared" si="83"/>
        <v>금</v>
      </c>
      <c r="M1785" s="2" t="str">
        <f>VLOOKUP($C1785, 고객정보!$A$2:$E$151, 2, FALSE)</f>
        <v>부산</v>
      </c>
      <c r="N1785" t="str">
        <f>VLOOKUP(C1785,고객정보!$A$2:$D$151,4,FALSE)</f>
        <v>L2</v>
      </c>
      <c r="O1785" t="str">
        <f>VLOOKUP($C1785, 고객정보!$A$2:$E$151, 5, FALSE)</f>
        <v>50대 이상</v>
      </c>
      <c r="P1785" t="str">
        <f>VLOOKUP(D1785,상품정보!$A$2:$E$61,2,FALSE)</f>
        <v>셔츠</v>
      </c>
      <c r="Q1785" t="str">
        <f>VLOOKUP(D1785,상품정보!$A$2:$D$151,3,FALSE)</f>
        <v>의류</v>
      </c>
      <c r="R1785" t="str">
        <f>VLOOKUP(D1785,상품정보!$A$2:$D$151,4,FALSE)</f>
        <v>브랜드D</v>
      </c>
    </row>
    <row r="1786" spans="1:18" x14ac:dyDescent="0.45">
      <c r="A1786" t="s">
        <v>21</v>
      </c>
      <c r="B1786" t="s">
        <v>2185</v>
      </c>
      <c r="C1786" t="s">
        <v>2525</v>
      </c>
      <c r="D1786" t="s">
        <v>2608</v>
      </c>
      <c r="E1786">
        <v>2</v>
      </c>
      <c r="F1786">
        <v>10600</v>
      </c>
      <c r="G1786">
        <v>1500</v>
      </c>
      <c r="H1786">
        <v>0</v>
      </c>
      <c r="I1786" t="s">
        <v>2652</v>
      </c>
      <c r="J1786" s="4">
        <f t="shared" si="81"/>
        <v>22700</v>
      </c>
      <c r="K1786" s="4" t="str">
        <f t="shared" si="82"/>
        <v>2024-11</v>
      </c>
      <c r="L1786" s="4" t="str">
        <f t="shared" si="83"/>
        <v>일</v>
      </c>
      <c r="M1786" s="2" t="str">
        <f>VLOOKUP($C1786, 고객정보!$A$2:$E$151, 2, FALSE)</f>
        <v>수원</v>
      </c>
      <c r="N1786" t="str">
        <f>VLOOKUP(C1786,고객정보!$A$2:$D$151,4,FALSE)</f>
        <v>L4</v>
      </c>
      <c r="O1786" t="str">
        <f>VLOOKUP($C1786, 고객정보!$A$2:$E$151, 5, FALSE)</f>
        <v>20대</v>
      </c>
      <c r="P1786" t="str">
        <f>VLOOKUP(D1786,상품정보!$A$2:$E$61,2,FALSE)</f>
        <v>셔츠</v>
      </c>
      <c r="Q1786" t="str">
        <f>VLOOKUP(D1786,상품정보!$A$2:$D$151,3,FALSE)</f>
        <v>의류</v>
      </c>
      <c r="R1786" t="str">
        <f>VLOOKUP(D1786,상품정보!$A$2:$D$151,4,FALSE)</f>
        <v>브랜드D</v>
      </c>
    </row>
    <row r="1787" spans="1:18" x14ac:dyDescent="0.45">
      <c r="A1787" t="s">
        <v>121</v>
      </c>
      <c r="B1787" t="s">
        <v>2186</v>
      </c>
      <c r="C1787" t="s">
        <v>2413</v>
      </c>
      <c r="D1787" t="s">
        <v>2590</v>
      </c>
      <c r="E1787">
        <v>5</v>
      </c>
      <c r="F1787">
        <v>68900</v>
      </c>
      <c r="G1787">
        <v>0</v>
      </c>
      <c r="H1787">
        <v>19500</v>
      </c>
      <c r="I1787" t="s">
        <v>2614</v>
      </c>
      <c r="J1787" s="4">
        <f t="shared" si="81"/>
        <v>325000</v>
      </c>
      <c r="K1787" s="4" t="str">
        <f t="shared" si="82"/>
        <v>2024-06</v>
      </c>
      <c r="L1787" s="4" t="str">
        <f t="shared" si="83"/>
        <v>목</v>
      </c>
      <c r="M1787" s="2" t="str">
        <f>VLOOKUP($C1787, 고객정보!$A$2:$E$151, 2, FALSE)</f>
        <v>서울</v>
      </c>
      <c r="N1787" t="str">
        <f>VLOOKUP(C1787,고객정보!$A$2:$D$151,4,FALSE)</f>
        <v>L5</v>
      </c>
      <c r="O1787" t="str">
        <f>VLOOKUP($C1787, 고객정보!$A$2:$E$151, 5, FALSE)</f>
        <v>30대</v>
      </c>
      <c r="P1787" t="str">
        <f>VLOOKUP(D1787,상품정보!$A$2:$E$61,2,FALSE)</f>
        <v>반팔 티셔츠</v>
      </c>
      <c r="Q1787" t="str">
        <f>VLOOKUP(D1787,상품정보!$A$2:$D$151,3,FALSE)</f>
        <v>의류</v>
      </c>
      <c r="R1787" t="str">
        <f>VLOOKUP(D1787,상품정보!$A$2:$D$151,4,FALSE)</f>
        <v>브랜드A</v>
      </c>
    </row>
    <row r="1788" spans="1:18" x14ac:dyDescent="0.45">
      <c r="A1788" t="s">
        <v>89</v>
      </c>
      <c r="B1788" t="s">
        <v>2187</v>
      </c>
      <c r="C1788" t="s">
        <v>2507</v>
      </c>
      <c r="D1788" t="s">
        <v>2577</v>
      </c>
      <c r="E1788">
        <v>4</v>
      </c>
      <c r="F1788">
        <v>10200</v>
      </c>
      <c r="G1788">
        <v>1000</v>
      </c>
      <c r="H1788">
        <v>0</v>
      </c>
      <c r="I1788" t="s">
        <v>2652</v>
      </c>
      <c r="J1788" s="4">
        <f t="shared" si="81"/>
        <v>41800</v>
      </c>
      <c r="K1788" s="4" t="str">
        <f t="shared" si="82"/>
        <v>2025-01</v>
      </c>
      <c r="L1788" s="4" t="str">
        <f t="shared" si="83"/>
        <v>수</v>
      </c>
      <c r="M1788" s="2" t="str">
        <f>VLOOKUP($C1788, 고객정보!$A$2:$E$151, 2, FALSE)</f>
        <v>대전</v>
      </c>
      <c r="N1788" t="str">
        <f>VLOOKUP(C1788,고객정보!$A$2:$D$151,4,FALSE)</f>
        <v>L2</v>
      </c>
      <c r="O1788" t="str">
        <f>VLOOKUP($C1788, 고객정보!$A$2:$E$151, 5, FALSE)</f>
        <v>40대</v>
      </c>
      <c r="P1788" t="str">
        <f>VLOOKUP(D1788,상품정보!$A$2:$E$61,2,FALSE)</f>
        <v>셔츠</v>
      </c>
      <c r="Q1788" t="str">
        <f>VLOOKUP(D1788,상품정보!$A$2:$D$151,3,FALSE)</f>
        <v>의류</v>
      </c>
      <c r="R1788" t="str">
        <f>VLOOKUP(D1788,상품정보!$A$2:$D$151,4,FALSE)</f>
        <v>브랜드C</v>
      </c>
    </row>
    <row r="1789" spans="1:18" x14ac:dyDescent="0.45">
      <c r="A1789" t="s">
        <v>331</v>
      </c>
      <c r="B1789" t="s">
        <v>2188</v>
      </c>
      <c r="C1789" t="s">
        <v>2443</v>
      </c>
      <c r="D1789" t="s">
        <v>2569</v>
      </c>
      <c r="E1789">
        <v>5</v>
      </c>
      <c r="F1789">
        <v>11400</v>
      </c>
      <c r="G1789">
        <v>1000</v>
      </c>
      <c r="H1789">
        <v>0</v>
      </c>
      <c r="I1789" t="s">
        <v>2652</v>
      </c>
      <c r="J1789" s="4">
        <f t="shared" si="81"/>
        <v>58000</v>
      </c>
      <c r="K1789" s="4" t="str">
        <f t="shared" si="82"/>
        <v>2024-06</v>
      </c>
      <c r="L1789" s="4" t="str">
        <f t="shared" si="83"/>
        <v>일</v>
      </c>
      <c r="M1789" s="2" t="str">
        <f>VLOOKUP($C1789, 고객정보!$A$2:$E$151, 2, FALSE)</f>
        <v>서울</v>
      </c>
      <c r="N1789" t="str">
        <f>VLOOKUP(C1789,고객정보!$A$2:$D$151,4,FALSE)</f>
        <v>L4</v>
      </c>
      <c r="O1789" t="str">
        <f>VLOOKUP($C1789, 고객정보!$A$2:$E$151, 5, FALSE)</f>
        <v>30대</v>
      </c>
      <c r="P1789" t="str">
        <f>VLOOKUP(D1789,상품정보!$A$2:$E$61,2,FALSE)</f>
        <v>귀걸이</v>
      </c>
      <c r="Q1789" t="str">
        <f>VLOOKUP(D1789,상품정보!$A$2:$D$151,3,FALSE)</f>
        <v>액세서리</v>
      </c>
      <c r="R1789" t="str">
        <f>VLOOKUP(D1789,상품정보!$A$2:$D$151,4,FALSE)</f>
        <v>브랜드E</v>
      </c>
    </row>
    <row r="1790" spans="1:18" x14ac:dyDescent="0.45">
      <c r="A1790" t="s">
        <v>332</v>
      </c>
      <c r="B1790" t="s">
        <v>2189</v>
      </c>
      <c r="C1790" t="s">
        <v>2500</v>
      </c>
      <c r="D1790" t="s">
        <v>2586</v>
      </c>
      <c r="E1790">
        <v>3</v>
      </c>
      <c r="F1790">
        <v>73000</v>
      </c>
      <c r="G1790">
        <v>2000</v>
      </c>
      <c r="H1790">
        <v>0</v>
      </c>
      <c r="I1790" t="s">
        <v>2652</v>
      </c>
      <c r="J1790" s="4">
        <f t="shared" si="81"/>
        <v>221000</v>
      </c>
      <c r="K1790" s="4" t="str">
        <f t="shared" si="82"/>
        <v>2024-10</v>
      </c>
      <c r="L1790" s="4" t="str">
        <f t="shared" si="83"/>
        <v>금</v>
      </c>
      <c r="M1790" s="2" t="str">
        <f>VLOOKUP($C1790, 고객정보!$A$2:$E$151, 2, FALSE)</f>
        <v>서울</v>
      </c>
      <c r="N1790" t="str">
        <f>VLOOKUP(C1790,고객정보!$A$2:$D$151,4,FALSE)</f>
        <v>L3</v>
      </c>
      <c r="O1790" t="str">
        <f>VLOOKUP($C1790, 고객정보!$A$2:$E$151, 5, FALSE)</f>
        <v>20대</v>
      </c>
      <c r="P1790" t="str">
        <f>VLOOKUP(D1790,상품정보!$A$2:$E$61,2,FALSE)</f>
        <v>귀걸이</v>
      </c>
      <c r="Q1790" t="str">
        <f>VLOOKUP(D1790,상품정보!$A$2:$D$151,3,FALSE)</f>
        <v>액세서리</v>
      </c>
      <c r="R1790" t="str">
        <f>VLOOKUP(D1790,상품정보!$A$2:$D$151,4,FALSE)</f>
        <v>브랜드B</v>
      </c>
    </row>
    <row r="1791" spans="1:18" x14ac:dyDescent="0.45">
      <c r="A1791" t="s">
        <v>110</v>
      </c>
      <c r="B1791" t="s">
        <v>2190</v>
      </c>
      <c r="C1791" t="s">
        <v>2436</v>
      </c>
      <c r="D1791" t="s">
        <v>2551</v>
      </c>
      <c r="E1791">
        <v>2</v>
      </c>
      <c r="F1791">
        <v>66600</v>
      </c>
      <c r="G1791">
        <v>1000</v>
      </c>
      <c r="H1791">
        <v>0</v>
      </c>
      <c r="I1791" t="s">
        <v>2652</v>
      </c>
      <c r="J1791" s="4">
        <f t="shared" si="81"/>
        <v>134200</v>
      </c>
      <c r="K1791" s="4" t="str">
        <f t="shared" si="82"/>
        <v>2024-10</v>
      </c>
      <c r="L1791" s="4" t="str">
        <f t="shared" si="83"/>
        <v>화</v>
      </c>
      <c r="M1791" s="2" t="str">
        <f>VLOOKUP($C1791, 고객정보!$A$2:$E$151, 2, FALSE)</f>
        <v>인천</v>
      </c>
      <c r="N1791" t="str">
        <f>VLOOKUP(C1791,고객정보!$A$2:$D$151,4,FALSE)</f>
        <v>L4</v>
      </c>
      <c r="O1791" t="str">
        <f>VLOOKUP($C1791, 고객정보!$A$2:$E$151, 5, FALSE)</f>
        <v>10대</v>
      </c>
      <c r="P1791" t="str">
        <f>VLOOKUP(D1791,상품정보!$A$2:$E$61,2,FALSE)</f>
        <v>반지</v>
      </c>
      <c r="Q1791" t="str">
        <f>VLOOKUP(D1791,상품정보!$A$2:$D$151,3,FALSE)</f>
        <v>액세서리</v>
      </c>
      <c r="R1791" t="str">
        <f>VLOOKUP(D1791,상품정보!$A$2:$D$151,4,FALSE)</f>
        <v>브랜드B</v>
      </c>
    </row>
    <row r="1792" spans="1:18" x14ac:dyDescent="0.45">
      <c r="A1792" t="s">
        <v>275</v>
      </c>
      <c r="B1792" t="s">
        <v>2191</v>
      </c>
      <c r="C1792" t="s">
        <v>2481</v>
      </c>
      <c r="D1792" t="s">
        <v>2570</v>
      </c>
      <c r="E1792">
        <v>3</v>
      </c>
      <c r="F1792">
        <v>73900</v>
      </c>
      <c r="G1792">
        <v>500</v>
      </c>
      <c r="H1792">
        <v>0</v>
      </c>
      <c r="I1792" t="s">
        <v>2652</v>
      </c>
      <c r="J1792" s="4">
        <f t="shared" si="81"/>
        <v>222200</v>
      </c>
      <c r="K1792" s="4" t="str">
        <f t="shared" si="82"/>
        <v>2024-02</v>
      </c>
      <c r="L1792" s="4" t="str">
        <f t="shared" si="83"/>
        <v>토</v>
      </c>
      <c r="M1792" s="2" t="str">
        <f>VLOOKUP($C1792, 고객정보!$A$2:$E$151, 2, FALSE)</f>
        <v>부산</v>
      </c>
      <c r="N1792" t="str">
        <f>VLOOKUP(C1792,고객정보!$A$2:$D$151,4,FALSE)</f>
        <v>L5</v>
      </c>
      <c r="O1792" t="str">
        <f>VLOOKUP($C1792, 고객정보!$A$2:$E$151, 5, FALSE)</f>
        <v>20대</v>
      </c>
      <c r="P1792" t="str">
        <f>VLOOKUP(D1792,상품정보!$A$2:$E$61,2,FALSE)</f>
        <v>반지</v>
      </c>
      <c r="Q1792" t="str">
        <f>VLOOKUP(D1792,상품정보!$A$2:$D$151,3,FALSE)</f>
        <v>액세서리</v>
      </c>
      <c r="R1792" t="str">
        <f>VLOOKUP(D1792,상품정보!$A$2:$D$151,4,FALSE)</f>
        <v>브랜드B</v>
      </c>
    </row>
    <row r="1793" spans="1:18" x14ac:dyDescent="0.45">
      <c r="A1793" t="s">
        <v>295</v>
      </c>
      <c r="B1793" t="s">
        <v>2192</v>
      </c>
      <c r="C1793" t="s">
        <v>2474</v>
      </c>
      <c r="D1793" t="s">
        <v>2565</v>
      </c>
      <c r="E1793">
        <v>1</v>
      </c>
      <c r="F1793">
        <v>50000</v>
      </c>
      <c r="G1793">
        <v>0</v>
      </c>
      <c r="H1793">
        <v>400</v>
      </c>
      <c r="I1793" t="s">
        <v>2612</v>
      </c>
      <c r="J1793" s="4">
        <f t="shared" si="81"/>
        <v>49600</v>
      </c>
      <c r="K1793" s="4" t="str">
        <f t="shared" si="82"/>
        <v>2024-06</v>
      </c>
      <c r="L1793" s="4" t="str">
        <f t="shared" si="83"/>
        <v>토</v>
      </c>
      <c r="M1793" s="2" t="str">
        <f>VLOOKUP($C1793, 고객정보!$A$2:$E$151, 2, FALSE)</f>
        <v>인천</v>
      </c>
      <c r="N1793" t="str">
        <f>VLOOKUP(C1793,고객정보!$A$2:$D$151,4,FALSE)</f>
        <v>L2</v>
      </c>
      <c r="O1793" t="str">
        <f>VLOOKUP($C1793, 고객정보!$A$2:$E$151, 5, FALSE)</f>
        <v>10대</v>
      </c>
      <c r="P1793" t="str">
        <f>VLOOKUP(D1793,상품정보!$A$2:$E$61,2,FALSE)</f>
        <v>핸드폰케이스</v>
      </c>
      <c r="Q1793" t="str">
        <f>VLOOKUP(D1793,상품정보!$A$2:$D$151,3,FALSE)</f>
        <v>액세서리</v>
      </c>
      <c r="R1793" t="str">
        <f>VLOOKUP(D1793,상품정보!$A$2:$D$151,4,FALSE)</f>
        <v>브랜드B</v>
      </c>
    </row>
    <row r="1794" spans="1:18" x14ac:dyDescent="0.45">
      <c r="A1794" t="s">
        <v>75</v>
      </c>
      <c r="B1794" t="s">
        <v>2193</v>
      </c>
      <c r="C1794" t="s">
        <v>2538</v>
      </c>
      <c r="D1794" t="s">
        <v>2601</v>
      </c>
      <c r="E1794">
        <v>5</v>
      </c>
      <c r="F1794">
        <v>17000</v>
      </c>
      <c r="G1794">
        <v>500</v>
      </c>
      <c r="H1794">
        <v>0</v>
      </c>
      <c r="I1794" t="s">
        <v>2652</v>
      </c>
      <c r="J1794" s="4">
        <f t="shared" si="81"/>
        <v>85500</v>
      </c>
      <c r="K1794" s="4" t="str">
        <f t="shared" si="82"/>
        <v>2024-03</v>
      </c>
      <c r="L1794" s="4" t="str">
        <f t="shared" si="83"/>
        <v>월</v>
      </c>
      <c r="M1794" s="2" t="str">
        <f>VLOOKUP($C1794, 고객정보!$A$2:$E$151, 2, FALSE)</f>
        <v>대구</v>
      </c>
      <c r="N1794" t="str">
        <f>VLOOKUP(C1794,고객정보!$A$2:$D$151,4,FALSE)</f>
        <v>L4</v>
      </c>
      <c r="O1794" t="str">
        <f>VLOOKUP($C1794, 고객정보!$A$2:$E$151, 5, FALSE)</f>
        <v>40대</v>
      </c>
      <c r="P1794" t="str">
        <f>VLOOKUP(D1794,상품정보!$A$2:$E$61,2,FALSE)</f>
        <v>자켓</v>
      </c>
      <c r="Q1794" t="str">
        <f>VLOOKUP(D1794,상품정보!$A$2:$D$151,3,FALSE)</f>
        <v>의류</v>
      </c>
      <c r="R1794" t="str">
        <f>VLOOKUP(D1794,상품정보!$A$2:$D$151,4,FALSE)</f>
        <v>브랜드E</v>
      </c>
    </row>
    <row r="1795" spans="1:18" x14ac:dyDescent="0.45">
      <c r="A1795" t="s">
        <v>80</v>
      </c>
      <c r="B1795" t="s">
        <v>2194</v>
      </c>
      <c r="C1795" t="s">
        <v>2453</v>
      </c>
      <c r="D1795" t="s">
        <v>2560</v>
      </c>
      <c r="E1795">
        <v>4</v>
      </c>
      <c r="F1795">
        <v>60600</v>
      </c>
      <c r="G1795">
        <v>0</v>
      </c>
      <c r="H1795">
        <v>0</v>
      </c>
      <c r="I1795" t="s">
        <v>2652</v>
      </c>
      <c r="J1795" s="4">
        <f t="shared" ref="J1795:J1858" si="84">E1795*F1795+G1795-H1795</f>
        <v>242400</v>
      </c>
      <c r="K1795" s="4" t="str">
        <f t="shared" ref="K1795:K1858" si="85">LEFT(A1795,7)</f>
        <v>2024-04</v>
      </c>
      <c r="L1795" s="4" t="str">
        <f t="shared" ref="L1795:L1858" si="86">TEXT(WEEKDAY(A1795),"aaa")</f>
        <v>금</v>
      </c>
      <c r="M1795" s="2" t="str">
        <f>VLOOKUP($C1795, 고객정보!$A$2:$E$151, 2, FALSE)</f>
        <v>대구</v>
      </c>
      <c r="N1795" t="str">
        <f>VLOOKUP(C1795,고객정보!$A$2:$D$151,4,FALSE)</f>
        <v>L5</v>
      </c>
      <c r="O1795" t="str">
        <f>VLOOKUP($C1795, 고객정보!$A$2:$E$151, 5, FALSE)</f>
        <v>50대 이상</v>
      </c>
      <c r="P1795" t="str">
        <f>VLOOKUP(D1795,상품정보!$A$2:$E$61,2,FALSE)</f>
        <v>반팔 티셔츠</v>
      </c>
      <c r="Q1795" t="str">
        <f>VLOOKUP(D1795,상품정보!$A$2:$D$151,3,FALSE)</f>
        <v>의류</v>
      </c>
      <c r="R1795" t="str">
        <f>VLOOKUP(D1795,상품정보!$A$2:$D$151,4,FALSE)</f>
        <v>브랜드F</v>
      </c>
    </row>
    <row r="1796" spans="1:18" x14ac:dyDescent="0.45">
      <c r="A1796" t="s">
        <v>139</v>
      </c>
      <c r="B1796" t="s">
        <v>2195</v>
      </c>
      <c r="C1796" t="s">
        <v>2504</v>
      </c>
      <c r="D1796" t="s">
        <v>2576</v>
      </c>
      <c r="E1796">
        <v>3</v>
      </c>
      <c r="F1796">
        <v>8800</v>
      </c>
      <c r="G1796">
        <v>0</v>
      </c>
      <c r="H1796">
        <v>0</v>
      </c>
      <c r="I1796" t="s">
        <v>2652</v>
      </c>
      <c r="J1796" s="4">
        <f t="shared" si="84"/>
        <v>26400</v>
      </c>
      <c r="K1796" s="4" t="str">
        <f t="shared" si="85"/>
        <v>2024-12</v>
      </c>
      <c r="L1796" s="4" t="str">
        <f t="shared" si="86"/>
        <v>금</v>
      </c>
      <c r="M1796" s="2" t="str">
        <f>VLOOKUP($C1796, 고객정보!$A$2:$E$151, 2, FALSE)</f>
        <v>서울</v>
      </c>
      <c r="N1796" t="str">
        <f>VLOOKUP(C1796,고객정보!$A$2:$D$151,4,FALSE)</f>
        <v>L1</v>
      </c>
      <c r="O1796" t="str">
        <f>VLOOKUP($C1796, 고객정보!$A$2:$E$151, 5, FALSE)</f>
        <v>40대</v>
      </c>
      <c r="P1796" t="str">
        <f>VLOOKUP(D1796,상품정보!$A$2:$E$61,2,FALSE)</f>
        <v>핸드폰케이스</v>
      </c>
      <c r="Q1796" t="str">
        <f>VLOOKUP(D1796,상품정보!$A$2:$D$151,3,FALSE)</f>
        <v>액세서리</v>
      </c>
      <c r="R1796" t="str">
        <f>VLOOKUP(D1796,상품정보!$A$2:$D$151,4,FALSE)</f>
        <v>브랜드D</v>
      </c>
    </row>
    <row r="1797" spans="1:18" x14ac:dyDescent="0.45">
      <c r="A1797" t="s">
        <v>145</v>
      </c>
      <c r="B1797" t="s">
        <v>2196</v>
      </c>
      <c r="C1797" t="s">
        <v>2426</v>
      </c>
      <c r="D1797" t="s">
        <v>2588</v>
      </c>
      <c r="E1797">
        <v>1</v>
      </c>
      <c r="F1797">
        <v>7700</v>
      </c>
      <c r="G1797">
        <v>0</v>
      </c>
      <c r="H1797">
        <v>0</v>
      </c>
      <c r="I1797" t="s">
        <v>2652</v>
      </c>
      <c r="J1797" s="4">
        <f t="shared" si="84"/>
        <v>7700</v>
      </c>
      <c r="K1797" s="4" t="str">
        <f t="shared" si="85"/>
        <v>2024-05</v>
      </c>
      <c r="L1797" s="4" t="str">
        <f t="shared" si="86"/>
        <v>일</v>
      </c>
      <c r="M1797" s="2" t="str">
        <f>VLOOKUP($C1797, 고객정보!$A$2:$E$151, 2, FALSE)</f>
        <v>대전</v>
      </c>
      <c r="N1797" t="str">
        <f>VLOOKUP(C1797,고객정보!$A$2:$D$151,4,FALSE)</f>
        <v>L5</v>
      </c>
      <c r="O1797" t="str">
        <f>VLOOKUP($C1797, 고객정보!$A$2:$E$151, 5, FALSE)</f>
        <v>30대</v>
      </c>
      <c r="P1797" t="str">
        <f>VLOOKUP(D1797,상품정보!$A$2:$E$61,2,FALSE)</f>
        <v>귀걸이</v>
      </c>
      <c r="Q1797" t="str">
        <f>VLOOKUP(D1797,상품정보!$A$2:$D$151,3,FALSE)</f>
        <v>액세서리</v>
      </c>
      <c r="R1797" t="str">
        <f>VLOOKUP(D1797,상품정보!$A$2:$D$151,4,FALSE)</f>
        <v>브랜드D</v>
      </c>
    </row>
    <row r="1798" spans="1:18" x14ac:dyDescent="0.45">
      <c r="A1798" t="s">
        <v>330</v>
      </c>
      <c r="B1798" t="s">
        <v>2197</v>
      </c>
      <c r="C1798" t="s">
        <v>2524</v>
      </c>
      <c r="D1798" t="s">
        <v>2553</v>
      </c>
      <c r="E1798">
        <v>4</v>
      </c>
      <c r="F1798">
        <v>63400</v>
      </c>
      <c r="G1798">
        <v>0</v>
      </c>
      <c r="H1798">
        <v>5500</v>
      </c>
      <c r="I1798" t="s">
        <v>2611</v>
      </c>
      <c r="J1798" s="4">
        <f t="shared" si="84"/>
        <v>248100</v>
      </c>
      <c r="K1798" s="4" t="str">
        <f t="shared" si="85"/>
        <v>2024-05</v>
      </c>
      <c r="L1798" s="4" t="str">
        <f t="shared" si="86"/>
        <v>수</v>
      </c>
      <c r="M1798" s="2" t="str">
        <f>VLOOKUP($C1798, 고객정보!$A$2:$E$151, 2, FALSE)</f>
        <v>서울</v>
      </c>
      <c r="N1798" t="str">
        <f>VLOOKUP(C1798,고객정보!$A$2:$D$151,4,FALSE)</f>
        <v>L5</v>
      </c>
      <c r="O1798" t="str">
        <f>VLOOKUP($C1798, 고객정보!$A$2:$E$151, 5, FALSE)</f>
        <v>10대</v>
      </c>
      <c r="P1798" t="str">
        <f>VLOOKUP(D1798,상품정보!$A$2:$E$61,2,FALSE)</f>
        <v>귀걸이</v>
      </c>
      <c r="Q1798" t="str">
        <f>VLOOKUP(D1798,상품정보!$A$2:$D$151,3,FALSE)</f>
        <v>액세서리</v>
      </c>
      <c r="R1798" t="str">
        <f>VLOOKUP(D1798,상품정보!$A$2:$D$151,4,FALSE)</f>
        <v>브랜드F</v>
      </c>
    </row>
    <row r="1799" spans="1:18" x14ac:dyDescent="0.45">
      <c r="A1799" t="s">
        <v>256</v>
      </c>
      <c r="B1799" t="s">
        <v>2198</v>
      </c>
      <c r="C1799" t="s">
        <v>2440</v>
      </c>
      <c r="D1799" t="s">
        <v>2556</v>
      </c>
      <c r="E1799">
        <v>3</v>
      </c>
      <c r="F1799">
        <v>70100</v>
      </c>
      <c r="G1799">
        <v>0</v>
      </c>
      <c r="H1799">
        <v>0</v>
      </c>
      <c r="I1799" t="s">
        <v>2652</v>
      </c>
      <c r="J1799" s="4">
        <f t="shared" si="84"/>
        <v>210300</v>
      </c>
      <c r="K1799" s="4" t="str">
        <f t="shared" si="85"/>
        <v>2024-04</v>
      </c>
      <c r="L1799" s="4" t="str">
        <f t="shared" si="86"/>
        <v>토</v>
      </c>
      <c r="M1799" s="2" t="str">
        <f>VLOOKUP($C1799, 고객정보!$A$2:$E$151, 2, FALSE)</f>
        <v>대구</v>
      </c>
      <c r="N1799" t="str">
        <f>VLOOKUP(C1799,고객정보!$A$2:$D$151,4,FALSE)</f>
        <v>L2</v>
      </c>
      <c r="O1799" t="str">
        <f>VLOOKUP($C1799, 고객정보!$A$2:$E$151, 5, FALSE)</f>
        <v>10대</v>
      </c>
      <c r="P1799" t="str">
        <f>VLOOKUP(D1799,상품정보!$A$2:$E$61,2,FALSE)</f>
        <v>핸드폰케이스</v>
      </c>
      <c r="Q1799" t="str">
        <f>VLOOKUP(D1799,상품정보!$A$2:$D$151,3,FALSE)</f>
        <v>액세서리</v>
      </c>
      <c r="R1799" t="str">
        <f>VLOOKUP(D1799,상품정보!$A$2:$D$151,4,FALSE)</f>
        <v>브랜드F</v>
      </c>
    </row>
    <row r="1800" spans="1:18" x14ac:dyDescent="0.45">
      <c r="A1800" t="s">
        <v>50</v>
      </c>
      <c r="B1800" t="s">
        <v>2199</v>
      </c>
      <c r="C1800" t="s">
        <v>2513</v>
      </c>
      <c r="D1800" t="s">
        <v>2600</v>
      </c>
      <c r="E1800">
        <v>2</v>
      </c>
      <c r="F1800">
        <v>10900</v>
      </c>
      <c r="G1800">
        <v>0</v>
      </c>
      <c r="H1800">
        <v>0</v>
      </c>
      <c r="I1800" t="s">
        <v>2652</v>
      </c>
      <c r="J1800" s="4">
        <f t="shared" si="84"/>
        <v>21800</v>
      </c>
      <c r="K1800" s="4" t="str">
        <f t="shared" si="85"/>
        <v>2024-02</v>
      </c>
      <c r="L1800" s="4" t="str">
        <f t="shared" si="86"/>
        <v>화</v>
      </c>
      <c r="M1800" s="2" t="str">
        <f>VLOOKUP($C1800, 고객정보!$A$2:$E$151, 2, FALSE)</f>
        <v>수원</v>
      </c>
      <c r="N1800" t="str">
        <f>VLOOKUP(C1800,고객정보!$A$2:$D$151,4,FALSE)</f>
        <v>L5</v>
      </c>
      <c r="O1800" t="str">
        <f>VLOOKUP($C1800, 고객정보!$A$2:$E$151, 5, FALSE)</f>
        <v>20대</v>
      </c>
      <c r="P1800" t="str">
        <f>VLOOKUP(D1800,상품정보!$A$2:$E$61,2,FALSE)</f>
        <v>셔츠</v>
      </c>
      <c r="Q1800" t="str">
        <f>VLOOKUP(D1800,상품정보!$A$2:$D$151,3,FALSE)</f>
        <v>의류</v>
      </c>
      <c r="R1800" t="str">
        <f>VLOOKUP(D1800,상품정보!$A$2:$D$151,4,FALSE)</f>
        <v>브랜드E</v>
      </c>
    </row>
    <row r="1801" spans="1:18" x14ac:dyDescent="0.45">
      <c r="A1801" t="s">
        <v>293</v>
      </c>
      <c r="B1801" t="s">
        <v>2200</v>
      </c>
      <c r="C1801" t="s">
        <v>2440</v>
      </c>
      <c r="D1801" t="s">
        <v>2577</v>
      </c>
      <c r="E1801">
        <v>1</v>
      </c>
      <c r="F1801">
        <v>10200</v>
      </c>
      <c r="G1801">
        <v>0</v>
      </c>
      <c r="H1801">
        <v>0</v>
      </c>
      <c r="I1801" t="s">
        <v>2652</v>
      </c>
      <c r="J1801" s="4">
        <f t="shared" si="84"/>
        <v>10200</v>
      </c>
      <c r="K1801" s="4" t="str">
        <f t="shared" si="85"/>
        <v>2024-04</v>
      </c>
      <c r="L1801" s="4" t="str">
        <f t="shared" si="86"/>
        <v>토</v>
      </c>
      <c r="M1801" s="2" t="str">
        <f>VLOOKUP($C1801, 고객정보!$A$2:$E$151, 2, FALSE)</f>
        <v>대구</v>
      </c>
      <c r="N1801" t="str">
        <f>VLOOKUP(C1801,고객정보!$A$2:$D$151,4,FALSE)</f>
        <v>L2</v>
      </c>
      <c r="O1801" t="str">
        <f>VLOOKUP($C1801, 고객정보!$A$2:$E$151, 5, FALSE)</f>
        <v>10대</v>
      </c>
      <c r="P1801" t="str">
        <f>VLOOKUP(D1801,상품정보!$A$2:$E$61,2,FALSE)</f>
        <v>셔츠</v>
      </c>
      <c r="Q1801" t="str">
        <f>VLOOKUP(D1801,상품정보!$A$2:$D$151,3,FALSE)</f>
        <v>의류</v>
      </c>
      <c r="R1801" t="str">
        <f>VLOOKUP(D1801,상품정보!$A$2:$D$151,4,FALSE)</f>
        <v>브랜드C</v>
      </c>
    </row>
    <row r="1802" spans="1:18" x14ac:dyDescent="0.45">
      <c r="A1802" t="s">
        <v>103</v>
      </c>
      <c r="B1802" t="s">
        <v>2201</v>
      </c>
      <c r="C1802" t="s">
        <v>2411</v>
      </c>
      <c r="D1802" t="s">
        <v>2556</v>
      </c>
      <c r="E1802">
        <v>5</v>
      </c>
      <c r="F1802">
        <v>70100</v>
      </c>
      <c r="G1802">
        <v>0</v>
      </c>
      <c r="H1802">
        <v>0</v>
      </c>
      <c r="I1802" t="s">
        <v>2652</v>
      </c>
      <c r="J1802" s="4">
        <f t="shared" si="84"/>
        <v>350500</v>
      </c>
      <c r="K1802" s="4" t="str">
        <f t="shared" si="85"/>
        <v>2024-01</v>
      </c>
      <c r="L1802" s="4" t="str">
        <f t="shared" si="86"/>
        <v>토</v>
      </c>
      <c r="M1802" s="2" t="str">
        <f>VLOOKUP($C1802, 고객정보!$A$2:$E$151, 2, FALSE)</f>
        <v>부산</v>
      </c>
      <c r="N1802" t="str">
        <f>VLOOKUP(C1802,고객정보!$A$2:$D$151,4,FALSE)</f>
        <v>L5</v>
      </c>
      <c r="O1802" t="str">
        <f>VLOOKUP($C1802, 고객정보!$A$2:$E$151, 5, FALSE)</f>
        <v>30대</v>
      </c>
      <c r="P1802" t="str">
        <f>VLOOKUP(D1802,상품정보!$A$2:$E$61,2,FALSE)</f>
        <v>핸드폰케이스</v>
      </c>
      <c r="Q1802" t="str">
        <f>VLOOKUP(D1802,상품정보!$A$2:$D$151,3,FALSE)</f>
        <v>액세서리</v>
      </c>
      <c r="R1802" t="str">
        <f>VLOOKUP(D1802,상품정보!$A$2:$D$151,4,FALSE)</f>
        <v>브랜드F</v>
      </c>
    </row>
    <row r="1803" spans="1:18" x14ac:dyDescent="0.45">
      <c r="A1803" t="s">
        <v>39</v>
      </c>
      <c r="B1803" t="s">
        <v>2202</v>
      </c>
      <c r="C1803" t="s">
        <v>2545</v>
      </c>
      <c r="D1803" t="s">
        <v>2590</v>
      </c>
      <c r="E1803">
        <v>5</v>
      </c>
      <c r="F1803">
        <v>68900</v>
      </c>
      <c r="G1803">
        <v>0</v>
      </c>
      <c r="H1803">
        <v>19200</v>
      </c>
      <c r="I1803" t="s">
        <v>2611</v>
      </c>
      <c r="J1803" s="4">
        <f t="shared" si="84"/>
        <v>325300</v>
      </c>
      <c r="K1803" s="4" t="str">
        <f t="shared" si="85"/>
        <v>2024-03</v>
      </c>
      <c r="L1803" s="4" t="str">
        <f t="shared" si="86"/>
        <v>화</v>
      </c>
      <c r="M1803" s="2" t="str">
        <f>VLOOKUP($C1803, 고객정보!$A$2:$E$151, 2, FALSE)</f>
        <v>서울</v>
      </c>
      <c r="N1803" t="str">
        <f>VLOOKUP(C1803,고객정보!$A$2:$D$151,4,FALSE)</f>
        <v>L4</v>
      </c>
      <c r="O1803" t="str">
        <f>VLOOKUP($C1803, 고객정보!$A$2:$E$151, 5, FALSE)</f>
        <v>30대</v>
      </c>
      <c r="P1803" t="str">
        <f>VLOOKUP(D1803,상품정보!$A$2:$E$61,2,FALSE)</f>
        <v>반팔 티셔츠</v>
      </c>
      <c r="Q1803" t="str">
        <f>VLOOKUP(D1803,상품정보!$A$2:$D$151,3,FALSE)</f>
        <v>의류</v>
      </c>
      <c r="R1803" t="str">
        <f>VLOOKUP(D1803,상품정보!$A$2:$D$151,4,FALSE)</f>
        <v>브랜드A</v>
      </c>
    </row>
    <row r="1804" spans="1:18" x14ac:dyDescent="0.45">
      <c r="A1804" t="s">
        <v>291</v>
      </c>
      <c r="B1804" t="s">
        <v>2203</v>
      </c>
      <c r="C1804" t="s">
        <v>2464</v>
      </c>
      <c r="D1804" t="s">
        <v>2558</v>
      </c>
      <c r="E1804">
        <v>4</v>
      </c>
      <c r="F1804">
        <v>63700</v>
      </c>
      <c r="G1804">
        <v>0</v>
      </c>
      <c r="H1804">
        <v>0</v>
      </c>
      <c r="I1804" t="s">
        <v>2652</v>
      </c>
      <c r="J1804" s="4">
        <f t="shared" si="84"/>
        <v>254800</v>
      </c>
      <c r="K1804" s="4" t="str">
        <f t="shared" si="85"/>
        <v>2025-01</v>
      </c>
      <c r="L1804" s="4" t="str">
        <f t="shared" si="86"/>
        <v>금</v>
      </c>
      <c r="M1804" s="2" t="str">
        <f>VLOOKUP($C1804, 고객정보!$A$2:$E$151, 2, FALSE)</f>
        <v>대구</v>
      </c>
      <c r="N1804" t="str">
        <f>VLOOKUP(C1804,고객정보!$A$2:$D$151,4,FALSE)</f>
        <v>L1</v>
      </c>
      <c r="O1804" t="str">
        <f>VLOOKUP($C1804, 고객정보!$A$2:$E$151, 5, FALSE)</f>
        <v>20대</v>
      </c>
      <c r="P1804" t="str">
        <f>VLOOKUP(D1804,상품정보!$A$2:$E$61,2,FALSE)</f>
        <v>셔츠</v>
      </c>
      <c r="Q1804" t="str">
        <f>VLOOKUP(D1804,상품정보!$A$2:$D$151,3,FALSE)</f>
        <v>의류</v>
      </c>
      <c r="R1804" t="str">
        <f>VLOOKUP(D1804,상품정보!$A$2:$D$151,4,FALSE)</f>
        <v>브랜드A</v>
      </c>
    </row>
    <row r="1805" spans="1:18" x14ac:dyDescent="0.45">
      <c r="A1805" t="s">
        <v>380</v>
      </c>
      <c r="B1805" t="s">
        <v>2204</v>
      </c>
      <c r="C1805" t="s">
        <v>2513</v>
      </c>
      <c r="D1805" t="s">
        <v>2600</v>
      </c>
      <c r="E1805">
        <v>3</v>
      </c>
      <c r="F1805">
        <v>10900</v>
      </c>
      <c r="G1805">
        <v>500</v>
      </c>
      <c r="H1805">
        <v>0</v>
      </c>
      <c r="I1805" t="s">
        <v>2652</v>
      </c>
      <c r="J1805" s="4">
        <f t="shared" si="84"/>
        <v>33200</v>
      </c>
      <c r="K1805" s="4" t="str">
        <f t="shared" si="85"/>
        <v>2024-03</v>
      </c>
      <c r="L1805" s="4" t="str">
        <f t="shared" si="86"/>
        <v>목</v>
      </c>
      <c r="M1805" s="2" t="str">
        <f>VLOOKUP($C1805, 고객정보!$A$2:$E$151, 2, FALSE)</f>
        <v>수원</v>
      </c>
      <c r="N1805" t="str">
        <f>VLOOKUP(C1805,고객정보!$A$2:$D$151,4,FALSE)</f>
        <v>L5</v>
      </c>
      <c r="O1805" t="str">
        <f>VLOOKUP($C1805, 고객정보!$A$2:$E$151, 5, FALSE)</f>
        <v>20대</v>
      </c>
      <c r="P1805" t="str">
        <f>VLOOKUP(D1805,상품정보!$A$2:$E$61,2,FALSE)</f>
        <v>셔츠</v>
      </c>
      <c r="Q1805" t="str">
        <f>VLOOKUP(D1805,상품정보!$A$2:$D$151,3,FALSE)</f>
        <v>의류</v>
      </c>
      <c r="R1805" t="str">
        <f>VLOOKUP(D1805,상품정보!$A$2:$D$151,4,FALSE)</f>
        <v>브랜드E</v>
      </c>
    </row>
    <row r="1806" spans="1:18" x14ac:dyDescent="0.45">
      <c r="A1806" t="s">
        <v>9</v>
      </c>
      <c r="B1806" t="s">
        <v>2205</v>
      </c>
      <c r="C1806" t="s">
        <v>2527</v>
      </c>
      <c r="D1806" t="s">
        <v>2602</v>
      </c>
      <c r="E1806">
        <v>5</v>
      </c>
      <c r="F1806">
        <v>59900</v>
      </c>
      <c r="G1806">
        <v>500</v>
      </c>
      <c r="H1806">
        <v>0</v>
      </c>
      <c r="I1806" t="s">
        <v>2652</v>
      </c>
      <c r="J1806" s="4">
        <f t="shared" si="84"/>
        <v>300000</v>
      </c>
      <c r="K1806" s="4" t="str">
        <f t="shared" si="85"/>
        <v>2024-12</v>
      </c>
      <c r="L1806" s="4" t="str">
        <f t="shared" si="86"/>
        <v>목</v>
      </c>
      <c r="M1806" s="2" t="str">
        <f>VLOOKUP($C1806, 고객정보!$A$2:$E$151, 2, FALSE)</f>
        <v>광주</v>
      </c>
      <c r="N1806" t="str">
        <f>VLOOKUP(C1806,고객정보!$A$2:$D$151,4,FALSE)</f>
        <v>L2</v>
      </c>
      <c r="O1806" t="str">
        <f>VLOOKUP($C1806, 고객정보!$A$2:$E$151, 5, FALSE)</f>
        <v>30대</v>
      </c>
      <c r="P1806" t="str">
        <f>VLOOKUP(D1806,상품정보!$A$2:$E$61,2,FALSE)</f>
        <v>셔츠</v>
      </c>
      <c r="Q1806" t="str">
        <f>VLOOKUP(D1806,상품정보!$A$2:$D$151,3,FALSE)</f>
        <v>의류</v>
      </c>
      <c r="R1806" t="str">
        <f>VLOOKUP(D1806,상품정보!$A$2:$D$151,4,FALSE)</f>
        <v>브랜드A</v>
      </c>
    </row>
    <row r="1807" spans="1:18" x14ac:dyDescent="0.45">
      <c r="A1807" t="s">
        <v>395</v>
      </c>
      <c r="B1807" t="s">
        <v>2206</v>
      </c>
      <c r="C1807" t="s">
        <v>2469</v>
      </c>
      <c r="D1807" t="s">
        <v>2572</v>
      </c>
      <c r="E1807">
        <v>1</v>
      </c>
      <c r="F1807">
        <v>61700</v>
      </c>
      <c r="G1807">
        <v>500</v>
      </c>
      <c r="H1807">
        <v>1900</v>
      </c>
      <c r="I1807" t="s">
        <v>2612</v>
      </c>
      <c r="J1807" s="4">
        <f t="shared" si="84"/>
        <v>60300</v>
      </c>
      <c r="K1807" s="4" t="str">
        <f t="shared" si="85"/>
        <v>2024-08</v>
      </c>
      <c r="L1807" s="4" t="str">
        <f t="shared" si="86"/>
        <v>금</v>
      </c>
      <c r="M1807" s="2" t="str">
        <f>VLOOKUP($C1807, 고객정보!$A$2:$E$151, 2, FALSE)</f>
        <v>수원</v>
      </c>
      <c r="N1807" t="str">
        <f>VLOOKUP(C1807,고객정보!$A$2:$D$151,4,FALSE)</f>
        <v>L5</v>
      </c>
      <c r="O1807" t="str">
        <f>VLOOKUP($C1807, 고객정보!$A$2:$E$151, 5, FALSE)</f>
        <v>20대</v>
      </c>
      <c r="P1807" t="str">
        <f>VLOOKUP(D1807,상품정보!$A$2:$E$61,2,FALSE)</f>
        <v>반팔 티셔츠</v>
      </c>
      <c r="Q1807" t="str">
        <f>VLOOKUP(D1807,상품정보!$A$2:$D$151,3,FALSE)</f>
        <v>의류</v>
      </c>
      <c r="R1807" t="str">
        <f>VLOOKUP(D1807,상품정보!$A$2:$D$151,4,FALSE)</f>
        <v>브랜드F</v>
      </c>
    </row>
    <row r="1808" spans="1:18" x14ac:dyDescent="0.45">
      <c r="A1808" t="s">
        <v>108</v>
      </c>
      <c r="B1808" t="s">
        <v>2207</v>
      </c>
      <c r="C1808" t="s">
        <v>2549</v>
      </c>
      <c r="D1808" t="s">
        <v>2588</v>
      </c>
      <c r="E1808">
        <v>5</v>
      </c>
      <c r="F1808">
        <v>7700</v>
      </c>
      <c r="G1808">
        <v>1500</v>
      </c>
      <c r="H1808">
        <v>0</v>
      </c>
      <c r="I1808" t="s">
        <v>2652</v>
      </c>
      <c r="J1808" s="4">
        <f t="shared" si="84"/>
        <v>40000</v>
      </c>
      <c r="K1808" s="4" t="str">
        <f t="shared" si="85"/>
        <v>2024-02</v>
      </c>
      <c r="L1808" s="4" t="str">
        <f t="shared" si="86"/>
        <v>목</v>
      </c>
      <c r="M1808" s="2" t="str">
        <f>VLOOKUP($C1808, 고객정보!$A$2:$E$151, 2, FALSE)</f>
        <v>서울</v>
      </c>
      <c r="N1808" t="str">
        <f>VLOOKUP(C1808,고객정보!$A$2:$D$151,4,FALSE)</f>
        <v>L2</v>
      </c>
      <c r="O1808" t="str">
        <f>VLOOKUP($C1808, 고객정보!$A$2:$E$151, 5, FALSE)</f>
        <v>40대</v>
      </c>
      <c r="P1808" t="str">
        <f>VLOOKUP(D1808,상품정보!$A$2:$E$61,2,FALSE)</f>
        <v>귀걸이</v>
      </c>
      <c r="Q1808" t="str">
        <f>VLOOKUP(D1808,상품정보!$A$2:$D$151,3,FALSE)</f>
        <v>액세서리</v>
      </c>
      <c r="R1808" t="str">
        <f>VLOOKUP(D1808,상품정보!$A$2:$D$151,4,FALSE)</f>
        <v>브랜드D</v>
      </c>
    </row>
    <row r="1809" spans="1:18" x14ac:dyDescent="0.45">
      <c r="A1809" t="s">
        <v>382</v>
      </c>
      <c r="B1809" t="s">
        <v>2208</v>
      </c>
      <c r="C1809" t="s">
        <v>2408</v>
      </c>
      <c r="D1809" t="s">
        <v>2600</v>
      </c>
      <c r="E1809">
        <v>1</v>
      </c>
      <c r="F1809">
        <v>10900</v>
      </c>
      <c r="G1809">
        <v>0</v>
      </c>
      <c r="H1809">
        <v>0</v>
      </c>
      <c r="I1809" t="s">
        <v>2652</v>
      </c>
      <c r="J1809" s="4">
        <f t="shared" si="84"/>
        <v>10900</v>
      </c>
      <c r="K1809" s="4" t="str">
        <f t="shared" si="85"/>
        <v>2024-12</v>
      </c>
      <c r="L1809" s="4" t="str">
        <f t="shared" si="86"/>
        <v>화</v>
      </c>
      <c r="M1809" s="2" t="str">
        <f>VLOOKUP($C1809, 고객정보!$A$2:$E$151, 2, FALSE)</f>
        <v>수원</v>
      </c>
      <c r="N1809" t="str">
        <f>VLOOKUP(C1809,고객정보!$A$2:$D$151,4,FALSE)</f>
        <v>L5</v>
      </c>
      <c r="O1809" t="str">
        <f>VLOOKUP($C1809, 고객정보!$A$2:$E$151, 5, FALSE)</f>
        <v>20대</v>
      </c>
      <c r="P1809" t="str">
        <f>VLOOKUP(D1809,상품정보!$A$2:$E$61,2,FALSE)</f>
        <v>셔츠</v>
      </c>
      <c r="Q1809" t="str">
        <f>VLOOKUP(D1809,상품정보!$A$2:$D$151,3,FALSE)</f>
        <v>의류</v>
      </c>
      <c r="R1809" t="str">
        <f>VLOOKUP(D1809,상품정보!$A$2:$D$151,4,FALSE)</f>
        <v>브랜드E</v>
      </c>
    </row>
    <row r="1810" spans="1:18" x14ac:dyDescent="0.45">
      <c r="A1810" t="s">
        <v>181</v>
      </c>
      <c r="B1810" t="s">
        <v>2209</v>
      </c>
      <c r="C1810" t="s">
        <v>2544</v>
      </c>
      <c r="D1810" t="s">
        <v>2558</v>
      </c>
      <c r="E1810">
        <v>4</v>
      </c>
      <c r="F1810">
        <v>63700</v>
      </c>
      <c r="G1810">
        <v>1000</v>
      </c>
      <c r="H1810">
        <v>0</v>
      </c>
      <c r="I1810" t="s">
        <v>2652</v>
      </c>
      <c r="J1810" s="4">
        <f t="shared" si="84"/>
        <v>255800</v>
      </c>
      <c r="K1810" s="4" t="str">
        <f t="shared" si="85"/>
        <v>2024-01</v>
      </c>
      <c r="L1810" s="4" t="str">
        <f t="shared" si="86"/>
        <v>수</v>
      </c>
      <c r="M1810" s="2" t="str">
        <f>VLOOKUP($C1810, 고객정보!$A$2:$E$151, 2, FALSE)</f>
        <v>서울</v>
      </c>
      <c r="N1810" t="str">
        <f>VLOOKUP(C1810,고객정보!$A$2:$D$151,4,FALSE)</f>
        <v>L5</v>
      </c>
      <c r="O1810" t="str">
        <f>VLOOKUP($C1810, 고객정보!$A$2:$E$151, 5, FALSE)</f>
        <v>40대</v>
      </c>
      <c r="P1810" t="str">
        <f>VLOOKUP(D1810,상품정보!$A$2:$E$61,2,FALSE)</f>
        <v>셔츠</v>
      </c>
      <c r="Q1810" t="str">
        <f>VLOOKUP(D1810,상품정보!$A$2:$D$151,3,FALSE)</f>
        <v>의류</v>
      </c>
      <c r="R1810" t="str">
        <f>VLOOKUP(D1810,상품정보!$A$2:$D$151,4,FALSE)</f>
        <v>브랜드A</v>
      </c>
    </row>
    <row r="1811" spans="1:18" x14ac:dyDescent="0.45">
      <c r="A1811" t="s">
        <v>392</v>
      </c>
      <c r="B1811" t="s">
        <v>2210</v>
      </c>
      <c r="C1811" t="s">
        <v>2523</v>
      </c>
      <c r="D1811" t="s">
        <v>2578</v>
      </c>
      <c r="E1811">
        <v>3</v>
      </c>
      <c r="F1811">
        <v>78000</v>
      </c>
      <c r="G1811">
        <v>1500</v>
      </c>
      <c r="H1811">
        <v>0</v>
      </c>
      <c r="I1811" t="s">
        <v>2652</v>
      </c>
      <c r="J1811" s="4">
        <f t="shared" si="84"/>
        <v>235500</v>
      </c>
      <c r="K1811" s="4" t="str">
        <f t="shared" si="85"/>
        <v>2024-01</v>
      </c>
      <c r="L1811" s="4" t="str">
        <f t="shared" si="86"/>
        <v>금</v>
      </c>
      <c r="M1811" s="2" t="str">
        <f>VLOOKUP($C1811, 고객정보!$A$2:$E$151, 2, FALSE)</f>
        <v>서울</v>
      </c>
      <c r="N1811" t="str">
        <f>VLOOKUP(C1811,고객정보!$A$2:$D$151,4,FALSE)</f>
        <v>L3</v>
      </c>
      <c r="O1811" t="str">
        <f>VLOOKUP($C1811, 고객정보!$A$2:$E$151, 5, FALSE)</f>
        <v>20대</v>
      </c>
      <c r="P1811" t="str">
        <f>VLOOKUP(D1811,상품정보!$A$2:$E$61,2,FALSE)</f>
        <v>귀걸이</v>
      </c>
      <c r="Q1811" t="str">
        <f>VLOOKUP(D1811,상품정보!$A$2:$D$151,3,FALSE)</f>
        <v>액세서리</v>
      </c>
      <c r="R1811" t="str">
        <f>VLOOKUP(D1811,상품정보!$A$2:$D$151,4,FALSE)</f>
        <v>브랜드B</v>
      </c>
    </row>
    <row r="1812" spans="1:18" x14ac:dyDescent="0.45">
      <c r="A1812" t="s">
        <v>47</v>
      </c>
      <c r="B1812" t="s">
        <v>2211</v>
      </c>
      <c r="C1812" t="s">
        <v>2494</v>
      </c>
      <c r="D1812" t="s">
        <v>2557</v>
      </c>
      <c r="E1812">
        <v>3</v>
      </c>
      <c r="F1812">
        <v>77700</v>
      </c>
      <c r="G1812">
        <v>1000</v>
      </c>
      <c r="H1812">
        <v>0</v>
      </c>
      <c r="I1812" t="s">
        <v>2652</v>
      </c>
      <c r="J1812" s="4">
        <f t="shared" si="84"/>
        <v>234100</v>
      </c>
      <c r="K1812" s="4" t="str">
        <f t="shared" si="85"/>
        <v>2024-11</v>
      </c>
      <c r="L1812" s="4" t="str">
        <f t="shared" si="86"/>
        <v>토</v>
      </c>
      <c r="M1812" s="2" t="str">
        <f>VLOOKUP($C1812, 고객정보!$A$2:$E$151, 2, FALSE)</f>
        <v>대구</v>
      </c>
      <c r="N1812" t="str">
        <f>VLOOKUP(C1812,고객정보!$A$2:$D$151,4,FALSE)</f>
        <v>L4</v>
      </c>
      <c r="O1812" t="str">
        <f>VLOOKUP($C1812, 고객정보!$A$2:$E$151, 5, FALSE)</f>
        <v>40대</v>
      </c>
      <c r="P1812" t="str">
        <f>VLOOKUP(D1812,상품정보!$A$2:$E$61,2,FALSE)</f>
        <v>귀걸이</v>
      </c>
      <c r="Q1812" t="str">
        <f>VLOOKUP(D1812,상품정보!$A$2:$D$151,3,FALSE)</f>
        <v>액세서리</v>
      </c>
      <c r="R1812" t="str">
        <f>VLOOKUP(D1812,상품정보!$A$2:$D$151,4,FALSE)</f>
        <v>브랜드B</v>
      </c>
    </row>
    <row r="1813" spans="1:18" x14ac:dyDescent="0.45">
      <c r="A1813" t="s">
        <v>179</v>
      </c>
      <c r="B1813" t="s">
        <v>2212</v>
      </c>
      <c r="C1813" t="s">
        <v>2420</v>
      </c>
      <c r="D1813" t="s">
        <v>2597</v>
      </c>
      <c r="E1813">
        <v>2</v>
      </c>
      <c r="F1813">
        <v>65300</v>
      </c>
      <c r="G1813">
        <v>1500</v>
      </c>
      <c r="H1813">
        <v>1800</v>
      </c>
      <c r="I1813" t="s">
        <v>2614</v>
      </c>
      <c r="J1813" s="4">
        <f t="shared" si="84"/>
        <v>130300</v>
      </c>
      <c r="K1813" s="4" t="str">
        <f t="shared" si="85"/>
        <v>2024-04</v>
      </c>
      <c r="L1813" s="4" t="str">
        <f t="shared" si="86"/>
        <v>월</v>
      </c>
      <c r="M1813" s="2" t="str">
        <f>VLOOKUP($C1813, 고객정보!$A$2:$E$151, 2, FALSE)</f>
        <v>대전</v>
      </c>
      <c r="N1813" t="str">
        <f>VLOOKUP(C1813,고객정보!$A$2:$D$151,4,FALSE)</f>
        <v>L3</v>
      </c>
      <c r="O1813" t="str">
        <f>VLOOKUP($C1813, 고객정보!$A$2:$E$151, 5, FALSE)</f>
        <v>30대</v>
      </c>
      <c r="P1813" t="str">
        <f>VLOOKUP(D1813,상품정보!$A$2:$E$61,2,FALSE)</f>
        <v>반지</v>
      </c>
      <c r="Q1813" t="str">
        <f>VLOOKUP(D1813,상품정보!$A$2:$D$151,3,FALSE)</f>
        <v>액세서리</v>
      </c>
      <c r="R1813" t="str">
        <f>VLOOKUP(D1813,상품정보!$A$2:$D$151,4,FALSE)</f>
        <v>브랜드F</v>
      </c>
    </row>
    <row r="1814" spans="1:18" x14ac:dyDescent="0.45">
      <c r="A1814" t="s">
        <v>313</v>
      </c>
      <c r="B1814" t="s">
        <v>2213</v>
      </c>
      <c r="C1814" t="s">
        <v>2547</v>
      </c>
      <c r="D1814" t="s">
        <v>2565</v>
      </c>
      <c r="E1814">
        <v>5</v>
      </c>
      <c r="F1814">
        <v>50000</v>
      </c>
      <c r="G1814">
        <v>500</v>
      </c>
      <c r="H1814">
        <v>0</v>
      </c>
      <c r="I1814" t="s">
        <v>2652</v>
      </c>
      <c r="J1814" s="4">
        <f t="shared" si="84"/>
        <v>250500</v>
      </c>
      <c r="K1814" s="4" t="str">
        <f t="shared" si="85"/>
        <v>2024-06</v>
      </c>
      <c r="L1814" s="4" t="str">
        <f t="shared" si="86"/>
        <v>수</v>
      </c>
      <c r="M1814" s="2" t="str">
        <f>VLOOKUP($C1814, 고객정보!$A$2:$E$151, 2, FALSE)</f>
        <v>광주</v>
      </c>
      <c r="N1814" t="str">
        <f>VLOOKUP(C1814,고객정보!$A$2:$D$151,4,FALSE)</f>
        <v>L2</v>
      </c>
      <c r="O1814" t="str">
        <f>VLOOKUP($C1814, 고객정보!$A$2:$E$151, 5, FALSE)</f>
        <v>20대</v>
      </c>
      <c r="P1814" t="str">
        <f>VLOOKUP(D1814,상품정보!$A$2:$E$61,2,FALSE)</f>
        <v>핸드폰케이스</v>
      </c>
      <c r="Q1814" t="str">
        <f>VLOOKUP(D1814,상품정보!$A$2:$D$151,3,FALSE)</f>
        <v>액세서리</v>
      </c>
      <c r="R1814" t="str">
        <f>VLOOKUP(D1814,상품정보!$A$2:$D$151,4,FALSE)</f>
        <v>브랜드B</v>
      </c>
    </row>
    <row r="1815" spans="1:18" x14ac:dyDescent="0.45">
      <c r="A1815" t="s">
        <v>145</v>
      </c>
      <c r="B1815" t="s">
        <v>2214</v>
      </c>
      <c r="C1815" t="s">
        <v>2470</v>
      </c>
      <c r="D1815" t="s">
        <v>2567</v>
      </c>
      <c r="E1815">
        <v>1</v>
      </c>
      <c r="F1815">
        <v>58600</v>
      </c>
      <c r="G1815">
        <v>1000</v>
      </c>
      <c r="H1815">
        <v>0</v>
      </c>
      <c r="I1815" t="s">
        <v>2652</v>
      </c>
      <c r="J1815" s="4">
        <f t="shared" si="84"/>
        <v>59600</v>
      </c>
      <c r="K1815" s="4" t="str">
        <f t="shared" si="85"/>
        <v>2024-05</v>
      </c>
      <c r="L1815" s="4" t="str">
        <f t="shared" si="86"/>
        <v>일</v>
      </c>
      <c r="M1815" s="2" t="str">
        <f>VLOOKUP($C1815, 고객정보!$A$2:$E$151, 2, FALSE)</f>
        <v>대전</v>
      </c>
      <c r="N1815" t="str">
        <f>VLOOKUP(C1815,고객정보!$A$2:$D$151,4,FALSE)</f>
        <v>L5</v>
      </c>
      <c r="O1815" t="str">
        <f>VLOOKUP($C1815, 고객정보!$A$2:$E$151, 5, FALSE)</f>
        <v>20대</v>
      </c>
      <c r="P1815" t="str">
        <f>VLOOKUP(D1815,상품정보!$A$2:$E$61,2,FALSE)</f>
        <v>귀걸이</v>
      </c>
      <c r="Q1815" t="str">
        <f>VLOOKUP(D1815,상품정보!$A$2:$D$151,3,FALSE)</f>
        <v>액세서리</v>
      </c>
      <c r="R1815" t="str">
        <f>VLOOKUP(D1815,상품정보!$A$2:$D$151,4,FALSE)</f>
        <v>브랜드B</v>
      </c>
    </row>
    <row r="1816" spans="1:18" x14ac:dyDescent="0.45">
      <c r="A1816" t="s">
        <v>183</v>
      </c>
      <c r="B1816" t="s">
        <v>2215</v>
      </c>
      <c r="C1816" t="s">
        <v>2474</v>
      </c>
      <c r="D1816" t="s">
        <v>2566</v>
      </c>
      <c r="E1816">
        <v>3</v>
      </c>
      <c r="F1816">
        <v>60600</v>
      </c>
      <c r="G1816">
        <v>0</v>
      </c>
      <c r="H1816">
        <v>0</v>
      </c>
      <c r="I1816" t="s">
        <v>2652</v>
      </c>
      <c r="J1816" s="4">
        <f t="shared" si="84"/>
        <v>181800</v>
      </c>
      <c r="K1816" s="4" t="str">
        <f t="shared" si="85"/>
        <v>2024-02</v>
      </c>
      <c r="L1816" s="4" t="str">
        <f t="shared" si="86"/>
        <v>수</v>
      </c>
      <c r="M1816" s="2" t="str">
        <f>VLOOKUP($C1816, 고객정보!$A$2:$E$151, 2, FALSE)</f>
        <v>인천</v>
      </c>
      <c r="N1816" t="str">
        <f>VLOOKUP(C1816,고객정보!$A$2:$D$151,4,FALSE)</f>
        <v>L2</v>
      </c>
      <c r="O1816" t="str">
        <f>VLOOKUP($C1816, 고객정보!$A$2:$E$151, 5, FALSE)</f>
        <v>10대</v>
      </c>
      <c r="P1816" t="str">
        <f>VLOOKUP(D1816,상품정보!$A$2:$E$61,2,FALSE)</f>
        <v>반팔 티셔츠</v>
      </c>
      <c r="Q1816" t="str">
        <f>VLOOKUP(D1816,상품정보!$A$2:$D$151,3,FALSE)</f>
        <v>의류</v>
      </c>
      <c r="R1816" t="str">
        <f>VLOOKUP(D1816,상품정보!$A$2:$D$151,4,FALSE)</f>
        <v>브랜드A</v>
      </c>
    </row>
    <row r="1817" spans="1:18" x14ac:dyDescent="0.45">
      <c r="A1817" t="s">
        <v>206</v>
      </c>
      <c r="B1817" t="s">
        <v>2216</v>
      </c>
      <c r="C1817" t="s">
        <v>2514</v>
      </c>
      <c r="D1817" t="s">
        <v>2598</v>
      </c>
      <c r="E1817">
        <v>5</v>
      </c>
      <c r="F1817">
        <v>77300</v>
      </c>
      <c r="G1817">
        <v>500</v>
      </c>
      <c r="H1817">
        <v>15600</v>
      </c>
      <c r="I1817" t="s">
        <v>2612</v>
      </c>
      <c r="J1817" s="4">
        <f t="shared" si="84"/>
        <v>371400</v>
      </c>
      <c r="K1817" s="4" t="str">
        <f t="shared" si="85"/>
        <v>2024-09</v>
      </c>
      <c r="L1817" s="4" t="str">
        <f t="shared" si="86"/>
        <v>금</v>
      </c>
      <c r="M1817" s="2" t="str">
        <f>VLOOKUP($C1817, 고객정보!$A$2:$E$151, 2, FALSE)</f>
        <v>대구</v>
      </c>
      <c r="N1817" t="str">
        <f>VLOOKUP(C1817,고객정보!$A$2:$D$151,4,FALSE)</f>
        <v>L1</v>
      </c>
      <c r="O1817" t="str">
        <f>VLOOKUP($C1817, 고객정보!$A$2:$E$151, 5, FALSE)</f>
        <v>20대</v>
      </c>
      <c r="P1817" t="str">
        <f>VLOOKUP(D1817,상품정보!$A$2:$E$61,2,FALSE)</f>
        <v>청바지</v>
      </c>
      <c r="Q1817" t="str">
        <f>VLOOKUP(D1817,상품정보!$A$2:$D$151,3,FALSE)</f>
        <v>의류</v>
      </c>
      <c r="R1817" t="str">
        <f>VLOOKUP(D1817,상품정보!$A$2:$D$151,4,FALSE)</f>
        <v>브랜드F</v>
      </c>
    </row>
    <row r="1818" spans="1:18" x14ac:dyDescent="0.45">
      <c r="A1818" t="s">
        <v>106</v>
      </c>
      <c r="B1818" t="s">
        <v>2217</v>
      </c>
      <c r="C1818" t="s">
        <v>2523</v>
      </c>
      <c r="D1818" t="s">
        <v>2572</v>
      </c>
      <c r="E1818">
        <v>5</v>
      </c>
      <c r="F1818">
        <v>61700</v>
      </c>
      <c r="G1818">
        <v>0</v>
      </c>
      <c r="H1818">
        <v>0</v>
      </c>
      <c r="I1818" t="s">
        <v>2652</v>
      </c>
      <c r="J1818" s="4">
        <f t="shared" si="84"/>
        <v>308500</v>
      </c>
      <c r="K1818" s="4" t="str">
        <f t="shared" si="85"/>
        <v>2024-06</v>
      </c>
      <c r="L1818" s="4" t="str">
        <f t="shared" si="86"/>
        <v>금</v>
      </c>
      <c r="M1818" s="2" t="str">
        <f>VLOOKUP($C1818, 고객정보!$A$2:$E$151, 2, FALSE)</f>
        <v>서울</v>
      </c>
      <c r="N1818" t="str">
        <f>VLOOKUP(C1818,고객정보!$A$2:$D$151,4,FALSE)</f>
        <v>L3</v>
      </c>
      <c r="O1818" t="str">
        <f>VLOOKUP($C1818, 고객정보!$A$2:$E$151, 5, FALSE)</f>
        <v>20대</v>
      </c>
      <c r="P1818" t="str">
        <f>VLOOKUP(D1818,상품정보!$A$2:$E$61,2,FALSE)</f>
        <v>반팔 티셔츠</v>
      </c>
      <c r="Q1818" t="str">
        <f>VLOOKUP(D1818,상품정보!$A$2:$D$151,3,FALSE)</f>
        <v>의류</v>
      </c>
      <c r="R1818" t="str">
        <f>VLOOKUP(D1818,상품정보!$A$2:$D$151,4,FALSE)</f>
        <v>브랜드F</v>
      </c>
    </row>
    <row r="1819" spans="1:18" x14ac:dyDescent="0.45">
      <c r="A1819" t="s">
        <v>308</v>
      </c>
      <c r="B1819" t="s">
        <v>2218</v>
      </c>
      <c r="C1819" t="s">
        <v>2495</v>
      </c>
      <c r="D1819" t="s">
        <v>2597</v>
      </c>
      <c r="E1819">
        <v>3</v>
      </c>
      <c r="F1819">
        <v>65300</v>
      </c>
      <c r="G1819">
        <v>0</v>
      </c>
      <c r="H1819">
        <v>900</v>
      </c>
      <c r="I1819" t="s">
        <v>2614</v>
      </c>
      <c r="J1819" s="4">
        <f t="shared" si="84"/>
        <v>195000</v>
      </c>
      <c r="K1819" s="4" t="str">
        <f t="shared" si="85"/>
        <v>2024-03</v>
      </c>
      <c r="L1819" s="4" t="str">
        <f t="shared" si="86"/>
        <v>수</v>
      </c>
      <c r="M1819" s="2" t="str">
        <f>VLOOKUP($C1819, 고객정보!$A$2:$E$151, 2, FALSE)</f>
        <v>N/A</v>
      </c>
      <c r="N1819" t="str">
        <f>VLOOKUP(C1819,고객정보!$A$2:$D$151,4,FALSE)</f>
        <v>L1</v>
      </c>
      <c r="O1819" t="str">
        <f>VLOOKUP($C1819, 고객정보!$A$2:$E$151, 5, FALSE)</f>
        <v>50대 이상</v>
      </c>
      <c r="P1819" t="str">
        <f>VLOOKUP(D1819,상품정보!$A$2:$E$61,2,FALSE)</f>
        <v>반지</v>
      </c>
      <c r="Q1819" t="str">
        <f>VLOOKUP(D1819,상품정보!$A$2:$D$151,3,FALSE)</f>
        <v>액세서리</v>
      </c>
      <c r="R1819" t="str">
        <f>VLOOKUP(D1819,상품정보!$A$2:$D$151,4,FALSE)</f>
        <v>브랜드F</v>
      </c>
    </row>
    <row r="1820" spans="1:18" x14ac:dyDescent="0.45">
      <c r="A1820" t="s">
        <v>398</v>
      </c>
      <c r="B1820" t="s">
        <v>2219</v>
      </c>
      <c r="C1820" t="s">
        <v>2517</v>
      </c>
      <c r="D1820" t="s">
        <v>2563</v>
      </c>
      <c r="E1820">
        <v>2</v>
      </c>
      <c r="F1820">
        <v>6900</v>
      </c>
      <c r="G1820">
        <v>500</v>
      </c>
      <c r="H1820">
        <v>0</v>
      </c>
      <c r="I1820" t="s">
        <v>2652</v>
      </c>
      <c r="J1820" s="4">
        <f t="shared" si="84"/>
        <v>14300</v>
      </c>
      <c r="K1820" s="4" t="str">
        <f t="shared" si="85"/>
        <v>2024-03</v>
      </c>
      <c r="L1820" s="4" t="str">
        <f t="shared" si="86"/>
        <v>목</v>
      </c>
      <c r="M1820" s="2" t="str">
        <f>VLOOKUP($C1820, 고객정보!$A$2:$E$151, 2, FALSE)</f>
        <v>서울</v>
      </c>
      <c r="N1820" t="str">
        <f>VLOOKUP(C1820,고객정보!$A$2:$D$151,4,FALSE)</f>
        <v>L4</v>
      </c>
      <c r="O1820" t="str">
        <f>VLOOKUP($C1820, 고객정보!$A$2:$E$151, 5, FALSE)</f>
        <v>20대</v>
      </c>
      <c r="P1820" t="str">
        <f>VLOOKUP(D1820,상품정보!$A$2:$E$61,2,FALSE)</f>
        <v>귀걸이</v>
      </c>
      <c r="Q1820" t="str">
        <f>VLOOKUP(D1820,상품정보!$A$2:$D$151,3,FALSE)</f>
        <v>액세서리</v>
      </c>
      <c r="R1820" t="str">
        <f>VLOOKUP(D1820,상품정보!$A$2:$D$151,4,FALSE)</f>
        <v>브랜드D</v>
      </c>
    </row>
    <row r="1821" spans="1:18" x14ac:dyDescent="0.45">
      <c r="A1821" t="s">
        <v>295</v>
      </c>
      <c r="B1821" t="s">
        <v>2220</v>
      </c>
      <c r="C1821" t="s">
        <v>2421</v>
      </c>
      <c r="D1821" t="s">
        <v>2600</v>
      </c>
      <c r="E1821">
        <v>5</v>
      </c>
      <c r="F1821">
        <v>10900</v>
      </c>
      <c r="G1821">
        <v>1000</v>
      </c>
      <c r="H1821">
        <v>0</v>
      </c>
      <c r="I1821" t="s">
        <v>2652</v>
      </c>
      <c r="J1821" s="4">
        <f t="shared" si="84"/>
        <v>55500</v>
      </c>
      <c r="K1821" s="4" t="str">
        <f t="shared" si="85"/>
        <v>2024-06</v>
      </c>
      <c r="L1821" s="4" t="str">
        <f t="shared" si="86"/>
        <v>토</v>
      </c>
      <c r="M1821" s="2" t="str">
        <f>VLOOKUP($C1821, 고객정보!$A$2:$E$151, 2, FALSE)</f>
        <v>부산</v>
      </c>
      <c r="N1821" t="str">
        <f>VLOOKUP(C1821,고객정보!$A$2:$D$151,4,FALSE)</f>
        <v>L3</v>
      </c>
      <c r="O1821" t="str">
        <f>VLOOKUP($C1821, 고객정보!$A$2:$E$151, 5, FALSE)</f>
        <v>30대</v>
      </c>
      <c r="P1821" t="str">
        <f>VLOOKUP(D1821,상품정보!$A$2:$E$61,2,FALSE)</f>
        <v>셔츠</v>
      </c>
      <c r="Q1821" t="str">
        <f>VLOOKUP(D1821,상품정보!$A$2:$D$151,3,FALSE)</f>
        <v>의류</v>
      </c>
      <c r="R1821" t="str">
        <f>VLOOKUP(D1821,상품정보!$A$2:$D$151,4,FALSE)</f>
        <v>브랜드E</v>
      </c>
    </row>
    <row r="1822" spans="1:18" x14ac:dyDescent="0.45">
      <c r="A1822" t="s">
        <v>240</v>
      </c>
      <c r="B1822" t="s">
        <v>2221</v>
      </c>
      <c r="C1822" t="s">
        <v>2502</v>
      </c>
      <c r="D1822" t="s">
        <v>2556</v>
      </c>
      <c r="E1822">
        <v>1</v>
      </c>
      <c r="F1822">
        <v>70100</v>
      </c>
      <c r="G1822">
        <v>1000</v>
      </c>
      <c r="H1822">
        <v>0</v>
      </c>
      <c r="I1822" t="s">
        <v>2652</v>
      </c>
      <c r="J1822" s="4">
        <f t="shared" si="84"/>
        <v>71100</v>
      </c>
      <c r="K1822" s="4" t="str">
        <f t="shared" si="85"/>
        <v>2024-03</v>
      </c>
      <c r="L1822" s="4" t="str">
        <f t="shared" si="86"/>
        <v>목</v>
      </c>
      <c r="M1822" s="2" t="str">
        <f>VLOOKUP($C1822, 고객정보!$A$2:$E$151, 2, FALSE)</f>
        <v>부산</v>
      </c>
      <c r="N1822" t="str">
        <f>VLOOKUP(C1822,고객정보!$A$2:$D$151,4,FALSE)</f>
        <v>L4</v>
      </c>
      <c r="O1822" t="str">
        <f>VLOOKUP($C1822, 고객정보!$A$2:$E$151, 5, FALSE)</f>
        <v>20대</v>
      </c>
      <c r="P1822" t="str">
        <f>VLOOKUP(D1822,상품정보!$A$2:$E$61,2,FALSE)</f>
        <v>핸드폰케이스</v>
      </c>
      <c r="Q1822" t="str">
        <f>VLOOKUP(D1822,상품정보!$A$2:$D$151,3,FALSE)</f>
        <v>액세서리</v>
      </c>
      <c r="R1822" t="str">
        <f>VLOOKUP(D1822,상품정보!$A$2:$D$151,4,FALSE)</f>
        <v>브랜드F</v>
      </c>
    </row>
    <row r="1823" spans="1:18" x14ac:dyDescent="0.45">
      <c r="A1823" t="s">
        <v>307</v>
      </c>
      <c r="B1823" t="s">
        <v>2222</v>
      </c>
      <c r="C1823" t="s">
        <v>2503</v>
      </c>
      <c r="D1823" t="s">
        <v>2608</v>
      </c>
      <c r="E1823">
        <v>1</v>
      </c>
      <c r="F1823">
        <v>10600</v>
      </c>
      <c r="G1823">
        <v>2000</v>
      </c>
      <c r="H1823">
        <v>0</v>
      </c>
      <c r="I1823" t="s">
        <v>2652</v>
      </c>
      <c r="J1823" s="4">
        <f t="shared" si="84"/>
        <v>12600</v>
      </c>
      <c r="K1823" s="4" t="str">
        <f t="shared" si="85"/>
        <v>2024-02</v>
      </c>
      <c r="L1823" s="4" t="str">
        <f t="shared" si="86"/>
        <v>토</v>
      </c>
      <c r="M1823" s="2" t="str">
        <f>VLOOKUP($C1823, 고객정보!$A$2:$E$151, 2, FALSE)</f>
        <v>대전</v>
      </c>
      <c r="N1823" t="str">
        <f>VLOOKUP(C1823,고객정보!$A$2:$D$151,4,FALSE)</f>
        <v>L3</v>
      </c>
      <c r="O1823" t="str">
        <f>VLOOKUP($C1823, 고객정보!$A$2:$E$151, 5, FALSE)</f>
        <v>40대</v>
      </c>
      <c r="P1823" t="str">
        <f>VLOOKUP(D1823,상품정보!$A$2:$E$61,2,FALSE)</f>
        <v>셔츠</v>
      </c>
      <c r="Q1823" t="str">
        <f>VLOOKUP(D1823,상품정보!$A$2:$D$151,3,FALSE)</f>
        <v>의류</v>
      </c>
      <c r="R1823" t="str">
        <f>VLOOKUP(D1823,상품정보!$A$2:$D$151,4,FALSE)</f>
        <v>브랜드D</v>
      </c>
    </row>
    <row r="1824" spans="1:18" x14ac:dyDescent="0.45">
      <c r="A1824" t="s">
        <v>133</v>
      </c>
      <c r="B1824" t="s">
        <v>2223</v>
      </c>
      <c r="C1824" t="s">
        <v>2496</v>
      </c>
      <c r="D1824" t="s">
        <v>2596</v>
      </c>
      <c r="E1824">
        <v>1</v>
      </c>
      <c r="F1824">
        <v>59700</v>
      </c>
      <c r="G1824">
        <v>2000</v>
      </c>
      <c r="H1824">
        <v>0</v>
      </c>
      <c r="I1824" t="s">
        <v>2652</v>
      </c>
      <c r="J1824" s="4">
        <f t="shared" si="84"/>
        <v>61700</v>
      </c>
      <c r="K1824" s="4" t="str">
        <f t="shared" si="85"/>
        <v>2024-08</v>
      </c>
      <c r="L1824" s="4" t="str">
        <f t="shared" si="86"/>
        <v>화</v>
      </c>
      <c r="M1824" s="2" t="str">
        <f>VLOOKUP($C1824, 고객정보!$A$2:$E$151, 2, FALSE)</f>
        <v>서울</v>
      </c>
      <c r="N1824" t="str">
        <f>VLOOKUP(C1824,고객정보!$A$2:$D$151,4,FALSE)</f>
        <v>L3</v>
      </c>
      <c r="O1824" t="str">
        <f>VLOOKUP($C1824, 고객정보!$A$2:$E$151, 5, FALSE)</f>
        <v>50대 이상</v>
      </c>
      <c r="P1824" t="str">
        <f>VLOOKUP(D1824,상품정보!$A$2:$E$61,2,FALSE)</f>
        <v>청바지</v>
      </c>
      <c r="Q1824" t="str">
        <f>VLOOKUP(D1824,상품정보!$A$2:$D$151,3,FALSE)</f>
        <v>의류</v>
      </c>
      <c r="R1824" t="str">
        <f>VLOOKUP(D1824,상품정보!$A$2:$D$151,4,FALSE)</f>
        <v>브랜드A</v>
      </c>
    </row>
    <row r="1825" spans="1:18" x14ac:dyDescent="0.45">
      <c r="A1825" t="s">
        <v>147</v>
      </c>
      <c r="B1825" t="s">
        <v>2224</v>
      </c>
      <c r="C1825" t="s">
        <v>2540</v>
      </c>
      <c r="D1825" t="s">
        <v>2604</v>
      </c>
      <c r="E1825">
        <v>5</v>
      </c>
      <c r="F1825">
        <v>9700</v>
      </c>
      <c r="G1825">
        <v>500</v>
      </c>
      <c r="H1825">
        <v>12500</v>
      </c>
      <c r="I1825" t="s">
        <v>2612</v>
      </c>
      <c r="J1825" s="4">
        <f t="shared" si="84"/>
        <v>36500</v>
      </c>
      <c r="K1825" s="4" t="str">
        <f t="shared" si="85"/>
        <v>2024-10</v>
      </c>
      <c r="L1825" s="4" t="str">
        <f t="shared" si="86"/>
        <v>수</v>
      </c>
      <c r="M1825" s="2" t="str">
        <f>VLOOKUP($C1825, 고객정보!$A$2:$E$151, 2, FALSE)</f>
        <v>서울</v>
      </c>
      <c r="N1825" t="str">
        <f>VLOOKUP(C1825,고객정보!$A$2:$D$151,4,FALSE)</f>
        <v>L4</v>
      </c>
      <c r="O1825" t="str">
        <f>VLOOKUP($C1825, 고객정보!$A$2:$E$151, 5, FALSE)</f>
        <v>50대 이상</v>
      </c>
      <c r="P1825" t="str">
        <f>VLOOKUP(D1825,상품정보!$A$2:$E$61,2,FALSE)</f>
        <v>반팔 티셔츠</v>
      </c>
      <c r="Q1825" t="str">
        <f>VLOOKUP(D1825,상품정보!$A$2:$D$151,3,FALSE)</f>
        <v>의류</v>
      </c>
      <c r="R1825" t="str">
        <f>VLOOKUP(D1825,상품정보!$A$2:$D$151,4,FALSE)</f>
        <v>브랜드E</v>
      </c>
    </row>
    <row r="1826" spans="1:18" x14ac:dyDescent="0.45">
      <c r="A1826" t="s">
        <v>155</v>
      </c>
      <c r="B1826" t="s">
        <v>2225</v>
      </c>
      <c r="C1826" t="s">
        <v>2457</v>
      </c>
      <c r="D1826" t="s">
        <v>2598</v>
      </c>
      <c r="E1826">
        <v>3</v>
      </c>
      <c r="F1826">
        <v>77300</v>
      </c>
      <c r="G1826">
        <v>0</v>
      </c>
      <c r="H1826">
        <v>0</v>
      </c>
      <c r="I1826" t="s">
        <v>2652</v>
      </c>
      <c r="J1826" s="4">
        <f t="shared" si="84"/>
        <v>231900</v>
      </c>
      <c r="K1826" s="4" t="str">
        <f t="shared" si="85"/>
        <v>2024-06</v>
      </c>
      <c r="L1826" s="4" t="str">
        <f t="shared" si="86"/>
        <v>토</v>
      </c>
      <c r="M1826" s="2" t="str">
        <f>VLOOKUP($C1826, 고객정보!$A$2:$E$151, 2, FALSE)</f>
        <v>인천</v>
      </c>
      <c r="N1826" t="str">
        <f>VLOOKUP(C1826,고객정보!$A$2:$D$151,4,FALSE)</f>
        <v>L4</v>
      </c>
      <c r="O1826" t="str">
        <f>VLOOKUP($C1826, 고객정보!$A$2:$E$151, 5, FALSE)</f>
        <v>50대 이상</v>
      </c>
      <c r="P1826" t="str">
        <f>VLOOKUP(D1826,상품정보!$A$2:$E$61,2,FALSE)</f>
        <v>청바지</v>
      </c>
      <c r="Q1826" t="str">
        <f>VLOOKUP(D1826,상품정보!$A$2:$D$151,3,FALSE)</f>
        <v>의류</v>
      </c>
      <c r="R1826" t="str">
        <f>VLOOKUP(D1826,상품정보!$A$2:$D$151,4,FALSE)</f>
        <v>브랜드F</v>
      </c>
    </row>
    <row r="1827" spans="1:18" x14ac:dyDescent="0.45">
      <c r="A1827" t="s">
        <v>271</v>
      </c>
      <c r="B1827" t="s">
        <v>2226</v>
      </c>
      <c r="C1827" t="s">
        <v>2526</v>
      </c>
      <c r="D1827" t="s">
        <v>2602</v>
      </c>
      <c r="E1827">
        <v>2</v>
      </c>
      <c r="F1827">
        <v>59900</v>
      </c>
      <c r="G1827">
        <v>2000</v>
      </c>
      <c r="H1827">
        <v>0</v>
      </c>
      <c r="I1827" t="s">
        <v>2652</v>
      </c>
      <c r="J1827" s="4">
        <f t="shared" si="84"/>
        <v>121800</v>
      </c>
      <c r="K1827" s="4" t="str">
        <f t="shared" si="85"/>
        <v>2024-12</v>
      </c>
      <c r="L1827" s="4" t="str">
        <f t="shared" si="86"/>
        <v>화</v>
      </c>
      <c r="M1827" s="2" t="str">
        <f>VLOOKUP($C1827, 고객정보!$A$2:$E$151, 2, FALSE)</f>
        <v>부산</v>
      </c>
      <c r="N1827" t="str">
        <f>VLOOKUP(C1827,고객정보!$A$2:$D$151,4,FALSE)</f>
        <v>L3</v>
      </c>
      <c r="O1827" t="str">
        <f>VLOOKUP($C1827, 고객정보!$A$2:$E$151, 5, FALSE)</f>
        <v>10대</v>
      </c>
      <c r="P1827" t="str">
        <f>VLOOKUP(D1827,상품정보!$A$2:$E$61,2,FALSE)</f>
        <v>셔츠</v>
      </c>
      <c r="Q1827" t="str">
        <f>VLOOKUP(D1827,상품정보!$A$2:$D$151,3,FALSE)</f>
        <v>의류</v>
      </c>
      <c r="R1827" t="str">
        <f>VLOOKUP(D1827,상품정보!$A$2:$D$151,4,FALSE)</f>
        <v>브랜드A</v>
      </c>
    </row>
    <row r="1828" spans="1:18" x14ac:dyDescent="0.45">
      <c r="A1828" t="s">
        <v>33</v>
      </c>
      <c r="B1828" t="s">
        <v>2227</v>
      </c>
      <c r="C1828" t="s">
        <v>2445</v>
      </c>
      <c r="D1828" t="s">
        <v>2553</v>
      </c>
      <c r="E1828">
        <v>4</v>
      </c>
      <c r="F1828">
        <v>63400</v>
      </c>
      <c r="G1828">
        <v>500</v>
      </c>
      <c r="H1828">
        <v>0</v>
      </c>
      <c r="I1828" t="s">
        <v>2652</v>
      </c>
      <c r="J1828" s="4">
        <f t="shared" si="84"/>
        <v>254100</v>
      </c>
      <c r="K1828" s="4" t="str">
        <f t="shared" si="85"/>
        <v>2024-10</v>
      </c>
      <c r="L1828" s="4" t="str">
        <f t="shared" si="86"/>
        <v>목</v>
      </c>
      <c r="M1828" s="2" t="str">
        <f>VLOOKUP($C1828, 고객정보!$A$2:$E$151, 2, FALSE)</f>
        <v>대구</v>
      </c>
      <c r="N1828" t="str">
        <f>VLOOKUP(C1828,고객정보!$A$2:$D$151,4,FALSE)</f>
        <v>L3</v>
      </c>
      <c r="O1828" t="str">
        <f>VLOOKUP($C1828, 고객정보!$A$2:$E$151, 5, FALSE)</f>
        <v>10대</v>
      </c>
      <c r="P1828" t="str">
        <f>VLOOKUP(D1828,상품정보!$A$2:$E$61,2,FALSE)</f>
        <v>귀걸이</v>
      </c>
      <c r="Q1828" t="str">
        <f>VLOOKUP(D1828,상품정보!$A$2:$D$151,3,FALSE)</f>
        <v>액세서리</v>
      </c>
      <c r="R1828" t="str">
        <f>VLOOKUP(D1828,상품정보!$A$2:$D$151,4,FALSE)</f>
        <v>브랜드F</v>
      </c>
    </row>
    <row r="1829" spans="1:18" x14ac:dyDescent="0.45">
      <c r="A1829" t="s">
        <v>377</v>
      </c>
      <c r="B1829" t="s">
        <v>2228</v>
      </c>
      <c r="C1829" t="s">
        <v>2469</v>
      </c>
      <c r="D1829" t="s">
        <v>2553</v>
      </c>
      <c r="E1829">
        <v>4</v>
      </c>
      <c r="F1829">
        <v>63400</v>
      </c>
      <c r="G1829">
        <v>0</v>
      </c>
      <c r="H1829">
        <v>1000</v>
      </c>
      <c r="I1829" t="s">
        <v>2611</v>
      </c>
      <c r="J1829" s="4">
        <f t="shared" si="84"/>
        <v>252600</v>
      </c>
      <c r="K1829" s="4" t="str">
        <f t="shared" si="85"/>
        <v>2024-02</v>
      </c>
      <c r="L1829" s="4" t="str">
        <f t="shared" si="86"/>
        <v>월</v>
      </c>
      <c r="M1829" s="2" t="str">
        <f>VLOOKUP($C1829, 고객정보!$A$2:$E$151, 2, FALSE)</f>
        <v>수원</v>
      </c>
      <c r="N1829" t="str">
        <f>VLOOKUP(C1829,고객정보!$A$2:$D$151,4,FALSE)</f>
        <v>L5</v>
      </c>
      <c r="O1829" t="str">
        <f>VLOOKUP($C1829, 고객정보!$A$2:$E$151, 5, FALSE)</f>
        <v>20대</v>
      </c>
      <c r="P1829" t="str">
        <f>VLOOKUP(D1829,상품정보!$A$2:$E$61,2,FALSE)</f>
        <v>귀걸이</v>
      </c>
      <c r="Q1829" t="str">
        <f>VLOOKUP(D1829,상품정보!$A$2:$D$151,3,FALSE)</f>
        <v>액세서리</v>
      </c>
      <c r="R1829" t="str">
        <f>VLOOKUP(D1829,상품정보!$A$2:$D$151,4,FALSE)</f>
        <v>브랜드F</v>
      </c>
    </row>
    <row r="1830" spans="1:18" x14ac:dyDescent="0.45">
      <c r="A1830" t="s">
        <v>105</v>
      </c>
      <c r="B1830" t="s">
        <v>2229</v>
      </c>
      <c r="C1830" t="s">
        <v>2462</v>
      </c>
      <c r="D1830" t="s">
        <v>2600</v>
      </c>
      <c r="E1830">
        <v>4</v>
      </c>
      <c r="F1830">
        <v>10900</v>
      </c>
      <c r="G1830">
        <v>0</v>
      </c>
      <c r="H1830">
        <v>30400</v>
      </c>
      <c r="I1830" t="s">
        <v>2613</v>
      </c>
      <c r="J1830" s="4">
        <f t="shared" si="84"/>
        <v>13200</v>
      </c>
      <c r="K1830" s="4" t="str">
        <f t="shared" si="85"/>
        <v>2024-08</v>
      </c>
      <c r="L1830" s="4" t="str">
        <f t="shared" si="86"/>
        <v>수</v>
      </c>
      <c r="M1830" s="2" t="str">
        <f>VLOOKUP($C1830, 고객정보!$A$2:$E$151, 2, FALSE)</f>
        <v>광주</v>
      </c>
      <c r="N1830" t="str">
        <f>VLOOKUP(C1830,고객정보!$A$2:$D$151,4,FALSE)</f>
        <v>L5</v>
      </c>
      <c r="O1830" t="str">
        <f>VLOOKUP($C1830, 고객정보!$A$2:$E$151, 5, FALSE)</f>
        <v>50대 이상</v>
      </c>
      <c r="P1830" t="str">
        <f>VLOOKUP(D1830,상품정보!$A$2:$E$61,2,FALSE)</f>
        <v>셔츠</v>
      </c>
      <c r="Q1830" t="str">
        <f>VLOOKUP(D1830,상품정보!$A$2:$D$151,3,FALSE)</f>
        <v>의류</v>
      </c>
      <c r="R1830" t="str">
        <f>VLOOKUP(D1830,상품정보!$A$2:$D$151,4,FALSE)</f>
        <v>브랜드E</v>
      </c>
    </row>
    <row r="1831" spans="1:18" x14ac:dyDescent="0.45">
      <c r="A1831" t="s">
        <v>115</v>
      </c>
      <c r="B1831" t="s">
        <v>2230</v>
      </c>
      <c r="C1831" t="s">
        <v>2405</v>
      </c>
      <c r="D1831" t="s">
        <v>2607</v>
      </c>
      <c r="E1831">
        <v>2</v>
      </c>
      <c r="F1831">
        <v>16000</v>
      </c>
      <c r="G1831">
        <v>0</v>
      </c>
      <c r="H1831">
        <v>0</v>
      </c>
      <c r="I1831" t="s">
        <v>2652</v>
      </c>
      <c r="J1831" s="4">
        <f t="shared" si="84"/>
        <v>32000</v>
      </c>
      <c r="K1831" s="4" t="str">
        <f t="shared" si="85"/>
        <v>2024-11</v>
      </c>
      <c r="L1831" s="4" t="str">
        <f t="shared" si="86"/>
        <v>월</v>
      </c>
      <c r="M1831" s="2" t="str">
        <f>VLOOKUP($C1831, 고객정보!$A$2:$E$151, 2, FALSE)</f>
        <v>부산</v>
      </c>
      <c r="N1831" t="str">
        <f>VLOOKUP(C1831,고객정보!$A$2:$D$151,4,FALSE)</f>
        <v>L3</v>
      </c>
      <c r="O1831" t="str">
        <f>VLOOKUP($C1831, 고객정보!$A$2:$E$151, 5, FALSE)</f>
        <v>40대</v>
      </c>
      <c r="P1831" t="str">
        <f>VLOOKUP(D1831,상품정보!$A$2:$E$61,2,FALSE)</f>
        <v>목걸이</v>
      </c>
      <c r="Q1831" t="str">
        <f>VLOOKUP(D1831,상품정보!$A$2:$D$151,3,FALSE)</f>
        <v>액세서리</v>
      </c>
      <c r="R1831" t="str">
        <f>VLOOKUP(D1831,상품정보!$A$2:$D$151,4,FALSE)</f>
        <v>브랜드E</v>
      </c>
    </row>
    <row r="1832" spans="1:18" x14ac:dyDescent="0.45">
      <c r="A1832" t="s">
        <v>399</v>
      </c>
      <c r="B1832" t="s">
        <v>2231</v>
      </c>
      <c r="C1832" t="s">
        <v>2482</v>
      </c>
      <c r="D1832" t="s">
        <v>2582</v>
      </c>
      <c r="E1832">
        <v>3</v>
      </c>
      <c r="F1832">
        <v>12500</v>
      </c>
      <c r="G1832">
        <v>0</v>
      </c>
      <c r="H1832">
        <v>11200</v>
      </c>
      <c r="I1832" t="s">
        <v>2613</v>
      </c>
      <c r="J1832" s="4">
        <f t="shared" si="84"/>
        <v>26300</v>
      </c>
      <c r="K1832" s="4" t="str">
        <f t="shared" si="85"/>
        <v>2024-07</v>
      </c>
      <c r="L1832" s="4" t="str">
        <f t="shared" si="86"/>
        <v>금</v>
      </c>
      <c r="M1832" s="2" t="str">
        <f>VLOOKUP($C1832, 고객정보!$A$2:$E$151, 2, FALSE)</f>
        <v>서울</v>
      </c>
      <c r="N1832" t="str">
        <f>VLOOKUP(C1832,고객정보!$A$2:$D$151,4,FALSE)</f>
        <v>L2</v>
      </c>
      <c r="O1832" t="str">
        <f>VLOOKUP($C1832, 고객정보!$A$2:$E$151, 5, FALSE)</f>
        <v>30대</v>
      </c>
      <c r="P1832" t="str">
        <f>VLOOKUP(D1832,상품정보!$A$2:$E$61,2,FALSE)</f>
        <v>셔츠</v>
      </c>
      <c r="Q1832" t="str">
        <f>VLOOKUP(D1832,상품정보!$A$2:$D$151,3,FALSE)</f>
        <v>의류</v>
      </c>
      <c r="R1832" t="str">
        <f>VLOOKUP(D1832,상품정보!$A$2:$D$151,4,FALSE)</f>
        <v>브랜드D</v>
      </c>
    </row>
    <row r="1833" spans="1:18" x14ac:dyDescent="0.45">
      <c r="A1833" t="s">
        <v>345</v>
      </c>
      <c r="B1833" t="s">
        <v>2232</v>
      </c>
      <c r="C1833" t="s">
        <v>2522</v>
      </c>
      <c r="D1833" t="s">
        <v>2606</v>
      </c>
      <c r="E1833">
        <v>3</v>
      </c>
      <c r="F1833">
        <v>15000</v>
      </c>
      <c r="G1833">
        <v>0</v>
      </c>
      <c r="H1833">
        <v>0</v>
      </c>
      <c r="I1833" t="s">
        <v>2652</v>
      </c>
      <c r="J1833" s="4">
        <f t="shared" si="84"/>
        <v>45000</v>
      </c>
      <c r="K1833" s="4" t="str">
        <f t="shared" si="85"/>
        <v>2024-06</v>
      </c>
      <c r="L1833" s="4" t="str">
        <f t="shared" si="86"/>
        <v>토</v>
      </c>
      <c r="M1833" s="2" t="str">
        <f>VLOOKUP($C1833, 고객정보!$A$2:$E$151, 2, FALSE)</f>
        <v>부산</v>
      </c>
      <c r="N1833" t="str">
        <f>VLOOKUP(C1833,고객정보!$A$2:$D$151,4,FALSE)</f>
        <v>L4</v>
      </c>
      <c r="O1833" t="str">
        <f>VLOOKUP($C1833, 고객정보!$A$2:$E$151, 5, FALSE)</f>
        <v>40대</v>
      </c>
      <c r="P1833" t="str">
        <f>VLOOKUP(D1833,상품정보!$A$2:$E$61,2,FALSE)</f>
        <v>귀걸이</v>
      </c>
      <c r="Q1833" t="str">
        <f>VLOOKUP(D1833,상품정보!$A$2:$D$151,3,FALSE)</f>
        <v>액세서리</v>
      </c>
      <c r="R1833" t="str">
        <f>VLOOKUP(D1833,상품정보!$A$2:$D$151,4,FALSE)</f>
        <v>브랜드E</v>
      </c>
    </row>
    <row r="1834" spans="1:18" x14ac:dyDescent="0.45">
      <c r="A1834" t="s">
        <v>275</v>
      </c>
      <c r="B1834" t="s">
        <v>2233</v>
      </c>
      <c r="C1834" t="s">
        <v>2462</v>
      </c>
      <c r="D1834" t="s">
        <v>2583</v>
      </c>
      <c r="E1834">
        <v>1</v>
      </c>
      <c r="F1834">
        <v>6600</v>
      </c>
      <c r="G1834">
        <v>1000</v>
      </c>
      <c r="H1834">
        <v>0</v>
      </c>
      <c r="I1834" t="s">
        <v>2652</v>
      </c>
      <c r="J1834" s="4">
        <f t="shared" si="84"/>
        <v>7600</v>
      </c>
      <c r="K1834" s="4" t="str">
        <f t="shared" si="85"/>
        <v>2024-02</v>
      </c>
      <c r="L1834" s="4" t="str">
        <f t="shared" si="86"/>
        <v>토</v>
      </c>
      <c r="M1834" s="2" t="str">
        <f>VLOOKUP($C1834, 고객정보!$A$2:$E$151, 2, FALSE)</f>
        <v>광주</v>
      </c>
      <c r="N1834" t="str">
        <f>VLOOKUP(C1834,고객정보!$A$2:$D$151,4,FALSE)</f>
        <v>L5</v>
      </c>
      <c r="O1834" t="str">
        <f>VLOOKUP($C1834, 고객정보!$A$2:$E$151, 5, FALSE)</f>
        <v>50대 이상</v>
      </c>
      <c r="P1834" t="str">
        <f>VLOOKUP(D1834,상품정보!$A$2:$E$61,2,FALSE)</f>
        <v>셔츠</v>
      </c>
      <c r="Q1834" t="str">
        <f>VLOOKUP(D1834,상품정보!$A$2:$D$151,3,FALSE)</f>
        <v>의류</v>
      </c>
      <c r="R1834" t="str">
        <f>VLOOKUP(D1834,상품정보!$A$2:$D$151,4,FALSE)</f>
        <v>브랜드E</v>
      </c>
    </row>
    <row r="1835" spans="1:18" x14ac:dyDescent="0.45">
      <c r="A1835" t="s">
        <v>366</v>
      </c>
      <c r="B1835" t="s">
        <v>2234</v>
      </c>
      <c r="C1835" t="s">
        <v>2446</v>
      </c>
      <c r="D1835" t="s">
        <v>2580</v>
      </c>
      <c r="E1835">
        <v>3</v>
      </c>
      <c r="F1835">
        <v>77800</v>
      </c>
      <c r="G1835">
        <v>1000</v>
      </c>
      <c r="H1835">
        <v>3700</v>
      </c>
      <c r="I1835" t="s">
        <v>2614</v>
      </c>
      <c r="J1835" s="4">
        <f t="shared" si="84"/>
        <v>230700</v>
      </c>
      <c r="K1835" s="4" t="str">
        <f t="shared" si="85"/>
        <v>2024-09</v>
      </c>
      <c r="L1835" s="4" t="str">
        <f t="shared" si="86"/>
        <v>월</v>
      </c>
      <c r="M1835" s="2" t="str">
        <f>VLOOKUP($C1835, 고객정보!$A$2:$E$151, 2, FALSE)</f>
        <v>대전</v>
      </c>
      <c r="N1835" t="str">
        <f>VLOOKUP(C1835,고객정보!$A$2:$D$151,4,FALSE)</f>
        <v>L2</v>
      </c>
      <c r="O1835" t="str">
        <f>VLOOKUP($C1835, 고객정보!$A$2:$E$151, 5, FALSE)</f>
        <v>50대 이상</v>
      </c>
      <c r="P1835" t="str">
        <f>VLOOKUP(D1835,상품정보!$A$2:$E$61,2,FALSE)</f>
        <v>청바지</v>
      </c>
      <c r="Q1835" t="str">
        <f>VLOOKUP(D1835,상품정보!$A$2:$D$151,3,FALSE)</f>
        <v>의류</v>
      </c>
      <c r="R1835" t="str">
        <f>VLOOKUP(D1835,상품정보!$A$2:$D$151,4,FALSE)</f>
        <v>브랜드A</v>
      </c>
    </row>
    <row r="1836" spans="1:18" x14ac:dyDescent="0.45">
      <c r="A1836" t="s">
        <v>90</v>
      </c>
      <c r="B1836" t="s">
        <v>2235</v>
      </c>
      <c r="C1836" t="s">
        <v>2507</v>
      </c>
      <c r="D1836" t="s">
        <v>2610</v>
      </c>
      <c r="E1836">
        <v>2</v>
      </c>
      <c r="F1836">
        <v>18800</v>
      </c>
      <c r="G1836">
        <v>500</v>
      </c>
      <c r="H1836">
        <v>400</v>
      </c>
      <c r="I1836" t="s">
        <v>2614</v>
      </c>
      <c r="J1836" s="4">
        <f t="shared" si="84"/>
        <v>37700</v>
      </c>
      <c r="K1836" s="4" t="str">
        <f t="shared" si="85"/>
        <v>2024-05</v>
      </c>
      <c r="L1836" s="4" t="str">
        <f t="shared" si="86"/>
        <v>금</v>
      </c>
      <c r="M1836" s="2" t="str">
        <f>VLOOKUP($C1836, 고객정보!$A$2:$E$151, 2, FALSE)</f>
        <v>대전</v>
      </c>
      <c r="N1836" t="str">
        <f>VLOOKUP(C1836,고객정보!$A$2:$D$151,4,FALSE)</f>
        <v>L2</v>
      </c>
      <c r="O1836" t="str">
        <f>VLOOKUP($C1836, 고객정보!$A$2:$E$151, 5, FALSE)</f>
        <v>40대</v>
      </c>
      <c r="P1836" t="str">
        <f>VLOOKUP(D1836,상품정보!$A$2:$E$61,2,FALSE)</f>
        <v>자켓</v>
      </c>
      <c r="Q1836" t="str">
        <f>VLOOKUP(D1836,상품정보!$A$2:$D$151,3,FALSE)</f>
        <v>의류</v>
      </c>
      <c r="R1836" t="str">
        <f>VLOOKUP(D1836,상품정보!$A$2:$D$151,4,FALSE)</f>
        <v>브랜드E</v>
      </c>
    </row>
    <row r="1837" spans="1:18" x14ac:dyDescent="0.45">
      <c r="A1837" t="s">
        <v>54</v>
      </c>
      <c r="B1837" t="s">
        <v>2236</v>
      </c>
      <c r="C1837" t="s">
        <v>2542</v>
      </c>
      <c r="D1837" t="s">
        <v>2560</v>
      </c>
      <c r="E1837">
        <v>5</v>
      </c>
      <c r="F1837">
        <v>60600</v>
      </c>
      <c r="G1837">
        <v>0</v>
      </c>
      <c r="H1837">
        <v>0</v>
      </c>
      <c r="I1837" t="s">
        <v>2652</v>
      </c>
      <c r="J1837" s="4">
        <f t="shared" si="84"/>
        <v>303000</v>
      </c>
      <c r="K1837" s="4" t="str">
        <f t="shared" si="85"/>
        <v>2024-03</v>
      </c>
      <c r="L1837" s="4" t="str">
        <f t="shared" si="86"/>
        <v>수</v>
      </c>
      <c r="M1837" s="2" t="str">
        <f>VLOOKUP($C1837, 고객정보!$A$2:$E$151, 2, FALSE)</f>
        <v>부산</v>
      </c>
      <c r="N1837" t="str">
        <f>VLOOKUP(C1837,고객정보!$A$2:$D$151,4,FALSE)</f>
        <v>L1</v>
      </c>
      <c r="O1837" t="str">
        <f>VLOOKUP($C1837, 고객정보!$A$2:$E$151, 5, FALSE)</f>
        <v>50대 이상</v>
      </c>
      <c r="P1837" t="str">
        <f>VLOOKUP(D1837,상품정보!$A$2:$E$61,2,FALSE)</f>
        <v>반팔 티셔츠</v>
      </c>
      <c r="Q1837" t="str">
        <f>VLOOKUP(D1837,상품정보!$A$2:$D$151,3,FALSE)</f>
        <v>의류</v>
      </c>
      <c r="R1837" t="str">
        <f>VLOOKUP(D1837,상품정보!$A$2:$D$151,4,FALSE)</f>
        <v>브랜드F</v>
      </c>
    </row>
    <row r="1838" spans="1:18" x14ac:dyDescent="0.45">
      <c r="A1838" t="s">
        <v>271</v>
      </c>
      <c r="B1838" t="s">
        <v>2237</v>
      </c>
      <c r="C1838" t="s">
        <v>2484</v>
      </c>
      <c r="D1838" t="s">
        <v>2591</v>
      </c>
      <c r="E1838">
        <v>4</v>
      </c>
      <c r="F1838">
        <v>69200</v>
      </c>
      <c r="G1838">
        <v>0</v>
      </c>
      <c r="H1838">
        <v>0</v>
      </c>
      <c r="I1838" t="s">
        <v>2652</v>
      </c>
      <c r="J1838" s="4">
        <f t="shared" si="84"/>
        <v>276800</v>
      </c>
      <c r="K1838" s="4" t="str">
        <f t="shared" si="85"/>
        <v>2024-12</v>
      </c>
      <c r="L1838" s="4" t="str">
        <f t="shared" si="86"/>
        <v>화</v>
      </c>
      <c r="M1838" s="2" t="str">
        <f>VLOOKUP($C1838, 고객정보!$A$2:$E$151, 2, FALSE)</f>
        <v>부산</v>
      </c>
      <c r="N1838" t="str">
        <f>VLOOKUP(C1838,고객정보!$A$2:$D$151,4,FALSE)</f>
        <v>L5</v>
      </c>
      <c r="O1838" t="str">
        <f>VLOOKUP($C1838, 고객정보!$A$2:$E$151, 5, FALSE)</f>
        <v>20대</v>
      </c>
      <c r="P1838" t="str">
        <f>VLOOKUP(D1838,상품정보!$A$2:$E$61,2,FALSE)</f>
        <v>셔츠</v>
      </c>
      <c r="Q1838" t="str">
        <f>VLOOKUP(D1838,상품정보!$A$2:$D$151,3,FALSE)</f>
        <v>의류</v>
      </c>
      <c r="R1838" t="str">
        <f>VLOOKUP(D1838,상품정보!$A$2:$D$151,4,FALSE)</f>
        <v>브랜드F</v>
      </c>
    </row>
    <row r="1839" spans="1:18" x14ac:dyDescent="0.45">
      <c r="A1839" t="s">
        <v>221</v>
      </c>
      <c r="B1839" t="s">
        <v>2238</v>
      </c>
      <c r="C1839" t="s">
        <v>2438</v>
      </c>
      <c r="D1839" t="s">
        <v>2597</v>
      </c>
      <c r="E1839">
        <v>5</v>
      </c>
      <c r="F1839">
        <v>65300</v>
      </c>
      <c r="G1839">
        <v>0</v>
      </c>
      <c r="H1839">
        <v>0</v>
      </c>
      <c r="I1839" t="s">
        <v>2652</v>
      </c>
      <c r="J1839" s="4">
        <f t="shared" si="84"/>
        <v>326500</v>
      </c>
      <c r="K1839" s="4" t="str">
        <f t="shared" si="85"/>
        <v>2024-11</v>
      </c>
      <c r="L1839" s="4" t="str">
        <f t="shared" si="86"/>
        <v>목</v>
      </c>
      <c r="M1839" s="2" t="str">
        <f>VLOOKUP($C1839, 고객정보!$A$2:$E$151, 2, FALSE)</f>
        <v>대구</v>
      </c>
      <c r="N1839" t="str">
        <f>VLOOKUP(C1839,고객정보!$A$2:$D$151,4,FALSE)</f>
        <v>L4</v>
      </c>
      <c r="O1839" t="str">
        <f>VLOOKUP($C1839, 고객정보!$A$2:$E$151, 5, FALSE)</f>
        <v>30대</v>
      </c>
      <c r="P1839" t="str">
        <f>VLOOKUP(D1839,상품정보!$A$2:$E$61,2,FALSE)</f>
        <v>반지</v>
      </c>
      <c r="Q1839" t="str">
        <f>VLOOKUP(D1839,상품정보!$A$2:$D$151,3,FALSE)</f>
        <v>액세서리</v>
      </c>
      <c r="R1839" t="str">
        <f>VLOOKUP(D1839,상품정보!$A$2:$D$151,4,FALSE)</f>
        <v>브랜드F</v>
      </c>
    </row>
    <row r="1840" spans="1:18" x14ac:dyDescent="0.45">
      <c r="A1840" t="s">
        <v>397</v>
      </c>
      <c r="B1840" t="s">
        <v>2239</v>
      </c>
      <c r="C1840" t="s">
        <v>2421</v>
      </c>
      <c r="D1840" t="s">
        <v>2577</v>
      </c>
      <c r="E1840">
        <v>3</v>
      </c>
      <c r="F1840">
        <v>10200</v>
      </c>
      <c r="G1840">
        <v>0</v>
      </c>
      <c r="H1840">
        <v>13500</v>
      </c>
      <c r="I1840" t="s">
        <v>2614</v>
      </c>
      <c r="J1840" s="4">
        <f t="shared" si="84"/>
        <v>17100</v>
      </c>
      <c r="K1840" s="4" t="str">
        <f t="shared" si="85"/>
        <v>2024-09</v>
      </c>
      <c r="L1840" s="4" t="str">
        <f t="shared" si="86"/>
        <v>일</v>
      </c>
      <c r="M1840" s="2" t="str">
        <f>VLOOKUP($C1840, 고객정보!$A$2:$E$151, 2, FALSE)</f>
        <v>부산</v>
      </c>
      <c r="N1840" t="str">
        <f>VLOOKUP(C1840,고객정보!$A$2:$D$151,4,FALSE)</f>
        <v>L3</v>
      </c>
      <c r="O1840" t="str">
        <f>VLOOKUP($C1840, 고객정보!$A$2:$E$151, 5, FALSE)</f>
        <v>30대</v>
      </c>
      <c r="P1840" t="str">
        <f>VLOOKUP(D1840,상품정보!$A$2:$E$61,2,FALSE)</f>
        <v>셔츠</v>
      </c>
      <c r="Q1840" t="str">
        <f>VLOOKUP(D1840,상품정보!$A$2:$D$151,3,FALSE)</f>
        <v>의류</v>
      </c>
      <c r="R1840" t="str">
        <f>VLOOKUP(D1840,상품정보!$A$2:$D$151,4,FALSE)</f>
        <v>브랜드C</v>
      </c>
    </row>
    <row r="1841" spans="1:18" x14ac:dyDescent="0.45">
      <c r="A1841" t="s">
        <v>249</v>
      </c>
      <c r="B1841" t="s">
        <v>2240</v>
      </c>
      <c r="C1841" t="s">
        <v>2507</v>
      </c>
      <c r="D1841" t="s">
        <v>2575</v>
      </c>
      <c r="E1841">
        <v>5</v>
      </c>
      <c r="F1841">
        <v>7200</v>
      </c>
      <c r="G1841">
        <v>500</v>
      </c>
      <c r="H1841">
        <v>0</v>
      </c>
      <c r="I1841" t="s">
        <v>2652</v>
      </c>
      <c r="J1841" s="4">
        <f t="shared" si="84"/>
        <v>36500</v>
      </c>
      <c r="K1841" s="4" t="str">
        <f t="shared" si="85"/>
        <v>2024-07</v>
      </c>
      <c r="L1841" s="4" t="str">
        <f t="shared" si="86"/>
        <v>화</v>
      </c>
      <c r="M1841" s="2" t="str">
        <f>VLOOKUP($C1841, 고객정보!$A$2:$E$151, 2, FALSE)</f>
        <v>대전</v>
      </c>
      <c r="N1841" t="str">
        <f>VLOOKUP(C1841,고객정보!$A$2:$D$151,4,FALSE)</f>
        <v>L2</v>
      </c>
      <c r="O1841" t="str">
        <f>VLOOKUP($C1841, 고객정보!$A$2:$E$151, 5, FALSE)</f>
        <v>40대</v>
      </c>
      <c r="P1841" t="str">
        <f>VLOOKUP(D1841,상품정보!$A$2:$E$61,2,FALSE)</f>
        <v>반지</v>
      </c>
      <c r="Q1841" t="str">
        <f>VLOOKUP(D1841,상품정보!$A$2:$D$151,3,FALSE)</f>
        <v>액세서리</v>
      </c>
      <c r="R1841" t="str">
        <f>VLOOKUP(D1841,상품정보!$A$2:$D$151,4,FALSE)</f>
        <v>브랜드E</v>
      </c>
    </row>
    <row r="1842" spans="1:18" x14ac:dyDescent="0.45">
      <c r="A1842" t="s">
        <v>116</v>
      </c>
      <c r="B1842" t="s">
        <v>2241</v>
      </c>
      <c r="C1842" t="s">
        <v>2509</v>
      </c>
      <c r="D1842" t="s">
        <v>2598</v>
      </c>
      <c r="E1842">
        <v>2</v>
      </c>
      <c r="F1842">
        <v>77300</v>
      </c>
      <c r="G1842">
        <v>0</v>
      </c>
      <c r="H1842">
        <v>0</v>
      </c>
      <c r="I1842" t="s">
        <v>2652</v>
      </c>
      <c r="J1842" s="4">
        <f t="shared" si="84"/>
        <v>154600</v>
      </c>
      <c r="K1842" s="4" t="str">
        <f t="shared" si="85"/>
        <v>2024-10</v>
      </c>
      <c r="L1842" s="4" t="str">
        <f t="shared" si="86"/>
        <v>월</v>
      </c>
      <c r="M1842" s="2" t="str">
        <f>VLOOKUP($C1842, 고객정보!$A$2:$E$151, 2, FALSE)</f>
        <v>서울</v>
      </c>
      <c r="N1842" t="str">
        <f>VLOOKUP(C1842,고객정보!$A$2:$D$151,4,FALSE)</f>
        <v>L4</v>
      </c>
      <c r="O1842" t="str">
        <f>VLOOKUP($C1842, 고객정보!$A$2:$E$151, 5, FALSE)</f>
        <v>40대</v>
      </c>
      <c r="P1842" t="str">
        <f>VLOOKUP(D1842,상품정보!$A$2:$E$61,2,FALSE)</f>
        <v>청바지</v>
      </c>
      <c r="Q1842" t="str">
        <f>VLOOKUP(D1842,상품정보!$A$2:$D$151,3,FALSE)</f>
        <v>의류</v>
      </c>
      <c r="R1842" t="str">
        <f>VLOOKUP(D1842,상품정보!$A$2:$D$151,4,FALSE)</f>
        <v>브랜드F</v>
      </c>
    </row>
    <row r="1843" spans="1:18" x14ac:dyDescent="0.45">
      <c r="A1843" t="s">
        <v>275</v>
      </c>
      <c r="B1843" t="s">
        <v>2242</v>
      </c>
      <c r="C1843" t="s">
        <v>2432</v>
      </c>
      <c r="D1843" t="s">
        <v>2608</v>
      </c>
      <c r="E1843">
        <v>4</v>
      </c>
      <c r="F1843">
        <v>10600</v>
      </c>
      <c r="G1843">
        <v>500</v>
      </c>
      <c r="H1843">
        <v>0</v>
      </c>
      <c r="I1843" t="s">
        <v>2652</v>
      </c>
      <c r="J1843" s="4">
        <f t="shared" si="84"/>
        <v>42900</v>
      </c>
      <c r="K1843" s="4" t="str">
        <f t="shared" si="85"/>
        <v>2024-02</v>
      </c>
      <c r="L1843" s="4" t="str">
        <f t="shared" si="86"/>
        <v>토</v>
      </c>
      <c r="M1843" s="2" t="str">
        <f>VLOOKUP($C1843, 고객정보!$A$2:$E$151, 2, FALSE)</f>
        <v>서울</v>
      </c>
      <c r="N1843" t="str">
        <f>VLOOKUP(C1843,고객정보!$A$2:$D$151,4,FALSE)</f>
        <v>L5</v>
      </c>
      <c r="O1843" t="str">
        <f>VLOOKUP($C1843, 고객정보!$A$2:$E$151, 5, FALSE)</f>
        <v>20대</v>
      </c>
      <c r="P1843" t="str">
        <f>VLOOKUP(D1843,상품정보!$A$2:$E$61,2,FALSE)</f>
        <v>셔츠</v>
      </c>
      <c r="Q1843" t="str">
        <f>VLOOKUP(D1843,상품정보!$A$2:$D$151,3,FALSE)</f>
        <v>의류</v>
      </c>
      <c r="R1843" t="str">
        <f>VLOOKUP(D1843,상품정보!$A$2:$D$151,4,FALSE)</f>
        <v>브랜드D</v>
      </c>
    </row>
    <row r="1844" spans="1:18" x14ac:dyDescent="0.45">
      <c r="A1844" t="s">
        <v>98</v>
      </c>
      <c r="B1844" t="s">
        <v>2243</v>
      </c>
      <c r="C1844" t="s">
        <v>2437</v>
      </c>
      <c r="D1844" t="s">
        <v>2572</v>
      </c>
      <c r="E1844">
        <v>5</v>
      </c>
      <c r="F1844">
        <v>61700</v>
      </c>
      <c r="G1844">
        <v>0</v>
      </c>
      <c r="H1844">
        <v>0</v>
      </c>
      <c r="I1844" t="s">
        <v>2652</v>
      </c>
      <c r="J1844" s="4">
        <f t="shared" si="84"/>
        <v>308500</v>
      </c>
      <c r="K1844" s="4" t="str">
        <f t="shared" si="85"/>
        <v>2024-08</v>
      </c>
      <c r="L1844" s="4" t="str">
        <f t="shared" si="86"/>
        <v>목</v>
      </c>
      <c r="M1844" s="2" t="str">
        <f>VLOOKUP($C1844, 고객정보!$A$2:$E$151, 2, FALSE)</f>
        <v>인천</v>
      </c>
      <c r="N1844" t="str">
        <f>VLOOKUP(C1844,고객정보!$A$2:$D$151,4,FALSE)</f>
        <v>L1</v>
      </c>
      <c r="O1844" t="str">
        <f>VLOOKUP($C1844, 고객정보!$A$2:$E$151, 5, FALSE)</f>
        <v>30대</v>
      </c>
      <c r="P1844" t="str">
        <f>VLOOKUP(D1844,상품정보!$A$2:$E$61,2,FALSE)</f>
        <v>반팔 티셔츠</v>
      </c>
      <c r="Q1844" t="str">
        <f>VLOOKUP(D1844,상품정보!$A$2:$D$151,3,FALSE)</f>
        <v>의류</v>
      </c>
      <c r="R1844" t="str">
        <f>VLOOKUP(D1844,상품정보!$A$2:$D$151,4,FALSE)</f>
        <v>브랜드F</v>
      </c>
    </row>
    <row r="1845" spans="1:18" x14ac:dyDescent="0.45">
      <c r="A1845" t="s">
        <v>196</v>
      </c>
      <c r="B1845" t="s">
        <v>2244</v>
      </c>
      <c r="C1845" t="s">
        <v>2485</v>
      </c>
      <c r="D1845" t="s">
        <v>2563</v>
      </c>
      <c r="E1845">
        <v>3</v>
      </c>
      <c r="F1845">
        <v>6900</v>
      </c>
      <c r="G1845">
        <v>0</v>
      </c>
      <c r="H1845">
        <v>0</v>
      </c>
      <c r="I1845" t="s">
        <v>2652</v>
      </c>
      <c r="J1845" s="4">
        <f t="shared" si="84"/>
        <v>20700</v>
      </c>
      <c r="K1845" s="4" t="str">
        <f t="shared" si="85"/>
        <v>2024-10</v>
      </c>
      <c r="L1845" s="4" t="str">
        <f t="shared" si="86"/>
        <v>토</v>
      </c>
      <c r="M1845" s="2" t="str">
        <f>VLOOKUP($C1845, 고객정보!$A$2:$E$151, 2, FALSE)</f>
        <v>서울</v>
      </c>
      <c r="N1845" t="str">
        <f>VLOOKUP(C1845,고객정보!$A$2:$D$151,4,FALSE)</f>
        <v>L4</v>
      </c>
      <c r="O1845" t="str">
        <f>VLOOKUP($C1845, 고객정보!$A$2:$E$151, 5, FALSE)</f>
        <v>40대</v>
      </c>
      <c r="P1845" t="str">
        <f>VLOOKUP(D1845,상품정보!$A$2:$E$61,2,FALSE)</f>
        <v>귀걸이</v>
      </c>
      <c r="Q1845" t="str">
        <f>VLOOKUP(D1845,상품정보!$A$2:$D$151,3,FALSE)</f>
        <v>액세서리</v>
      </c>
      <c r="R1845" t="str">
        <f>VLOOKUP(D1845,상품정보!$A$2:$D$151,4,FALSE)</f>
        <v>브랜드D</v>
      </c>
    </row>
    <row r="1846" spans="1:18" x14ac:dyDescent="0.45">
      <c r="A1846" t="s">
        <v>279</v>
      </c>
      <c r="B1846" t="s">
        <v>2245</v>
      </c>
      <c r="C1846" t="s">
        <v>2467</v>
      </c>
      <c r="D1846" t="s">
        <v>2604</v>
      </c>
      <c r="E1846">
        <v>1</v>
      </c>
      <c r="F1846">
        <v>9700</v>
      </c>
      <c r="G1846">
        <v>2000</v>
      </c>
      <c r="H1846">
        <v>3300</v>
      </c>
      <c r="I1846" t="s">
        <v>2611</v>
      </c>
      <c r="J1846" s="4">
        <f t="shared" si="84"/>
        <v>8400</v>
      </c>
      <c r="K1846" s="4" t="str">
        <f t="shared" si="85"/>
        <v>2025-01</v>
      </c>
      <c r="L1846" s="4" t="str">
        <f t="shared" si="86"/>
        <v>월</v>
      </c>
      <c r="M1846" s="2" t="str">
        <f>VLOOKUP($C1846, 고객정보!$A$2:$E$151, 2, FALSE)</f>
        <v>부산</v>
      </c>
      <c r="N1846" t="str">
        <f>VLOOKUP(C1846,고객정보!$A$2:$D$151,4,FALSE)</f>
        <v>L4</v>
      </c>
      <c r="O1846" t="str">
        <f>VLOOKUP($C1846, 고객정보!$A$2:$E$151, 5, FALSE)</f>
        <v>20대</v>
      </c>
      <c r="P1846" t="str">
        <f>VLOOKUP(D1846,상품정보!$A$2:$E$61,2,FALSE)</f>
        <v>반팔 티셔츠</v>
      </c>
      <c r="Q1846" t="str">
        <f>VLOOKUP(D1846,상품정보!$A$2:$D$151,3,FALSE)</f>
        <v>의류</v>
      </c>
      <c r="R1846" t="str">
        <f>VLOOKUP(D1846,상품정보!$A$2:$D$151,4,FALSE)</f>
        <v>브랜드E</v>
      </c>
    </row>
    <row r="1847" spans="1:18" x14ac:dyDescent="0.45">
      <c r="A1847" t="s">
        <v>183</v>
      </c>
      <c r="B1847" t="s">
        <v>2246</v>
      </c>
      <c r="C1847" t="s">
        <v>2453</v>
      </c>
      <c r="D1847" t="s">
        <v>2569</v>
      </c>
      <c r="E1847">
        <v>4</v>
      </c>
      <c r="F1847">
        <v>11400</v>
      </c>
      <c r="G1847">
        <v>0</v>
      </c>
      <c r="H1847">
        <v>0</v>
      </c>
      <c r="I1847" t="s">
        <v>2652</v>
      </c>
      <c r="J1847" s="4">
        <f t="shared" si="84"/>
        <v>45600</v>
      </c>
      <c r="K1847" s="4" t="str">
        <f t="shared" si="85"/>
        <v>2024-02</v>
      </c>
      <c r="L1847" s="4" t="str">
        <f t="shared" si="86"/>
        <v>수</v>
      </c>
      <c r="M1847" s="2" t="str">
        <f>VLOOKUP($C1847, 고객정보!$A$2:$E$151, 2, FALSE)</f>
        <v>대구</v>
      </c>
      <c r="N1847" t="str">
        <f>VLOOKUP(C1847,고객정보!$A$2:$D$151,4,FALSE)</f>
        <v>L5</v>
      </c>
      <c r="O1847" t="str">
        <f>VLOOKUP($C1847, 고객정보!$A$2:$E$151, 5, FALSE)</f>
        <v>50대 이상</v>
      </c>
      <c r="P1847" t="str">
        <f>VLOOKUP(D1847,상품정보!$A$2:$E$61,2,FALSE)</f>
        <v>귀걸이</v>
      </c>
      <c r="Q1847" t="str">
        <f>VLOOKUP(D1847,상품정보!$A$2:$D$151,3,FALSE)</f>
        <v>액세서리</v>
      </c>
      <c r="R1847" t="str">
        <f>VLOOKUP(D1847,상품정보!$A$2:$D$151,4,FALSE)</f>
        <v>브랜드E</v>
      </c>
    </row>
    <row r="1848" spans="1:18" x14ac:dyDescent="0.45">
      <c r="A1848" t="s">
        <v>377</v>
      </c>
      <c r="B1848" t="s">
        <v>2247</v>
      </c>
      <c r="C1848" t="s">
        <v>2507</v>
      </c>
      <c r="D1848" t="s">
        <v>2597</v>
      </c>
      <c r="E1848">
        <v>5</v>
      </c>
      <c r="F1848">
        <v>65300</v>
      </c>
      <c r="G1848">
        <v>0</v>
      </c>
      <c r="H1848">
        <v>0</v>
      </c>
      <c r="I1848" t="s">
        <v>2652</v>
      </c>
      <c r="J1848" s="4">
        <f t="shared" si="84"/>
        <v>326500</v>
      </c>
      <c r="K1848" s="4" t="str">
        <f t="shared" si="85"/>
        <v>2024-02</v>
      </c>
      <c r="L1848" s="4" t="str">
        <f t="shared" si="86"/>
        <v>월</v>
      </c>
      <c r="M1848" s="2" t="str">
        <f>VLOOKUP($C1848, 고객정보!$A$2:$E$151, 2, FALSE)</f>
        <v>대전</v>
      </c>
      <c r="N1848" t="str">
        <f>VLOOKUP(C1848,고객정보!$A$2:$D$151,4,FALSE)</f>
        <v>L2</v>
      </c>
      <c r="O1848" t="str">
        <f>VLOOKUP($C1848, 고객정보!$A$2:$E$151, 5, FALSE)</f>
        <v>40대</v>
      </c>
      <c r="P1848" t="str">
        <f>VLOOKUP(D1848,상품정보!$A$2:$E$61,2,FALSE)</f>
        <v>반지</v>
      </c>
      <c r="Q1848" t="str">
        <f>VLOOKUP(D1848,상품정보!$A$2:$D$151,3,FALSE)</f>
        <v>액세서리</v>
      </c>
      <c r="R1848" t="str">
        <f>VLOOKUP(D1848,상품정보!$A$2:$D$151,4,FALSE)</f>
        <v>브랜드F</v>
      </c>
    </row>
    <row r="1849" spans="1:18" x14ac:dyDescent="0.45">
      <c r="A1849" t="s">
        <v>262</v>
      </c>
      <c r="B1849" t="s">
        <v>2248</v>
      </c>
      <c r="C1849" t="s">
        <v>2459</v>
      </c>
      <c r="D1849" t="s">
        <v>2604</v>
      </c>
      <c r="E1849">
        <v>3</v>
      </c>
      <c r="F1849">
        <v>9700</v>
      </c>
      <c r="G1849">
        <v>0</v>
      </c>
      <c r="H1849">
        <v>0</v>
      </c>
      <c r="I1849" t="s">
        <v>2652</v>
      </c>
      <c r="J1849" s="4">
        <f t="shared" si="84"/>
        <v>29100</v>
      </c>
      <c r="K1849" s="4" t="str">
        <f t="shared" si="85"/>
        <v>2024-07</v>
      </c>
      <c r="L1849" s="4" t="str">
        <f t="shared" si="86"/>
        <v>금</v>
      </c>
      <c r="M1849" s="2" t="str">
        <f>VLOOKUP($C1849, 고객정보!$A$2:$E$151, 2, FALSE)</f>
        <v>광주</v>
      </c>
      <c r="N1849" t="str">
        <f>VLOOKUP(C1849,고객정보!$A$2:$D$151,4,FALSE)</f>
        <v>L4</v>
      </c>
      <c r="O1849" t="str">
        <f>VLOOKUP($C1849, 고객정보!$A$2:$E$151, 5, FALSE)</f>
        <v>50대 이상</v>
      </c>
      <c r="P1849" t="str">
        <f>VLOOKUP(D1849,상품정보!$A$2:$E$61,2,FALSE)</f>
        <v>반팔 티셔츠</v>
      </c>
      <c r="Q1849" t="str">
        <f>VLOOKUP(D1849,상품정보!$A$2:$D$151,3,FALSE)</f>
        <v>의류</v>
      </c>
      <c r="R1849" t="str">
        <f>VLOOKUP(D1849,상품정보!$A$2:$D$151,4,FALSE)</f>
        <v>브랜드E</v>
      </c>
    </row>
    <row r="1850" spans="1:18" x14ac:dyDescent="0.45">
      <c r="A1850" t="s">
        <v>157</v>
      </c>
      <c r="B1850" t="s">
        <v>2249</v>
      </c>
      <c r="C1850" t="s">
        <v>2416</v>
      </c>
      <c r="D1850" t="s">
        <v>2560</v>
      </c>
      <c r="E1850">
        <v>1</v>
      </c>
      <c r="F1850">
        <v>60600</v>
      </c>
      <c r="G1850">
        <v>0</v>
      </c>
      <c r="H1850">
        <v>4700</v>
      </c>
      <c r="I1850" t="s">
        <v>2612</v>
      </c>
      <c r="J1850" s="4">
        <f t="shared" si="84"/>
        <v>55900</v>
      </c>
      <c r="K1850" s="4" t="str">
        <f t="shared" si="85"/>
        <v>2024-12</v>
      </c>
      <c r="L1850" s="4" t="str">
        <f t="shared" si="86"/>
        <v>월</v>
      </c>
      <c r="M1850" s="2" t="str">
        <f>VLOOKUP($C1850, 고객정보!$A$2:$E$151, 2, FALSE)</f>
        <v>대구</v>
      </c>
      <c r="N1850" t="str">
        <f>VLOOKUP(C1850,고객정보!$A$2:$D$151,4,FALSE)</f>
        <v>L3</v>
      </c>
      <c r="O1850" t="str">
        <f>VLOOKUP($C1850, 고객정보!$A$2:$E$151, 5, FALSE)</f>
        <v>40대</v>
      </c>
      <c r="P1850" t="str">
        <f>VLOOKUP(D1850,상품정보!$A$2:$E$61,2,FALSE)</f>
        <v>반팔 티셔츠</v>
      </c>
      <c r="Q1850" t="str">
        <f>VLOOKUP(D1850,상품정보!$A$2:$D$151,3,FALSE)</f>
        <v>의류</v>
      </c>
      <c r="R1850" t="str">
        <f>VLOOKUP(D1850,상품정보!$A$2:$D$151,4,FALSE)</f>
        <v>브랜드F</v>
      </c>
    </row>
    <row r="1851" spans="1:18" x14ac:dyDescent="0.45">
      <c r="A1851" t="s">
        <v>172</v>
      </c>
      <c r="B1851" t="s">
        <v>2250</v>
      </c>
      <c r="C1851" t="s">
        <v>2418</v>
      </c>
      <c r="D1851" t="s">
        <v>2597</v>
      </c>
      <c r="E1851">
        <v>4</v>
      </c>
      <c r="F1851">
        <v>65300</v>
      </c>
      <c r="G1851">
        <v>0</v>
      </c>
      <c r="H1851">
        <v>0</v>
      </c>
      <c r="I1851" t="s">
        <v>2652</v>
      </c>
      <c r="J1851" s="4">
        <f t="shared" si="84"/>
        <v>261200</v>
      </c>
      <c r="K1851" s="4" t="str">
        <f t="shared" si="85"/>
        <v>2024-11</v>
      </c>
      <c r="L1851" s="4" t="str">
        <f t="shared" si="86"/>
        <v>화</v>
      </c>
      <c r="M1851" s="2" t="str">
        <f>VLOOKUP($C1851, 고객정보!$A$2:$E$151, 2, FALSE)</f>
        <v>부산</v>
      </c>
      <c r="N1851" t="str">
        <f>VLOOKUP(C1851,고객정보!$A$2:$D$151,4,FALSE)</f>
        <v>L5</v>
      </c>
      <c r="O1851" t="str">
        <f>VLOOKUP($C1851, 고객정보!$A$2:$E$151, 5, FALSE)</f>
        <v>30대</v>
      </c>
      <c r="P1851" t="str">
        <f>VLOOKUP(D1851,상품정보!$A$2:$E$61,2,FALSE)</f>
        <v>반지</v>
      </c>
      <c r="Q1851" t="str">
        <f>VLOOKUP(D1851,상품정보!$A$2:$D$151,3,FALSE)</f>
        <v>액세서리</v>
      </c>
      <c r="R1851" t="str">
        <f>VLOOKUP(D1851,상품정보!$A$2:$D$151,4,FALSE)</f>
        <v>브랜드F</v>
      </c>
    </row>
    <row r="1852" spans="1:18" x14ac:dyDescent="0.45">
      <c r="A1852" t="s">
        <v>35</v>
      </c>
      <c r="B1852" t="s">
        <v>2251</v>
      </c>
      <c r="C1852" t="s">
        <v>2497</v>
      </c>
      <c r="D1852" t="s">
        <v>2553</v>
      </c>
      <c r="E1852">
        <v>2</v>
      </c>
      <c r="F1852">
        <v>63400</v>
      </c>
      <c r="G1852">
        <v>0</v>
      </c>
      <c r="H1852">
        <v>0</v>
      </c>
      <c r="I1852" t="s">
        <v>2652</v>
      </c>
      <c r="J1852" s="4">
        <f t="shared" si="84"/>
        <v>126800</v>
      </c>
      <c r="K1852" s="4" t="str">
        <f t="shared" si="85"/>
        <v>2024-03</v>
      </c>
      <c r="L1852" s="4" t="str">
        <f t="shared" si="86"/>
        <v>화</v>
      </c>
      <c r="M1852" s="2" t="str">
        <f>VLOOKUP($C1852, 고객정보!$A$2:$E$151, 2, FALSE)</f>
        <v>서울</v>
      </c>
      <c r="N1852" t="str">
        <f>VLOOKUP(C1852,고객정보!$A$2:$D$151,4,FALSE)</f>
        <v>L3</v>
      </c>
      <c r="O1852" t="str">
        <f>VLOOKUP($C1852, 고객정보!$A$2:$E$151, 5, FALSE)</f>
        <v>10대</v>
      </c>
      <c r="P1852" t="str">
        <f>VLOOKUP(D1852,상품정보!$A$2:$E$61,2,FALSE)</f>
        <v>귀걸이</v>
      </c>
      <c r="Q1852" t="str">
        <f>VLOOKUP(D1852,상품정보!$A$2:$D$151,3,FALSE)</f>
        <v>액세서리</v>
      </c>
      <c r="R1852" t="str">
        <f>VLOOKUP(D1852,상품정보!$A$2:$D$151,4,FALSE)</f>
        <v>브랜드F</v>
      </c>
    </row>
    <row r="1853" spans="1:18" x14ac:dyDescent="0.45">
      <c r="A1853" t="s">
        <v>328</v>
      </c>
      <c r="B1853" t="s">
        <v>2252</v>
      </c>
      <c r="C1853" t="s">
        <v>2465</v>
      </c>
      <c r="D1853" t="s">
        <v>2590</v>
      </c>
      <c r="E1853">
        <v>1</v>
      </c>
      <c r="F1853">
        <v>68900</v>
      </c>
      <c r="G1853">
        <v>500</v>
      </c>
      <c r="H1853">
        <v>5500</v>
      </c>
      <c r="I1853" t="s">
        <v>2611</v>
      </c>
      <c r="J1853" s="4">
        <f t="shared" si="84"/>
        <v>63900</v>
      </c>
      <c r="K1853" s="4" t="str">
        <f t="shared" si="85"/>
        <v>2025-01</v>
      </c>
      <c r="L1853" s="4" t="str">
        <f t="shared" si="86"/>
        <v>수</v>
      </c>
      <c r="M1853" s="2" t="str">
        <f>VLOOKUP($C1853, 고객정보!$A$2:$E$151, 2, FALSE)</f>
        <v>서울</v>
      </c>
      <c r="N1853" t="str">
        <f>VLOOKUP(C1853,고객정보!$A$2:$D$151,4,FALSE)</f>
        <v>L1</v>
      </c>
      <c r="O1853" t="str">
        <f>VLOOKUP($C1853, 고객정보!$A$2:$E$151, 5, FALSE)</f>
        <v>20대</v>
      </c>
      <c r="P1853" t="str">
        <f>VLOOKUP(D1853,상품정보!$A$2:$E$61,2,FALSE)</f>
        <v>반팔 티셔츠</v>
      </c>
      <c r="Q1853" t="str">
        <f>VLOOKUP(D1853,상품정보!$A$2:$D$151,3,FALSE)</f>
        <v>의류</v>
      </c>
      <c r="R1853" t="str">
        <f>VLOOKUP(D1853,상품정보!$A$2:$D$151,4,FALSE)</f>
        <v>브랜드A</v>
      </c>
    </row>
    <row r="1854" spans="1:18" x14ac:dyDescent="0.45">
      <c r="A1854" t="s">
        <v>58</v>
      </c>
      <c r="B1854" t="s">
        <v>2253</v>
      </c>
      <c r="C1854" t="s">
        <v>2535</v>
      </c>
      <c r="D1854" t="s">
        <v>2567</v>
      </c>
      <c r="E1854">
        <v>2</v>
      </c>
      <c r="F1854">
        <v>58600</v>
      </c>
      <c r="G1854">
        <v>0</v>
      </c>
      <c r="H1854">
        <v>1100</v>
      </c>
      <c r="I1854" t="s">
        <v>2613</v>
      </c>
      <c r="J1854" s="4">
        <f t="shared" si="84"/>
        <v>116100</v>
      </c>
      <c r="K1854" s="4" t="str">
        <f t="shared" si="85"/>
        <v>2024-08</v>
      </c>
      <c r="L1854" s="4" t="str">
        <f t="shared" si="86"/>
        <v>월</v>
      </c>
      <c r="M1854" s="2" t="str">
        <f>VLOOKUP($C1854, 고객정보!$A$2:$E$151, 2, FALSE)</f>
        <v>서울</v>
      </c>
      <c r="N1854" t="str">
        <f>VLOOKUP(C1854,고객정보!$A$2:$D$151,4,FALSE)</f>
        <v>L2</v>
      </c>
      <c r="O1854" t="str">
        <f>VLOOKUP($C1854, 고객정보!$A$2:$E$151, 5, FALSE)</f>
        <v>10대</v>
      </c>
      <c r="P1854" t="str">
        <f>VLOOKUP(D1854,상품정보!$A$2:$E$61,2,FALSE)</f>
        <v>귀걸이</v>
      </c>
      <c r="Q1854" t="str">
        <f>VLOOKUP(D1854,상품정보!$A$2:$D$151,3,FALSE)</f>
        <v>액세서리</v>
      </c>
      <c r="R1854" t="str">
        <f>VLOOKUP(D1854,상품정보!$A$2:$D$151,4,FALSE)</f>
        <v>브랜드B</v>
      </c>
    </row>
    <row r="1855" spans="1:18" x14ac:dyDescent="0.45">
      <c r="A1855" t="s">
        <v>115</v>
      </c>
      <c r="B1855" t="s">
        <v>2254</v>
      </c>
      <c r="C1855" t="s">
        <v>2445</v>
      </c>
      <c r="D1855" t="s">
        <v>2595</v>
      </c>
      <c r="E1855">
        <v>4</v>
      </c>
      <c r="F1855">
        <v>12700</v>
      </c>
      <c r="G1855">
        <v>0</v>
      </c>
      <c r="H1855">
        <v>10100</v>
      </c>
      <c r="I1855" t="s">
        <v>2614</v>
      </c>
      <c r="J1855" s="4">
        <f t="shared" si="84"/>
        <v>40700</v>
      </c>
      <c r="K1855" s="4" t="str">
        <f t="shared" si="85"/>
        <v>2024-11</v>
      </c>
      <c r="L1855" s="4" t="str">
        <f t="shared" si="86"/>
        <v>월</v>
      </c>
      <c r="M1855" s="2" t="str">
        <f>VLOOKUP($C1855, 고객정보!$A$2:$E$151, 2, FALSE)</f>
        <v>대구</v>
      </c>
      <c r="N1855" t="str">
        <f>VLOOKUP(C1855,고객정보!$A$2:$D$151,4,FALSE)</f>
        <v>L3</v>
      </c>
      <c r="O1855" t="str">
        <f>VLOOKUP($C1855, 고객정보!$A$2:$E$151, 5, FALSE)</f>
        <v>10대</v>
      </c>
      <c r="P1855" t="str">
        <f>VLOOKUP(D1855,상품정보!$A$2:$E$61,2,FALSE)</f>
        <v>반지</v>
      </c>
      <c r="Q1855" t="str">
        <f>VLOOKUP(D1855,상품정보!$A$2:$D$151,3,FALSE)</f>
        <v>액세서리</v>
      </c>
      <c r="R1855" t="str">
        <f>VLOOKUP(D1855,상품정보!$A$2:$D$151,4,FALSE)</f>
        <v>브랜드C</v>
      </c>
    </row>
    <row r="1856" spans="1:18" x14ac:dyDescent="0.45">
      <c r="A1856" t="s">
        <v>238</v>
      </c>
      <c r="B1856" t="s">
        <v>2255</v>
      </c>
      <c r="C1856" t="s">
        <v>2494</v>
      </c>
      <c r="D1856" t="s">
        <v>2556</v>
      </c>
      <c r="E1856">
        <v>2</v>
      </c>
      <c r="F1856">
        <v>70100</v>
      </c>
      <c r="G1856">
        <v>2000</v>
      </c>
      <c r="H1856">
        <v>0</v>
      </c>
      <c r="I1856" t="s">
        <v>2652</v>
      </c>
      <c r="J1856" s="4">
        <f t="shared" si="84"/>
        <v>142200</v>
      </c>
      <c r="K1856" s="4" t="str">
        <f t="shared" si="85"/>
        <v>2024-04</v>
      </c>
      <c r="L1856" s="4" t="str">
        <f t="shared" si="86"/>
        <v>월</v>
      </c>
      <c r="M1856" s="2" t="str">
        <f>VLOOKUP($C1856, 고객정보!$A$2:$E$151, 2, FALSE)</f>
        <v>대구</v>
      </c>
      <c r="N1856" t="str">
        <f>VLOOKUP(C1856,고객정보!$A$2:$D$151,4,FALSE)</f>
        <v>L4</v>
      </c>
      <c r="O1856" t="str">
        <f>VLOOKUP($C1856, 고객정보!$A$2:$E$151, 5, FALSE)</f>
        <v>40대</v>
      </c>
      <c r="P1856" t="str">
        <f>VLOOKUP(D1856,상품정보!$A$2:$E$61,2,FALSE)</f>
        <v>핸드폰케이스</v>
      </c>
      <c r="Q1856" t="str">
        <f>VLOOKUP(D1856,상품정보!$A$2:$D$151,3,FALSE)</f>
        <v>액세서리</v>
      </c>
      <c r="R1856" t="str">
        <f>VLOOKUP(D1856,상품정보!$A$2:$D$151,4,FALSE)</f>
        <v>브랜드F</v>
      </c>
    </row>
    <row r="1857" spans="1:18" x14ac:dyDescent="0.45">
      <c r="A1857" t="s">
        <v>274</v>
      </c>
      <c r="B1857" t="s">
        <v>2256</v>
      </c>
      <c r="C1857" t="s">
        <v>2546</v>
      </c>
      <c r="D1857" t="s">
        <v>2600</v>
      </c>
      <c r="E1857">
        <v>5</v>
      </c>
      <c r="F1857">
        <v>10900</v>
      </c>
      <c r="G1857">
        <v>0</v>
      </c>
      <c r="H1857">
        <v>0</v>
      </c>
      <c r="I1857" t="s">
        <v>2652</v>
      </c>
      <c r="J1857" s="4">
        <f t="shared" si="84"/>
        <v>54500</v>
      </c>
      <c r="K1857" s="4" t="str">
        <f t="shared" si="85"/>
        <v>2024-12</v>
      </c>
      <c r="L1857" s="4" t="str">
        <f t="shared" si="86"/>
        <v>금</v>
      </c>
      <c r="M1857" s="2" t="str">
        <f>VLOOKUP($C1857, 고객정보!$A$2:$E$151, 2, FALSE)</f>
        <v>인천</v>
      </c>
      <c r="N1857" t="str">
        <f>VLOOKUP(C1857,고객정보!$A$2:$D$151,4,FALSE)</f>
        <v>L4</v>
      </c>
      <c r="O1857" t="str">
        <f>VLOOKUP($C1857, 고객정보!$A$2:$E$151, 5, FALSE)</f>
        <v>50대 이상</v>
      </c>
      <c r="P1857" t="str">
        <f>VLOOKUP(D1857,상품정보!$A$2:$E$61,2,FALSE)</f>
        <v>셔츠</v>
      </c>
      <c r="Q1857" t="str">
        <f>VLOOKUP(D1857,상품정보!$A$2:$D$151,3,FALSE)</f>
        <v>의류</v>
      </c>
      <c r="R1857" t="str">
        <f>VLOOKUP(D1857,상품정보!$A$2:$D$151,4,FALSE)</f>
        <v>브랜드E</v>
      </c>
    </row>
    <row r="1858" spans="1:18" x14ac:dyDescent="0.45">
      <c r="A1858" t="s">
        <v>321</v>
      </c>
      <c r="B1858" t="s">
        <v>2257</v>
      </c>
      <c r="C1858" t="s">
        <v>2471</v>
      </c>
      <c r="D1858" t="s">
        <v>2582</v>
      </c>
      <c r="E1858">
        <v>4</v>
      </c>
      <c r="F1858">
        <v>12500</v>
      </c>
      <c r="G1858">
        <v>0</v>
      </c>
      <c r="H1858">
        <v>3000</v>
      </c>
      <c r="I1858" t="s">
        <v>2612</v>
      </c>
      <c r="J1858" s="4">
        <f t="shared" si="84"/>
        <v>47000</v>
      </c>
      <c r="K1858" s="4" t="str">
        <f t="shared" si="85"/>
        <v>2025-01</v>
      </c>
      <c r="L1858" s="4" t="str">
        <f t="shared" si="86"/>
        <v>목</v>
      </c>
      <c r="M1858" s="2" t="str">
        <f>VLOOKUP($C1858, 고객정보!$A$2:$E$151, 2, FALSE)</f>
        <v>서울</v>
      </c>
      <c r="N1858" t="str">
        <f>VLOOKUP(C1858,고객정보!$A$2:$D$151,4,FALSE)</f>
        <v>L5</v>
      </c>
      <c r="O1858" t="str">
        <f>VLOOKUP($C1858, 고객정보!$A$2:$E$151, 5, FALSE)</f>
        <v>40대</v>
      </c>
      <c r="P1858" t="str">
        <f>VLOOKUP(D1858,상품정보!$A$2:$E$61,2,FALSE)</f>
        <v>셔츠</v>
      </c>
      <c r="Q1858" t="str">
        <f>VLOOKUP(D1858,상품정보!$A$2:$D$151,3,FALSE)</f>
        <v>의류</v>
      </c>
      <c r="R1858" t="str">
        <f>VLOOKUP(D1858,상품정보!$A$2:$D$151,4,FALSE)</f>
        <v>브랜드D</v>
      </c>
    </row>
    <row r="1859" spans="1:18" x14ac:dyDescent="0.45">
      <c r="A1859" t="s">
        <v>87</v>
      </c>
      <c r="B1859" t="s">
        <v>2258</v>
      </c>
      <c r="C1859" t="s">
        <v>2412</v>
      </c>
      <c r="D1859" t="s">
        <v>2553</v>
      </c>
      <c r="E1859">
        <v>5</v>
      </c>
      <c r="F1859">
        <v>63400</v>
      </c>
      <c r="G1859">
        <v>0</v>
      </c>
      <c r="H1859">
        <v>0</v>
      </c>
      <c r="I1859" t="s">
        <v>2652</v>
      </c>
      <c r="J1859" s="4">
        <f t="shared" ref="J1859:J1922" si="87">E1859*F1859+G1859-H1859</f>
        <v>317000</v>
      </c>
      <c r="K1859" s="4" t="str">
        <f t="shared" ref="K1859:K1922" si="88">LEFT(A1859,7)</f>
        <v>2024-01</v>
      </c>
      <c r="L1859" s="4" t="str">
        <f t="shared" ref="L1859:L1922" si="89">TEXT(WEEKDAY(A1859),"aaa")</f>
        <v>금</v>
      </c>
      <c r="M1859" s="2" t="str">
        <f>VLOOKUP($C1859, 고객정보!$A$2:$E$151, 2, FALSE)</f>
        <v>대전</v>
      </c>
      <c r="N1859" t="str">
        <f>VLOOKUP(C1859,고객정보!$A$2:$D$151,4,FALSE)</f>
        <v>L4</v>
      </c>
      <c r="O1859" t="str">
        <f>VLOOKUP($C1859, 고객정보!$A$2:$E$151, 5, FALSE)</f>
        <v>30대</v>
      </c>
      <c r="P1859" t="str">
        <f>VLOOKUP(D1859,상품정보!$A$2:$E$61,2,FALSE)</f>
        <v>귀걸이</v>
      </c>
      <c r="Q1859" t="str">
        <f>VLOOKUP(D1859,상품정보!$A$2:$D$151,3,FALSE)</f>
        <v>액세서리</v>
      </c>
      <c r="R1859" t="str">
        <f>VLOOKUP(D1859,상품정보!$A$2:$D$151,4,FALSE)</f>
        <v>브랜드F</v>
      </c>
    </row>
    <row r="1860" spans="1:18" x14ac:dyDescent="0.45">
      <c r="A1860" t="s">
        <v>225</v>
      </c>
      <c r="B1860" t="s">
        <v>2259</v>
      </c>
      <c r="C1860" t="s">
        <v>2484</v>
      </c>
      <c r="D1860" t="s">
        <v>2575</v>
      </c>
      <c r="E1860">
        <v>2</v>
      </c>
      <c r="F1860">
        <v>7200</v>
      </c>
      <c r="G1860">
        <v>1000</v>
      </c>
      <c r="H1860">
        <v>300</v>
      </c>
      <c r="I1860" t="s">
        <v>2613</v>
      </c>
      <c r="J1860" s="4">
        <f t="shared" si="87"/>
        <v>15100</v>
      </c>
      <c r="K1860" s="4" t="str">
        <f t="shared" si="88"/>
        <v>2024-05</v>
      </c>
      <c r="L1860" s="4" t="str">
        <f t="shared" si="89"/>
        <v>목</v>
      </c>
      <c r="M1860" s="2" t="str">
        <f>VLOOKUP($C1860, 고객정보!$A$2:$E$151, 2, FALSE)</f>
        <v>부산</v>
      </c>
      <c r="N1860" t="str">
        <f>VLOOKUP(C1860,고객정보!$A$2:$D$151,4,FALSE)</f>
        <v>L5</v>
      </c>
      <c r="O1860" t="str">
        <f>VLOOKUP($C1860, 고객정보!$A$2:$E$151, 5, FALSE)</f>
        <v>20대</v>
      </c>
      <c r="P1860" t="str">
        <f>VLOOKUP(D1860,상품정보!$A$2:$E$61,2,FALSE)</f>
        <v>반지</v>
      </c>
      <c r="Q1860" t="str">
        <f>VLOOKUP(D1860,상품정보!$A$2:$D$151,3,FALSE)</f>
        <v>액세서리</v>
      </c>
      <c r="R1860" t="str">
        <f>VLOOKUP(D1860,상품정보!$A$2:$D$151,4,FALSE)</f>
        <v>브랜드E</v>
      </c>
    </row>
    <row r="1861" spans="1:18" x14ac:dyDescent="0.45">
      <c r="A1861" t="s">
        <v>386</v>
      </c>
      <c r="B1861" t="s">
        <v>2260</v>
      </c>
      <c r="C1861" t="s">
        <v>2497</v>
      </c>
      <c r="D1861" t="s">
        <v>2599</v>
      </c>
      <c r="E1861">
        <v>5</v>
      </c>
      <c r="F1861">
        <v>73800</v>
      </c>
      <c r="G1861">
        <v>500</v>
      </c>
      <c r="H1861">
        <v>4900</v>
      </c>
      <c r="I1861" t="s">
        <v>2613</v>
      </c>
      <c r="J1861" s="4">
        <f t="shared" si="87"/>
        <v>364600</v>
      </c>
      <c r="K1861" s="4" t="str">
        <f t="shared" si="88"/>
        <v>2024-01</v>
      </c>
      <c r="L1861" s="4" t="str">
        <f t="shared" si="89"/>
        <v>일</v>
      </c>
      <c r="M1861" s="2" t="str">
        <f>VLOOKUP($C1861, 고객정보!$A$2:$E$151, 2, FALSE)</f>
        <v>서울</v>
      </c>
      <c r="N1861" t="str">
        <f>VLOOKUP(C1861,고객정보!$A$2:$D$151,4,FALSE)</f>
        <v>L3</v>
      </c>
      <c r="O1861" t="str">
        <f>VLOOKUP($C1861, 고객정보!$A$2:$E$151, 5, FALSE)</f>
        <v>10대</v>
      </c>
      <c r="P1861" t="str">
        <f>VLOOKUP(D1861,상품정보!$A$2:$E$61,2,FALSE)</f>
        <v>핸드폰케이스</v>
      </c>
      <c r="Q1861" t="str">
        <f>VLOOKUP(D1861,상품정보!$A$2:$D$151,3,FALSE)</f>
        <v>액세서리</v>
      </c>
      <c r="R1861" t="str">
        <f>VLOOKUP(D1861,상품정보!$A$2:$D$151,4,FALSE)</f>
        <v>브랜드F</v>
      </c>
    </row>
    <row r="1862" spans="1:18" x14ac:dyDescent="0.45">
      <c r="A1862" t="s">
        <v>18</v>
      </c>
      <c r="B1862" t="s">
        <v>2261</v>
      </c>
      <c r="C1862" t="s">
        <v>2490</v>
      </c>
      <c r="D1862" t="s">
        <v>2588</v>
      </c>
      <c r="E1862">
        <v>5</v>
      </c>
      <c r="F1862">
        <v>7700</v>
      </c>
      <c r="G1862">
        <v>500</v>
      </c>
      <c r="H1862">
        <v>6800</v>
      </c>
      <c r="I1862" t="s">
        <v>2613</v>
      </c>
      <c r="J1862" s="4">
        <f t="shared" si="87"/>
        <v>32200</v>
      </c>
      <c r="K1862" s="4" t="str">
        <f t="shared" si="88"/>
        <v>2024-07</v>
      </c>
      <c r="L1862" s="4" t="str">
        <f t="shared" si="89"/>
        <v>화</v>
      </c>
      <c r="M1862" s="2" t="str">
        <f>VLOOKUP($C1862, 고객정보!$A$2:$E$151, 2, FALSE)</f>
        <v>부산</v>
      </c>
      <c r="N1862" t="str">
        <f>VLOOKUP(C1862,고객정보!$A$2:$D$151,4,FALSE)</f>
        <v>L3</v>
      </c>
      <c r="O1862" t="str">
        <f>VLOOKUP($C1862, 고객정보!$A$2:$E$151, 5, FALSE)</f>
        <v>20대</v>
      </c>
      <c r="P1862" t="str">
        <f>VLOOKUP(D1862,상품정보!$A$2:$E$61,2,FALSE)</f>
        <v>귀걸이</v>
      </c>
      <c r="Q1862" t="str">
        <f>VLOOKUP(D1862,상품정보!$A$2:$D$151,3,FALSE)</f>
        <v>액세서리</v>
      </c>
      <c r="R1862" t="str">
        <f>VLOOKUP(D1862,상품정보!$A$2:$D$151,4,FALSE)</f>
        <v>브랜드D</v>
      </c>
    </row>
    <row r="1863" spans="1:18" x14ac:dyDescent="0.45">
      <c r="A1863" t="s">
        <v>343</v>
      </c>
      <c r="B1863" t="s">
        <v>2262</v>
      </c>
      <c r="C1863" t="s">
        <v>2401</v>
      </c>
      <c r="D1863" t="s">
        <v>2576</v>
      </c>
      <c r="E1863">
        <v>3</v>
      </c>
      <c r="F1863">
        <v>8800</v>
      </c>
      <c r="G1863">
        <v>500</v>
      </c>
      <c r="H1863">
        <v>0</v>
      </c>
      <c r="I1863" t="s">
        <v>2652</v>
      </c>
      <c r="J1863" s="4">
        <f t="shared" si="87"/>
        <v>26900</v>
      </c>
      <c r="K1863" s="4" t="str">
        <f t="shared" si="88"/>
        <v>2024-01</v>
      </c>
      <c r="L1863" s="4" t="str">
        <f t="shared" si="89"/>
        <v>화</v>
      </c>
      <c r="M1863" s="2" t="str">
        <f>VLOOKUP($C1863, 고객정보!$A$2:$E$151, 2, FALSE)</f>
        <v>대구</v>
      </c>
      <c r="N1863" t="str">
        <f>VLOOKUP(C1863,고객정보!$A$2:$D$151,4,FALSE)</f>
        <v>L2</v>
      </c>
      <c r="O1863" t="str">
        <f>VLOOKUP($C1863, 고객정보!$A$2:$E$151, 5, FALSE)</f>
        <v>30대</v>
      </c>
      <c r="P1863" t="str">
        <f>VLOOKUP(D1863,상품정보!$A$2:$E$61,2,FALSE)</f>
        <v>핸드폰케이스</v>
      </c>
      <c r="Q1863" t="str">
        <f>VLOOKUP(D1863,상품정보!$A$2:$D$151,3,FALSE)</f>
        <v>액세서리</v>
      </c>
      <c r="R1863" t="str">
        <f>VLOOKUP(D1863,상품정보!$A$2:$D$151,4,FALSE)</f>
        <v>브랜드D</v>
      </c>
    </row>
    <row r="1864" spans="1:18" x14ac:dyDescent="0.45">
      <c r="A1864" t="s">
        <v>311</v>
      </c>
      <c r="B1864" t="s">
        <v>2263</v>
      </c>
      <c r="C1864" t="s">
        <v>2467</v>
      </c>
      <c r="D1864" t="s">
        <v>2609</v>
      </c>
      <c r="E1864">
        <v>5</v>
      </c>
      <c r="F1864">
        <v>58600</v>
      </c>
      <c r="G1864">
        <v>0</v>
      </c>
      <c r="H1864">
        <v>0</v>
      </c>
      <c r="I1864" t="s">
        <v>2652</v>
      </c>
      <c r="J1864" s="4">
        <f t="shared" si="87"/>
        <v>293000</v>
      </c>
      <c r="K1864" s="4" t="str">
        <f t="shared" si="88"/>
        <v>2024-07</v>
      </c>
      <c r="L1864" s="4" t="str">
        <f t="shared" si="89"/>
        <v>토</v>
      </c>
      <c r="M1864" s="2" t="str">
        <f>VLOOKUP($C1864, 고객정보!$A$2:$E$151, 2, FALSE)</f>
        <v>부산</v>
      </c>
      <c r="N1864" t="str">
        <f>VLOOKUP(C1864,고객정보!$A$2:$D$151,4,FALSE)</f>
        <v>L4</v>
      </c>
      <c r="O1864" t="str">
        <f>VLOOKUP($C1864, 고객정보!$A$2:$E$151, 5, FALSE)</f>
        <v>20대</v>
      </c>
      <c r="P1864" t="str">
        <f>VLOOKUP(D1864,상품정보!$A$2:$E$61,2,FALSE)</f>
        <v>목걸이</v>
      </c>
      <c r="Q1864" t="str">
        <f>VLOOKUP(D1864,상품정보!$A$2:$D$151,3,FALSE)</f>
        <v>액세서리</v>
      </c>
      <c r="R1864" t="str">
        <f>VLOOKUP(D1864,상품정보!$A$2:$D$151,4,FALSE)</f>
        <v>브랜드F</v>
      </c>
    </row>
    <row r="1865" spans="1:18" x14ac:dyDescent="0.45">
      <c r="A1865" t="s">
        <v>262</v>
      </c>
      <c r="B1865" t="s">
        <v>2264</v>
      </c>
      <c r="C1865" t="s">
        <v>2546</v>
      </c>
      <c r="D1865" t="s">
        <v>2588</v>
      </c>
      <c r="E1865">
        <v>4</v>
      </c>
      <c r="F1865">
        <v>7700</v>
      </c>
      <c r="G1865">
        <v>1000</v>
      </c>
      <c r="H1865">
        <v>0</v>
      </c>
      <c r="I1865" t="s">
        <v>2652</v>
      </c>
      <c r="J1865" s="4">
        <f t="shared" si="87"/>
        <v>31800</v>
      </c>
      <c r="K1865" s="4" t="str">
        <f t="shared" si="88"/>
        <v>2024-07</v>
      </c>
      <c r="L1865" s="4" t="str">
        <f t="shared" si="89"/>
        <v>금</v>
      </c>
      <c r="M1865" s="2" t="str">
        <f>VLOOKUP($C1865, 고객정보!$A$2:$E$151, 2, FALSE)</f>
        <v>인천</v>
      </c>
      <c r="N1865" t="str">
        <f>VLOOKUP(C1865,고객정보!$A$2:$D$151,4,FALSE)</f>
        <v>L4</v>
      </c>
      <c r="O1865" t="str">
        <f>VLOOKUP($C1865, 고객정보!$A$2:$E$151, 5, FALSE)</f>
        <v>50대 이상</v>
      </c>
      <c r="P1865" t="str">
        <f>VLOOKUP(D1865,상품정보!$A$2:$E$61,2,FALSE)</f>
        <v>귀걸이</v>
      </c>
      <c r="Q1865" t="str">
        <f>VLOOKUP(D1865,상품정보!$A$2:$D$151,3,FALSE)</f>
        <v>액세서리</v>
      </c>
      <c r="R1865" t="str">
        <f>VLOOKUP(D1865,상품정보!$A$2:$D$151,4,FALSE)</f>
        <v>브랜드D</v>
      </c>
    </row>
    <row r="1866" spans="1:18" x14ac:dyDescent="0.45">
      <c r="A1866" t="s">
        <v>167</v>
      </c>
      <c r="B1866" t="s">
        <v>2265</v>
      </c>
      <c r="C1866" t="s">
        <v>2418</v>
      </c>
      <c r="D1866" t="s">
        <v>2609</v>
      </c>
      <c r="E1866">
        <v>5</v>
      </c>
      <c r="F1866">
        <v>58600</v>
      </c>
      <c r="G1866">
        <v>1000</v>
      </c>
      <c r="H1866">
        <v>11900</v>
      </c>
      <c r="I1866" t="s">
        <v>2611</v>
      </c>
      <c r="J1866" s="4">
        <f t="shared" si="87"/>
        <v>282100</v>
      </c>
      <c r="K1866" s="4" t="str">
        <f t="shared" si="88"/>
        <v>2024-04</v>
      </c>
      <c r="L1866" s="4" t="str">
        <f t="shared" si="89"/>
        <v>목</v>
      </c>
      <c r="M1866" s="2" t="str">
        <f>VLOOKUP($C1866, 고객정보!$A$2:$E$151, 2, FALSE)</f>
        <v>부산</v>
      </c>
      <c r="N1866" t="str">
        <f>VLOOKUP(C1866,고객정보!$A$2:$D$151,4,FALSE)</f>
        <v>L5</v>
      </c>
      <c r="O1866" t="str">
        <f>VLOOKUP($C1866, 고객정보!$A$2:$E$151, 5, FALSE)</f>
        <v>30대</v>
      </c>
      <c r="P1866" t="str">
        <f>VLOOKUP(D1866,상품정보!$A$2:$E$61,2,FALSE)</f>
        <v>목걸이</v>
      </c>
      <c r="Q1866" t="str">
        <f>VLOOKUP(D1866,상품정보!$A$2:$D$151,3,FALSE)</f>
        <v>액세서리</v>
      </c>
      <c r="R1866" t="str">
        <f>VLOOKUP(D1866,상품정보!$A$2:$D$151,4,FALSE)</f>
        <v>브랜드F</v>
      </c>
    </row>
    <row r="1867" spans="1:18" x14ac:dyDescent="0.45">
      <c r="A1867" t="s">
        <v>214</v>
      </c>
      <c r="B1867" t="s">
        <v>2266</v>
      </c>
      <c r="C1867" t="s">
        <v>2536</v>
      </c>
      <c r="D1867" t="s">
        <v>2608</v>
      </c>
      <c r="E1867">
        <v>2</v>
      </c>
      <c r="F1867">
        <v>10600</v>
      </c>
      <c r="G1867">
        <v>0</v>
      </c>
      <c r="H1867">
        <v>5800</v>
      </c>
      <c r="I1867" t="s">
        <v>2614</v>
      </c>
      <c r="J1867" s="4">
        <f t="shared" si="87"/>
        <v>15400</v>
      </c>
      <c r="K1867" s="4" t="str">
        <f t="shared" si="88"/>
        <v>2024-04</v>
      </c>
      <c r="L1867" s="4" t="str">
        <f t="shared" si="89"/>
        <v>토</v>
      </c>
      <c r="M1867" s="2" t="str">
        <f>VLOOKUP($C1867, 고객정보!$A$2:$E$151, 2, FALSE)</f>
        <v>서울</v>
      </c>
      <c r="N1867" t="str">
        <f>VLOOKUP(C1867,고객정보!$A$2:$D$151,4,FALSE)</f>
        <v>L5</v>
      </c>
      <c r="O1867" t="str">
        <f>VLOOKUP($C1867, 고객정보!$A$2:$E$151, 5, FALSE)</f>
        <v>20대</v>
      </c>
      <c r="P1867" t="str">
        <f>VLOOKUP(D1867,상품정보!$A$2:$E$61,2,FALSE)</f>
        <v>셔츠</v>
      </c>
      <c r="Q1867" t="str">
        <f>VLOOKUP(D1867,상품정보!$A$2:$D$151,3,FALSE)</f>
        <v>의류</v>
      </c>
      <c r="R1867" t="str">
        <f>VLOOKUP(D1867,상품정보!$A$2:$D$151,4,FALSE)</f>
        <v>브랜드D</v>
      </c>
    </row>
    <row r="1868" spans="1:18" x14ac:dyDescent="0.45">
      <c r="A1868" t="s">
        <v>314</v>
      </c>
      <c r="B1868" t="s">
        <v>2267</v>
      </c>
      <c r="C1868" t="s">
        <v>2463</v>
      </c>
      <c r="D1868" t="s">
        <v>2559</v>
      </c>
      <c r="E1868">
        <v>3</v>
      </c>
      <c r="F1868">
        <v>5400</v>
      </c>
      <c r="G1868">
        <v>500</v>
      </c>
      <c r="H1868">
        <v>0</v>
      </c>
      <c r="I1868" t="s">
        <v>2652</v>
      </c>
      <c r="J1868" s="4">
        <f t="shared" si="87"/>
        <v>16700</v>
      </c>
      <c r="K1868" s="4" t="str">
        <f t="shared" si="88"/>
        <v>2024-08</v>
      </c>
      <c r="L1868" s="4" t="str">
        <f t="shared" si="89"/>
        <v>목</v>
      </c>
      <c r="M1868" s="2" t="str">
        <f>VLOOKUP($C1868, 고객정보!$A$2:$E$151, 2, FALSE)</f>
        <v>대구</v>
      </c>
      <c r="N1868" t="str">
        <f>VLOOKUP(C1868,고객정보!$A$2:$D$151,4,FALSE)</f>
        <v>L4</v>
      </c>
      <c r="O1868" t="str">
        <f>VLOOKUP($C1868, 고객정보!$A$2:$E$151, 5, FALSE)</f>
        <v>20대</v>
      </c>
      <c r="P1868" t="str">
        <f>VLOOKUP(D1868,상품정보!$A$2:$E$61,2,FALSE)</f>
        <v>반지</v>
      </c>
      <c r="Q1868" t="str">
        <f>VLOOKUP(D1868,상품정보!$A$2:$D$151,3,FALSE)</f>
        <v>액세서리</v>
      </c>
      <c r="R1868" t="str">
        <f>VLOOKUP(D1868,상품정보!$A$2:$D$151,4,FALSE)</f>
        <v>브랜드D</v>
      </c>
    </row>
    <row r="1869" spans="1:18" x14ac:dyDescent="0.45">
      <c r="A1869" t="s">
        <v>88</v>
      </c>
      <c r="B1869" t="s">
        <v>2268</v>
      </c>
      <c r="C1869" t="s">
        <v>2477</v>
      </c>
      <c r="D1869" t="s">
        <v>2595</v>
      </c>
      <c r="E1869">
        <v>2</v>
      </c>
      <c r="F1869">
        <v>12700</v>
      </c>
      <c r="G1869">
        <v>0</v>
      </c>
      <c r="H1869">
        <v>0</v>
      </c>
      <c r="I1869" t="s">
        <v>2652</v>
      </c>
      <c r="J1869" s="4">
        <f t="shared" si="87"/>
        <v>25400</v>
      </c>
      <c r="K1869" s="4" t="str">
        <f t="shared" si="88"/>
        <v>2024-03</v>
      </c>
      <c r="L1869" s="4" t="str">
        <f t="shared" si="89"/>
        <v>토</v>
      </c>
      <c r="M1869" s="2" t="str">
        <f>VLOOKUP($C1869, 고객정보!$A$2:$E$151, 2, FALSE)</f>
        <v>부산</v>
      </c>
      <c r="N1869" t="str">
        <f>VLOOKUP(C1869,고객정보!$A$2:$D$151,4,FALSE)</f>
        <v>L4</v>
      </c>
      <c r="O1869" t="str">
        <f>VLOOKUP($C1869, 고객정보!$A$2:$E$151, 5, FALSE)</f>
        <v>20대</v>
      </c>
      <c r="P1869" t="str">
        <f>VLOOKUP(D1869,상품정보!$A$2:$E$61,2,FALSE)</f>
        <v>반지</v>
      </c>
      <c r="Q1869" t="str">
        <f>VLOOKUP(D1869,상품정보!$A$2:$D$151,3,FALSE)</f>
        <v>액세서리</v>
      </c>
      <c r="R1869" t="str">
        <f>VLOOKUP(D1869,상품정보!$A$2:$D$151,4,FALSE)</f>
        <v>브랜드C</v>
      </c>
    </row>
    <row r="1870" spans="1:18" x14ac:dyDescent="0.45">
      <c r="A1870" t="s">
        <v>380</v>
      </c>
      <c r="B1870" t="s">
        <v>2269</v>
      </c>
      <c r="C1870" t="s">
        <v>2435</v>
      </c>
      <c r="D1870" t="s">
        <v>2571</v>
      </c>
      <c r="E1870">
        <v>1</v>
      </c>
      <c r="F1870">
        <v>55600</v>
      </c>
      <c r="G1870">
        <v>1500</v>
      </c>
      <c r="H1870">
        <v>0</v>
      </c>
      <c r="I1870" t="s">
        <v>2652</v>
      </c>
      <c r="J1870" s="4">
        <f t="shared" si="87"/>
        <v>57100</v>
      </c>
      <c r="K1870" s="4" t="str">
        <f t="shared" si="88"/>
        <v>2024-03</v>
      </c>
      <c r="L1870" s="4" t="str">
        <f t="shared" si="89"/>
        <v>목</v>
      </c>
      <c r="M1870" s="2" t="str">
        <f>VLOOKUP($C1870, 고객정보!$A$2:$E$151, 2, FALSE)</f>
        <v>인천</v>
      </c>
      <c r="N1870" t="str">
        <f>VLOOKUP(C1870,고객정보!$A$2:$D$151,4,FALSE)</f>
        <v>L5</v>
      </c>
      <c r="O1870" t="str">
        <f>VLOOKUP($C1870, 고객정보!$A$2:$E$151, 5, FALSE)</f>
        <v>30대</v>
      </c>
      <c r="P1870" t="str">
        <f>VLOOKUP(D1870,상품정보!$A$2:$E$61,2,FALSE)</f>
        <v>자켓</v>
      </c>
      <c r="Q1870" t="str">
        <f>VLOOKUP(D1870,상품정보!$A$2:$D$151,3,FALSE)</f>
        <v>의류</v>
      </c>
      <c r="R1870" t="str">
        <f>VLOOKUP(D1870,상품정보!$A$2:$D$151,4,FALSE)</f>
        <v>브랜드B</v>
      </c>
    </row>
    <row r="1871" spans="1:18" x14ac:dyDescent="0.45">
      <c r="A1871" t="s">
        <v>303</v>
      </c>
      <c r="B1871" t="s">
        <v>2270</v>
      </c>
      <c r="C1871" t="s">
        <v>2452</v>
      </c>
      <c r="D1871" t="s">
        <v>2567</v>
      </c>
      <c r="E1871">
        <v>4</v>
      </c>
      <c r="F1871">
        <v>58600</v>
      </c>
      <c r="G1871">
        <v>2000</v>
      </c>
      <c r="H1871">
        <v>6600</v>
      </c>
      <c r="I1871" t="s">
        <v>2613</v>
      </c>
      <c r="J1871" s="4">
        <f t="shared" si="87"/>
        <v>229800</v>
      </c>
      <c r="K1871" s="4" t="str">
        <f t="shared" si="88"/>
        <v>2024-03</v>
      </c>
      <c r="L1871" s="4" t="str">
        <f t="shared" si="89"/>
        <v>일</v>
      </c>
      <c r="M1871" s="2" t="str">
        <f>VLOOKUP($C1871, 고객정보!$A$2:$E$151, 2, FALSE)</f>
        <v>서울</v>
      </c>
      <c r="N1871" t="str">
        <f>VLOOKUP(C1871,고객정보!$A$2:$D$151,4,FALSE)</f>
        <v>L3</v>
      </c>
      <c r="O1871" t="str">
        <f>VLOOKUP($C1871, 고객정보!$A$2:$E$151, 5, FALSE)</f>
        <v>30대</v>
      </c>
      <c r="P1871" t="str">
        <f>VLOOKUP(D1871,상품정보!$A$2:$E$61,2,FALSE)</f>
        <v>귀걸이</v>
      </c>
      <c r="Q1871" t="str">
        <f>VLOOKUP(D1871,상품정보!$A$2:$D$151,3,FALSE)</f>
        <v>액세서리</v>
      </c>
      <c r="R1871" t="str">
        <f>VLOOKUP(D1871,상품정보!$A$2:$D$151,4,FALSE)</f>
        <v>브랜드B</v>
      </c>
    </row>
    <row r="1872" spans="1:18" x14ac:dyDescent="0.45">
      <c r="A1872" t="s">
        <v>219</v>
      </c>
      <c r="B1872" t="s">
        <v>2271</v>
      </c>
      <c r="C1872" t="s">
        <v>2444</v>
      </c>
      <c r="D1872" t="s">
        <v>2552</v>
      </c>
      <c r="E1872">
        <v>4</v>
      </c>
      <c r="F1872">
        <v>13300</v>
      </c>
      <c r="G1872">
        <v>1000</v>
      </c>
      <c r="H1872">
        <v>7400</v>
      </c>
      <c r="I1872" t="s">
        <v>2614</v>
      </c>
      <c r="J1872" s="4">
        <f t="shared" si="87"/>
        <v>46800</v>
      </c>
      <c r="K1872" s="4" t="str">
        <f t="shared" si="88"/>
        <v>2024-08</v>
      </c>
      <c r="L1872" s="4" t="str">
        <f t="shared" si="89"/>
        <v>수</v>
      </c>
      <c r="M1872" s="2" t="str">
        <f>VLOOKUP($C1872, 고객정보!$A$2:$E$151, 2, FALSE)</f>
        <v>서울</v>
      </c>
      <c r="N1872" t="str">
        <f>VLOOKUP(C1872,고객정보!$A$2:$D$151,4,FALSE)</f>
        <v>L4</v>
      </c>
      <c r="O1872" t="str">
        <f>VLOOKUP($C1872, 고객정보!$A$2:$E$151, 5, FALSE)</f>
        <v>40대</v>
      </c>
      <c r="P1872" t="str">
        <f>VLOOKUP(D1872,상품정보!$A$2:$E$61,2,FALSE)</f>
        <v>셔츠</v>
      </c>
      <c r="Q1872" t="str">
        <f>VLOOKUP(D1872,상품정보!$A$2:$D$151,3,FALSE)</f>
        <v>의류</v>
      </c>
      <c r="R1872" t="str">
        <f>VLOOKUP(D1872,상품정보!$A$2:$D$151,4,FALSE)</f>
        <v>브랜드E</v>
      </c>
    </row>
    <row r="1873" spans="1:18" x14ac:dyDescent="0.45">
      <c r="A1873" t="s">
        <v>234</v>
      </c>
      <c r="B1873" t="s">
        <v>2272</v>
      </c>
      <c r="C1873" t="s">
        <v>2409</v>
      </c>
      <c r="D1873" t="s">
        <v>2598</v>
      </c>
      <c r="E1873">
        <v>2</v>
      </c>
      <c r="F1873">
        <v>77300</v>
      </c>
      <c r="G1873">
        <v>0</v>
      </c>
      <c r="H1873">
        <v>0</v>
      </c>
      <c r="I1873" t="s">
        <v>2652</v>
      </c>
      <c r="J1873" s="4">
        <f t="shared" si="87"/>
        <v>154600</v>
      </c>
      <c r="K1873" s="4" t="str">
        <f t="shared" si="88"/>
        <v>2024-08</v>
      </c>
      <c r="L1873" s="4" t="str">
        <f t="shared" si="89"/>
        <v>화</v>
      </c>
      <c r="M1873" s="2" t="str">
        <f>VLOOKUP($C1873, 고객정보!$A$2:$E$151, 2, FALSE)</f>
        <v>서울</v>
      </c>
      <c r="N1873" t="str">
        <f>VLOOKUP(C1873,고객정보!$A$2:$D$151,4,FALSE)</f>
        <v>L3</v>
      </c>
      <c r="O1873" t="str">
        <f>VLOOKUP($C1873, 고객정보!$A$2:$E$151, 5, FALSE)</f>
        <v>50대 이상</v>
      </c>
      <c r="P1873" t="str">
        <f>VLOOKUP(D1873,상품정보!$A$2:$E$61,2,FALSE)</f>
        <v>청바지</v>
      </c>
      <c r="Q1873" t="str">
        <f>VLOOKUP(D1873,상품정보!$A$2:$D$151,3,FALSE)</f>
        <v>의류</v>
      </c>
      <c r="R1873" t="str">
        <f>VLOOKUP(D1873,상품정보!$A$2:$D$151,4,FALSE)</f>
        <v>브랜드F</v>
      </c>
    </row>
    <row r="1874" spans="1:18" x14ac:dyDescent="0.45">
      <c r="A1874" t="s">
        <v>270</v>
      </c>
      <c r="B1874" t="s">
        <v>2273</v>
      </c>
      <c r="C1874" t="s">
        <v>2484</v>
      </c>
      <c r="D1874" t="s">
        <v>2609</v>
      </c>
      <c r="E1874">
        <v>5</v>
      </c>
      <c r="F1874">
        <v>58600</v>
      </c>
      <c r="G1874">
        <v>500</v>
      </c>
      <c r="H1874">
        <v>0</v>
      </c>
      <c r="I1874" t="s">
        <v>2652</v>
      </c>
      <c r="J1874" s="4">
        <f t="shared" si="87"/>
        <v>293500</v>
      </c>
      <c r="K1874" s="4" t="str">
        <f t="shared" si="88"/>
        <v>2024-08</v>
      </c>
      <c r="L1874" s="4" t="str">
        <f t="shared" si="89"/>
        <v>일</v>
      </c>
      <c r="M1874" s="2" t="str">
        <f>VLOOKUP($C1874, 고객정보!$A$2:$E$151, 2, FALSE)</f>
        <v>부산</v>
      </c>
      <c r="N1874" t="str">
        <f>VLOOKUP(C1874,고객정보!$A$2:$D$151,4,FALSE)</f>
        <v>L5</v>
      </c>
      <c r="O1874" t="str">
        <f>VLOOKUP($C1874, 고객정보!$A$2:$E$151, 5, FALSE)</f>
        <v>20대</v>
      </c>
      <c r="P1874" t="str">
        <f>VLOOKUP(D1874,상품정보!$A$2:$E$61,2,FALSE)</f>
        <v>목걸이</v>
      </c>
      <c r="Q1874" t="str">
        <f>VLOOKUP(D1874,상품정보!$A$2:$D$151,3,FALSE)</f>
        <v>액세서리</v>
      </c>
      <c r="R1874" t="str">
        <f>VLOOKUP(D1874,상품정보!$A$2:$D$151,4,FALSE)</f>
        <v>브랜드F</v>
      </c>
    </row>
    <row r="1875" spans="1:18" x14ac:dyDescent="0.45">
      <c r="A1875" t="s">
        <v>80</v>
      </c>
      <c r="B1875" t="s">
        <v>2274</v>
      </c>
      <c r="C1875" t="s">
        <v>2496</v>
      </c>
      <c r="D1875" t="s">
        <v>2603</v>
      </c>
      <c r="E1875">
        <v>2</v>
      </c>
      <c r="F1875">
        <v>8200</v>
      </c>
      <c r="G1875">
        <v>0</v>
      </c>
      <c r="H1875">
        <v>1200</v>
      </c>
      <c r="I1875" t="s">
        <v>2611</v>
      </c>
      <c r="J1875" s="4">
        <f t="shared" si="87"/>
        <v>15200</v>
      </c>
      <c r="K1875" s="4" t="str">
        <f t="shared" si="88"/>
        <v>2024-04</v>
      </c>
      <c r="L1875" s="4" t="str">
        <f t="shared" si="89"/>
        <v>금</v>
      </c>
      <c r="M1875" s="2" t="str">
        <f>VLOOKUP($C1875, 고객정보!$A$2:$E$151, 2, FALSE)</f>
        <v>서울</v>
      </c>
      <c r="N1875" t="str">
        <f>VLOOKUP(C1875,고객정보!$A$2:$D$151,4,FALSE)</f>
        <v>L3</v>
      </c>
      <c r="O1875" t="str">
        <f>VLOOKUP($C1875, 고객정보!$A$2:$E$151, 5, FALSE)</f>
        <v>50대 이상</v>
      </c>
      <c r="P1875" t="str">
        <f>VLOOKUP(D1875,상품정보!$A$2:$E$61,2,FALSE)</f>
        <v>목걸이</v>
      </c>
      <c r="Q1875" t="str">
        <f>VLOOKUP(D1875,상품정보!$A$2:$D$151,3,FALSE)</f>
        <v>액세서리</v>
      </c>
      <c r="R1875" t="str">
        <f>VLOOKUP(D1875,상품정보!$A$2:$D$151,4,FALSE)</f>
        <v>브랜드E</v>
      </c>
    </row>
    <row r="1876" spans="1:18" x14ac:dyDescent="0.45">
      <c r="A1876" t="s">
        <v>110</v>
      </c>
      <c r="B1876" t="s">
        <v>2275</v>
      </c>
      <c r="C1876" t="s">
        <v>2409</v>
      </c>
      <c r="D1876" t="s">
        <v>2560</v>
      </c>
      <c r="E1876">
        <v>1</v>
      </c>
      <c r="F1876">
        <v>60600</v>
      </c>
      <c r="G1876">
        <v>0</v>
      </c>
      <c r="H1876">
        <v>300</v>
      </c>
      <c r="I1876" t="s">
        <v>2613</v>
      </c>
      <c r="J1876" s="4">
        <f t="shared" si="87"/>
        <v>60300</v>
      </c>
      <c r="K1876" s="4" t="str">
        <f t="shared" si="88"/>
        <v>2024-10</v>
      </c>
      <c r="L1876" s="4" t="str">
        <f t="shared" si="89"/>
        <v>화</v>
      </c>
      <c r="M1876" s="2" t="str">
        <f>VLOOKUP($C1876, 고객정보!$A$2:$E$151, 2, FALSE)</f>
        <v>서울</v>
      </c>
      <c r="N1876" t="str">
        <f>VLOOKUP(C1876,고객정보!$A$2:$D$151,4,FALSE)</f>
        <v>L3</v>
      </c>
      <c r="O1876" t="str">
        <f>VLOOKUP($C1876, 고객정보!$A$2:$E$151, 5, FALSE)</f>
        <v>50대 이상</v>
      </c>
      <c r="P1876" t="str">
        <f>VLOOKUP(D1876,상품정보!$A$2:$E$61,2,FALSE)</f>
        <v>반팔 티셔츠</v>
      </c>
      <c r="Q1876" t="str">
        <f>VLOOKUP(D1876,상품정보!$A$2:$D$151,3,FALSE)</f>
        <v>의류</v>
      </c>
      <c r="R1876" t="str">
        <f>VLOOKUP(D1876,상품정보!$A$2:$D$151,4,FALSE)</f>
        <v>브랜드F</v>
      </c>
    </row>
    <row r="1877" spans="1:18" x14ac:dyDescent="0.45">
      <c r="A1877" t="s">
        <v>283</v>
      </c>
      <c r="B1877" t="s">
        <v>2276</v>
      </c>
      <c r="C1877" t="s">
        <v>2530</v>
      </c>
      <c r="D1877" t="s">
        <v>2610</v>
      </c>
      <c r="E1877">
        <v>2</v>
      </c>
      <c r="F1877">
        <v>18800</v>
      </c>
      <c r="G1877">
        <v>0</v>
      </c>
      <c r="H1877">
        <v>0</v>
      </c>
      <c r="I1877" t="s">
        <v>2652</v>
      </c>
      <c r="J1877" s="4">
        <f t="shared" si="87"/>
        <v>37600</v>
      </c>
      <c r="K1877" s="4" t="str">
        <f t="shared" si="88"/>
        <v>2024-12</v>
      </c>
      <c r="L1877" s="4" t="str">
        <f t="shared" si="89"/>
        <v>월</v>
      </c>
      <c r="M1877" s="2" t="str">
        <f>VLOOKUP($C1877, 고객정보!$A$2:$E$151, 2, FALSE)</f>
        <v>대전</v>
      </c>
      <c r="N1877" t="str">
        <f>VLOOKUP(C1877,고객정보!$A$2:$D$151,4,FALSE)</f>
        <v>L2</v>
      </c>
      <c r="O1877" t="str">
        <f>VLOOKUP($C1877, 고객정보!$A$2:$E$151, 5, FALSE)</f>
        <v>20대</v>
      </c>
      <c r="P1877" t="str">
        <f>VLOOKUP(D1877,상품정보!$A$2:$E$61,2,FALSE)</f>
        <v>자켓</v>
      </c>
      <c r="Q1877" t="str">
        <f>VLOOKUP(D1877,상품정보!$A$2:$D$151,3,FALSE)</f>
        <v>의류</v>
      </c>
      <c r="R1877" t="str">
        <f>VLOOKUP(D1877,상품정보!$A$2:$D$151,4,FALSE)</f>
        <v>브랜드E</v>
      </c>
    </row>
    <row r="1878" spans="1:18" x14ac:dyDescent="0.45">
      <c r="A1878" t="s">
        <v>389</v>
      </c>
      <c r="B1878" t="s">
        <v>2277</v>
      </c>
      <c r="C1878" t="s">
        <v>2519</v>
      </c>
      <c r="D1878" t="s">
        <v>2565</v>
      </c>
      <c r="E1878">
        <v>4</v>
      </c>
      <c r="F1878">
        <v>50000</v>
      </c>
      <c r="G1878">
        <v>0</v>
      </c>
      <c r="H1878">
        <v>0</v>
      </c>
      <c r="I1878" t="s">
        <v>2652</v>
      </c>
      <c r="J1878" s="4">
        <f t="shared" si="87"/>
        <v>200000</v>
      </c>
      <c r="K1878" s="4" t="str">
        <f t="shared" si="88"/>
        <v>2024-10</v>
      </c>
      <c r="L1878" s="4" t="str">
        <f t="shared" si="89"/>
        <v>일</v>
      </c>
      <c r="M1878" s="2" t="str">
        <f>VLOOKUP($C1878, 고객정보!$A$2:$E$151, 2, FALSE)</f>
        <v>서울</v>
      </c>
      <c r="N1878" t="str">
        <f>VLOOKUP(C1878,고객정보!$A$2:$D$151,4,FALSE)</f>
        <v>L4</v>
      </c>
      <c r="O1878" t="str">
        <f>VLOOKUP($C1878, 고객정보!$A$2:$E$151, 5, FALSE)</f>
        <v>20대</v>
      </c>
      <c r="P1878" t="str">
        <f>VLOOKUP(D1878,상품정보!$A$2:$E$61,2,FALSE)</f>
        <v>핸드폰케이스</v>
      </c>
      <c r="Q1878" t="str">
        <f>VLOOKUP(D1878,상품정보!$A$2:$D$151,3,FALSE)</f>
        <v>액세서리</v>
      </c>
      <c r="R1878" t="str">
        <f>VLOOKUP(D1878,상품정보!$A$2:$D$151,4,FALSE)</f>
        <v>브랜드B</v>
      </c>
    </row>
    <row r="1879" spans="1:18" x14ac:dyDescent="0.45">
      <c r="A1879" t="s">
        <v>268</v>
      </c>
      <c r="B1879" t="s">
        <v>2278</v>
      </c>
      <c r="C1879" t="s">
        <v>2494</v>
      </c>
      <c r="D1879" t="s">
        <v>2599</v>
      </c>
      <c r="E1879">
        <v>1</v>
      </c>
      <c r="F1879">
        <v>73800</v>
      </c>
      <c r="G1879">
        <v>2000</v>
      </c>
      <c r="H1879">
        <v>0</v>
      </c>
      <c r="I1879" t="s">
        <v>2652</v>
      </c>
      <c r="J1879" s="4">
        <f t="shared" si="87"/>
        <v>75800</v>
      </c>
      <c r="K1879" s="4" t="str">
        <f t="shared" si="88"/>
        <v>2024-01</v>
      </c>
      <c r="L1879" s="4" t="str">
        <f t="shared" si="89"/>
        <v>토</v>
      </c>
      <c r="M1879" s="2" t="str">
        <f>VLOOKUP($C1879, 고객정보!$A$2:$E$151, 2, FALSE)</f>
        <v>대구</v>
      </c>
      <c r="N1879" t="str">
        <f>VLOOKUP(C1879,고객정보!$A$2:$D$151,4,FALSE)</f>
        <v>L4</v>
      </c>
      <c r="O1879" t="str">
        <f>VLOOKUP($C1879, 고객정보!$A$2:$E$151, 5, FALSE)</f>
        <v>40대</v>
      </c>
      <c r="P1879" t="str">
        <f>VLOOKUP(D1879,상품정보!$A$2:$E$61,2,FALSE)</f>
        <v>핸드폰케이스</v>
      </c>
      <c r="Q1879" t="str">
        <f>VLOOKUP(D1879,상품정보!$A$2:$D$151,3,FALSE)</f>
        <v>액세서리</v>
      </c>
      <c r="R1879" t="str">
        <f>VLOOKUP(D1879,상품정보!$A$2:$D$151,4,FALSE)</f>
        <v>브랜드F</v>
      </c>
    </row>
    <row r="1880" spans="1:18" x14ac:dyDescent="0.45">
      <c r="A1880" t="s">
        <v>50</v>
      </c>
      <c r="B1880" t="s">
        <v>2279</v>
      </c>
      <c r="C1880" t="s">
        <v>2489</v>
      </c>
      <c r="D1880" t="s">
        <v>2608</v>
      </c>
      <c r="E1880">
        <v>3</v>
      </c>
      <c r="F1880">
        <v>10600</v>
      </c>
      <c r="G1880">
        <v>1000</v>
      </c>
      <c r="H1880">
        <v>0</v>
      </c>
      <c r="I1880" t="s">
        <v>2652</v>
      </c>
      <c r="J1880" s="4">
        <f t="shared" si="87"/>
        <v>32800</v>
      </c>
      <c r="K1880" s="4" t="str">
        <f t="shared" si="88"/>
        <v>2024-02</v>
      </c>
      <c r="L1880" s="4" t="str">
        <f t="shared" si="89"/>
        <v>화</v>
      </c>
      <c r="M1880" s="2" t="str">
        <f>VLOOKUP($C1880, 고객정보!$A$2:$E$151, 2, FALSE)</f>
        <v>서울</v>
      </c>
      <c r="N1880" t="str">
        <f>VLOOKUP(C1880,고객정보!$A$2:$D$151,4,FALSE)</f>
        <v>L3</v>
      </c>
      <c r="O1880" t="str">
        <f>VLOOKUP($C1880, 고객정보!$A$2:$E$151, 5, FALSE)</f>
        <v>10대</v>
      </c>
      <c r="P1880" t="str">
        <f>VLOOKUP(D1880,상품정보!$A$2:$E$61,2,FALSE)</f>
        <v>셔츠</v>
      </c>
      <c r="Q1880" t="str">
        <f>VLOOKUP(D1880,상품정보!$A$2:$D$151,3,FALSE)</f>
        <v>의류</v>
      </c>
      <c r="R1880" t="str">
        <f>VLOOKUP(D1880,상품정보!$A$2:$D$151,4,FALSE)</f>
        <v>브랜드D</v>
      </c>
    </row>
    <row r="1881" spans="1:18" x14ac:dyDescent="0.45">
      <c r="A1881" t="s">
        <v>308</v>
      </c>
      <c r="B1881" t="s">
        <v>2280</v>
      </c>
      <c r="C1881" t="s">
        <v>2465</v>
      </c>
      <c r="D1881" t="s">
        <v>2608</v>
      </c>
      <c r="E1881">
        <v>1</v>
      </c>
      <c r="F1881">
        <v>10600</v>
      </c>
      <c r="G1881">
        <v>1000</v>
      </c>
      <c r="H1881">
        <v>0</v>
      </c>
      <c r="I1881" t="s">
        <v>2652</v>
      </c>
      <c r="J1881" s="4">
        <f t="shared" si="87"/>
        <v>11600</v>
      </c>
      <c r="K1881" s="4" t="str">
        <f t="shared" si="88"/>
        <v>2024-03</v>
      </c>
      <c r="L1881" s="4" t="str">
        <f t="shared" si="89"/>
        <v>수</v>
      </c>
      <c r="M1881" s="2" t="str">
        <f>VLOOKUP($C1881, 고객정보!$A$2:$E$151, 2, FALSE)</f>
        <v>서울</v>
      </c>
      <c r="N1881" t="str">
        <f>VLOOKUP(C1881,고객정보!$A$2:$D$151,4,FALSE)</f>
        <v>L1</v>
      </c>
      <c r="O1881" t="str">
        <f>VLOOKUP($C1881, 고객정보!$A$2:$E$151, 5, FALSE)</f>
        <v>20대</v>
      </c>
      <c r="P1881" t="str">
        <f>VLOOKUP(D1881,상품정보!$A$2:$E$61,2,FALSE)</f>
        <v>셔츠</v>
      </c>
      <c r="Q1881" t="str">
        <f>VLOOKUP(D1881,상품정보!$A$2:$D$151,3,FALSE)</f>
        <v>의류</v>
      </c>
      <c r="R1881" t="str">
        <f>VLOOKUP(D1881,상품정보!$A$2:$D$151,4,FALSE)</f>
        <v>브랜드D</v>
      </c>
    </row>
    <row r="1882" spans="1:18" x14ac:dyDescent="0.45">
      <c r="A1882" t="s">
        <v>154</v>
      </c>
      <c r="B1882" t="s">
        <v>2281</v>
      </c>
      <c r="C1882" t="s">
        <v>2513</v>
      </c>
      <c r="D1882" t="s">
        <v>2610</v>
      </c>
      <c r="E1882">
        <v>3</v>
      </c>
      <c r="F1882">
        <v>18800</v>
      </c>
      <c r="G1882">
        <v>0</v>
      </c>
      <c r="H1882">
        <v>0</v>
      </c>
      <c r="I1882" t="s">
        <v>2652</v>
      </c>
      <c r="J1882" s="4">
        <f t="shared" si="87"/>
        <v>56400</v>
      </c>
      <c r="K1882" s="4" t="str">
        <f t="shared" si="88"/>
        <v>2024-08</v>
      </c>
      <c r="L1882" s="4" t="str">
        <f t="shared" si="89"/>
        <v>월</v>
      </c>
      <c r="M1882" s="2" t="str">
        <f>VLOOKUP($C1882, 고객정보!$A$2:$E$151, 2, FALSE)</f>
        <v>수원</v>
      </c>
      <c r="N1882" t="str">
        <f>VLOOKUP(C1882,고객정보!$A$2:$D$151,4,FALSE)</f>
        <v>L5</v>
      </c>
      <c r="O1882" t="str">
        <f>VLOOKUP($C1882, 고객정보!$A$2:$E$151, 5, FALSE)</f>
        <v>20대</v>
      </c>
      <c r="P1882" t="str">
        <f>VLOOKUP(D1882,상품정보!$A$2:$E$61,2,FALSE)</f>
        <v>자켓</v>
      </c>
      <c r="Q1882" t="str">
        <f>VLOOKUP(D1882,상품정보!$A$2:$D$151,3,FALSE)</f>
        <v>의류</v>
      </c>
      <c r="R1882" t="str">
        <f>VLOOKUP(D1882,상품정보!$A$2:$D$151,4,FALSE)</f>
        <v>브랜드E</v>
      </c>
    </row>
    <row r="1883" spans="1:18" x14ac:dyDescent="0.45">
      <c r="A1883" t="s">
        <v>317</v>
      </c>
      <c r="B1883" t="s">
        <v>2282</v>
      </c>
      <c r="C1883" t="s">
        <v>2521</v>
      </c>
      <c r="D1883" t="s">
        <v>2553</v>
      </c>
      <c r="E1883">
        <v>5</v>
      </c>
      <c r="F1883">
        <v>63400</v>
      </c>
      <c r="G1883">
        <v>1500</v>
      </c>
      <c r="H1883">
        <v>2500</v>
      </c>
      <c r="I1883" t="s">
        <v>2611</v>
      </c>
      <c r="J1883" s="4">
        <f t="shared" si="87"/>
        <v>316000</v>
      </c>
      <c r="K1883" s="4" t="str">
        <f t="shared" si="88"/>
        <v>2024-11</v>
      </c>
      <c r="L1883" s="4" t="str">
        <f t="shared" si="89"/>
        <v>금</v>
      </c>
      <c r="M1883" s="2" t="str">
        <f>VLOOKUP($C1883, 고객정보!$A$2:$E$151, 2, FALSE)</f>
        <v>서울</v>
      </c>
      <c r="N1883" t="str">
        <f>VLOOKUP(C1883,고객정보!$A$2:$D$151,4,FALSE)</f>
        <v>L1</v>
      </c>
      <c r="O1883" t="str">
        <f>VLOOKUP($C1883, 고객정보!$A$2:$E$151, 5, FALSE)</f>
        <v>30대</v>
      </c>
      <c r="P1883" t="str">
        <f>VLOOKUP(D1883,상품정보!$A$2:$E$61,2,FALSE)</f>
        <v>귀걸이</v>
      </c>
      <c r="Q1883" t="str">
        <f>VLOOKUP(D1883,상품정보!$A$2:$D$151,3,FALSE)</f>
        <v>액세서리</v>
      </c>
      <c r="R1883" t="str">
        <f>VLOOKUP(D1883,상품정보!$A$2:$D$151,4,FALSE)</f>
        <v>브랜드F</v>
      </c>
    </row>
    <row r="1884" spans="1:18" x14ac:dyDescent="0.45">
      <c r="A1884" t="s">
        <v>125</v>
      </c>
      <c r="B1884" t="s">
        <v>2283</v>
      </c>
      <c r="C1884" t="s">
        <v>2544</v>
      </c>
      <c r="D1884" t="s">
        <v>2585</v>
      </c>
      <c r="E1884">
        <v>4</v>
      </c>
      <c r="F1884">
        <v>14900</v>
      </c>
      <c r="G1884">
        <v>0</v>
      </c>
      <c r="H1884">
        <v>0</v>
      </c>
      <c r="I1884" t="s">
        <v>2652</v>
      </c>
      <c r="J1884" s="4">
        <f t="shared" si="87"/>
        <v>59600</v>
      </c>
      <c r="K1884" s="4" t="str">
        <f t="shared" si="88"/>
        <v>2024-11</v>
      </c>
      <c r="L1884" s="4" t="str">
        <f t="shared" si="89"/>
        <v>월</v>
      </c>
      <c r="M1884" s="2" t="str">
        <f>VLOOKUP($C1884, 고객정보!$A$2:$E$151, 2, FALSE)</f>
        <v>서울</v>
      </c>
      <c r="N1884" t="str">
        <f>VLOOKUP(C1884,고객정보!$A$2:$D$151,4,FALSE)</f>
        <v>L5</v>
      </c>
      <c r="O1884" t="str">
        <f>VLOOKUP($C1884, 고객정보!$A$2:$E$151, 5, FALSE)</f>
        <v>40대</v>
      </c>
      <c r="P1884" t="str">
        <f>VLOOKUP(D1884,상품정보!$A$2:$E$61,2,FALSE)</f>
        <v>반팔 티셔츠</v>
      </c>
      <c r="Q1884" t="str">
        <f>VLOOKUP(D1884,상품정보!$A$2:$D$151,3,FALSE)</f>
        <v>의류</v>
      </c>
      <c r="R1884" t="str">
        <f>VLOOKUP(D1884,상품정보!$A$2:$D$151,4,FALSE)</f>
        <v>브랜드C</v>
      </c>
    </row>
    <row r="1885" spans="1:18" x14ac:dyDescent="0.45">
      <c r="A1885" t="s">
        <v>338</v>
      </c>
      <c r="B1885" t="s">
        <v>2284</v>
      </c>
      <c r="C1885" t="s">
        <v>2532</v>
      </c>
      <c r="D1885" t="s">
        <v>2579</v>
      </c>
      <c r="E1885">
        <v>5</v>
      </c>
      <c r="F1885">
        <v>51000</v>
      </c>
      <c r="G1885">
        <v>0</v>
      </c>
      <c r="H1885">
        <v>10600</v>
      </c>
      <c r="I1885" t="s">
        <v>2611</v>
      </c>
      <c r="J1885" s="4">
        <f t="shared" si="87"/>
        <v>244400</v>
      </c>
      <c r="K1885" s="4" t="str">
        <f t="shared" si="88"/>
        <v>2024-10</v>
      </c>
      <c r="L1885" s="4" t="str">
        <f t="shared" si="89"/>
        <v>수</v>
      </c>
      <c r="M1885" s="2" t="str">
        <f>VLOOKUP($C1885, 고객정보!$A$2:$E$151, 2, FALSE)</f>
        <v>서울</v>
      </c>
      <c r="N1885" t="str">
        <f>VLOOKUP(C1885,고객정보!$A$2:$D$151,4,FALSE)</f>
        <v>L2</v>
      </c>
      <c r="O1885" t="str">
        <f>VLOOKUP($C1885, 고객정보!$A$2:$E$151, 5, FALSE)</f>
        <v>50대 이상</v>
      </c>
      <c r="P1885" t="str">
        <f>VLOOKUP(D1885,상품정보!$A$2:$E$61,2,FALSE)</f>
        <v>핸드폰케이스</v>
      </c>
      <c r="Q1885" t="str">
        <f>VLOOKUP(D1885,상품정보!$A$2:$D$151,3,FALSE)</f>
        <v>액세서리</v>
      </c>
      <c r="R1885" t="str">
        <f>VLOOKUP(D1885,상품정보!$A$2:$D$151,4,FALSE)</f>
        <v>브랜드F</v>
      </c>
    </row>
    <row r="1886" spans="1:18" x14ac:dyDescent="0.45">
      <c r="A1886" t="s">
        <v>316</v>
      </c>
      <c r="B1886" t="s">
        <v>2285</v>
      </c>
      <c r="C1886" t="s">
        <v>2488</v>
      </c>
      <c r="D1886" t="s">
        <v>2598</v>
      </c>
      <c r="E1886">
        <v>1</v>
      </c>
      <c r="F1886">
        <v>77300</v>
      </c>
      <c r="G1886">
        <v>0</v>
      </c>
      <c r="H1886">
        <v>0</v>
      </c>
      <c r="I1886" t="s">
        <v>2652</v>
      </c>
      <c r="J1886" s="4">
        <f t="shared" si="87"/>
        <v>77300</v>
      </c>
      <c r="K1886" s="4" t="str">
        <f t="shared" si="88"/>
        <v>2024-06</v>
      </c>
      <c r="L1886" s="4" t="str">
        <f t="shared" si="89"/>
        <v>월</v>
      </c>
      <c r="M1886" s="2" t="str">
        <f>VLOOKUP($C1886, 고객정보!$A$2:$E$151, 2, FALSE)</f>
        <v>서울</v>
      </c>
      <c r="N1886" t="str">
        <f>VLOOKUP(C1886,고객정보!$A$2:$D$151,4,FALSE)</f>
        <v>L3</v>
      </c>
      <c r="O1886" t="str">
        <f>VLOOKUP($C1886, 고객정보!$A$2:$E$151, 5, FALSE)</f>
        <v>40대</v>
      </c>
      <c r="P1886" t="str">
        <f>VLOOKUP(D1886,상품정보!$A$2:$E$61,2,FALSE)</f>
        <v>청바지</v>
      </c>
      <c r="Q1886" t="str">
        <f>VLOOKUP(D1886,상품정보!$A$2:$D$151,3,FALSE)</f>
        <v>의류</v>
      </c>
      <c r="R1886" t="str">
        <f>VLOOKUP(D1886,상품정보!$A$2:$D$151,4,FALSE)</f>
        <v>브랜드F</v>
      </c>
    </row>
    <row r="1887" spans="1:18" x14ac:dyDescent="0.45">
      <c r="A1887" t="s">
        <v>105</v>
      </c>
      <c r="B1887" t="s">
        <v>2286</v>
      </c>
      <c r="C1887" t="s">
        <v>2445</v>
      </c>
      <c r="D1887" t="s">
        <v>2587</v>
      </c>
      <c r="E1887">
        <v>1</v>
      </c>
      <c r="F1887">
        <v>50200</v>
      </c>
      <c r="G1887">
        <v>0</v>
      </c>
      <c r="H1887">
        <v>0</v>
      </c>
      <c r="I1887" t="s">
        <v>2652</v>
      </c>
      <c r="J1887" s="4">
        <f t="shared" si="87"/>
        <v>50200</v>
      </c>
      <c r="K1887" s="4" t="str">
        <f t="shared" si="88"/>
        <v>2024-08</v>
      </c>
      <c r="L1887" s="4" t="str">
        <f t="shared" si="89"/>
        <v>수</v>
      </c>
      <c r="M1887" s="2" t="str">
        <f>VLOOKUP($C1887, 고객정보!$A$2:$E$151, 2, FALSE)</f>
        <v>대구</v>
      </c>
      <c r="N1887" t="str">
        <f>VLOOKUP(C1887,고객정보!$A$2:$D$151,4,FALSE)</f>
        <v>L3</v>
      </c>
      <c r="O1887" t="str">
        <f>VLOOKUP($C1887, 고객정보!$A$2:$E$151, 5, FALSE)</f>
        <v>10대</v>
      </c>
      <c r="P1887" t="str">
        <f>VLOOKUP(D1887,상품정보!$A$2:$E$61,2,FALSE)</f>
        <v>반지</v>
      </c>
      <c r="Q1887" t="str">
        <f>VLOOKUP(D1887,상품정보!$A$2:$D$151,3,FALSE)</f>
        <v>액세서리</v>
      </c>
      <c r="R1887" t="str">
        <f>VLOOKUP(D1887,상품정보!$A$2:$D$151,4,FALSE)</f>
        <v>브랜드B</v>
      </c>
    </row>
    <row r="1888" spans="1:18" x14ac:dyDescent="0.45">
      <c r="A1888" t="s">
        <v>253</v>
      </c>
      <c r="B1888" t="s">
        <v>2287</v>
      </c>
      <c r="C1888" t="s">
        <v>2462</v>
      </c>
      <c r="D1888" t="s">
        <v>2554</v>
      </c>
      <c r="E1888">
        <v>4</v>
      </c>
      <c r="F1888">
        <v>12100</v>
      </c>
      <c r="G1888">
        <v>1000</v>
      </c>
      <c r="H1888">
        <v>0</v>
      </c>
      <c r="I1888" t="s">
        <v>2652</v>
      </c>
      <c r="J1888" s="4">
        <f t="shared" si="87"/>
        <v>49400</v>
      </c>
      <c r="K1888" s="4" t="str">
        <f t="shared" si="88"/>
        <v>2024-10</v>
      </c>
      <c r="L1888" s="4" t="str">
        <f t="shared" si="89"/>
        <v>일</v>
      </c>
      <c r="M1888" s="2" t="str">
        <f>VLOOKUP($C1888, 고객정보!$A$2:$E$151, 2, FALSE)</f>
        <v>광주</v>
      </c>
      <c r="N1888" t="str">
        <f>VLOOKUP(C1888,고객정보!$A$2:$D$151,4,FALSE)</f>
        <v>L5</v>
      </c>
      <c r="O1888" t="str">
        <f>VLOOKUP($C1888, 고객정보!$A$2:$E$151, 5, FALSE)</f>
        <v>50대 이상</v>
      </c>
      <c r="P1888" t="str">
        <f>VLOOKUP(D1888,상품정보!$A$2:$E$61,2,FALSE)</f>
        <v>귀걸이</v>
      </c>
      <c r="Q1888" t="str">
        <f>VLOOKUP(D1888,상품정보!$A$2:$D$151,3,FALSE)</f>
        <v>액세서리</v>
      </c>
      <c r="R1888" t="str">
        <f>VLOOKUP(D1888,상품정보!$A$2:$D$151,4,FALSE)</f>
        <v>브랜드D</v>
      </c>
    </row>
    <row r="1889" spans="1:18" x14ac:dyDescent="0.45">
      <c r="A1889" t="s">
        <v>225</v>
      </c>
      <c r="B1889" t="s">
        <v>2288</v>
      </c>
      <c r="C1889" t="s">
        <v>2481</v>
      </c>
      <c r="D1889" t="s">
        <v>2592</v>
      </c>
      <c r="E1889">
        <v>3</v>
      </c>
      <c r="F1889">
        <v>72700</v>
      </c>
      <c r="G1889">
        <v>500</v>
      </c>
      <c r="H1889">
        <v>0</v>
      </c>
      <c r="I1889" t="s">
        <v>2652</v>
      </c>
      <c r="J1889" s="4">
        <f t="shared" si="87"/>
        <v>218600</v>
      </c>
      <c r="K1889" s="4" t="str">
        <f t="shared" si="88"/>
        <v>2024-05</v>
      </c>
      <c r="L1889" s="4" t="str">
        <f t="shared" si="89"/>
        <v>목</v>
      </c>
      <c r="M1889" s="2" t="str">
        <f>VLOOKUP($C1889, 고객정보!$A$2:$E$151, 2, FALSE)</f>
        <v>부산</v>
      </c>
      <c r="N1889" t="str">
        <f>VLOOKUP(C1889,고객정보!$A$2:$D$151,4,FALSE)</f>
        <v>L5</v>
      </c>
      <c r="O1889" t="str">
        <f>VLOOKUP($C1889, 고객정보!$A$2:$E$151, 5, FALSE)</f>
        <v>20대</v>
      </c>
      <c r="P1889" t="str">
        <f>VLOOKUP(D1889,상품정보!$A$2:$E$61,2,FALSE)</f>
        <v>귀걸이</v>
      </c>
      <c r="Q1889" t="str">
        <f>VLOOKUP(D1889,상품정보!$A$2:$D$151,3,FALSE)</f>
        <v>액세서리</v>
      </c>
      <c r="R1889" t="str">
        <f>VLOOKUP(D1889,상품정보!$A$2:$D$151,4,FALSE)</f>
        <v>브랜드A</v>
      </c>
    </row>
    <row r="1890" spans="1:18" x14ac:dyDescent="0.45">
      <c r="A1890" t="s">
        <v>224</v>
      </c>
      <c r="B1890" t="s">
        <v>2289</v>
      </c>
      <c r="C1890" t="s">
        <v>2417</v>
      </c>
      <c r="D1890" t="s">
        <v>2566</v>
      </c>
      <c r="E1890">
        <v>1</v>
      </c>
      <c r="F1890">
        <v>60600</v>
      </c>
      <c r="G1890">
        <v>1000</v>
      </c>
      <c r="H1890">
        <v>2600</v>
      </c>
      <c r="I1890" t="s">
        <v>2614</v>
      </c>
      <c r="J1890" s="4">
        <f t="shared" si="87"/>
        <v>59000</v>
      </c>
      <c r="K1890" s="4" t="str">
        <f t="shared" si="88"/>
        <v>2024-12</v>
      </c>
      <c r="L1890" s="4" t="str">
        <f t="shared" si="89"/>
        <v>토</v>
      </c>
      <c r="M1890" s="2" t="str">
        <f>VLOOKUP($C1890, 고객정보!$A$2:$E$151, 2, FALSE)</f>
        <v>인천</v>
      </c>
      <c r="N1890" t="str">
        <f>VLOOKUP(C1890,고객정보!$A$2:$D$151,4,FALSE)</f>
        <v>L1</v>
      </c>
      <c r="O1890" t="str">
        <f>VLOOKUP($C1890, 고객정보!$A$2:$E$151, 5, FALSE)</f>
        <v>30대</v>
      </c>
      <c r="P1890" t="str">
        <f>VLOOKUP(D1890,상품정보!$A$2:$E$61,2,FALSE)</f>
        <v>반팔 티셔츠</v>
      </c>
      <c r="Q1890" t="str">
        <f>VLOOKUP(D1890,상품정보!$A$2:$D$151,3,FALSE)</f>
        <v>의류</v>
      </c>
      <c r="R1890" t="str">
        <f>VLOOKUP(D1890,상품정보!$A$2:$D$151,4,FALSE)</f>
        <v>브랜드A</v>
      </c>
    </row>
    <row r="1891" spans="1:18" x14ac:dyDescent="0.45">
      <c r="A1891" t="s">
        <v>364</v>
      </c>
      <c r="B1891" t="s">
        <v>2290</v>
      </c>
      <c r="C1891" t="s">
        <v>2471</v>
      </c>
      <c r="D1891" t="s">
        <v>2586</v>
      </c>
      <c r="E1891">
        <v>5</v>
      </c>
      <c r="F1891">
        <v>73000</v>
      </c>
      <c r="G1891">
        <v>0</v>
      </c>
      <c r="H1891">
        <v>5000</v>
      </c>
      <c r="I1891" t="s">
        <v>2613</v>
      </c>
      <c r="J1891" s="4">
        <f t="shared" si="87"/>
        <v>360000</v>
      </c>
      <c r="K1891" s="4" t="str">
        <f t="shared" si="88"/>
        <v>2024-05</v>
      </c>
      <c r="L1891" s="4" t="str">
        <f t="shared" si="89"/>
        <v>월</v>
      </c>
      <c r="M1891" s="2" t="str">
        <f>VLOOKUP($C1891, 고객정보!$A$2:$E$151, 2, FALSE)</f>
        <v>서울</v>
      </c>
      <c r="N1891" t="str">
        <f>VLOOKUP(C1891,고객정보!$A$2:$D$151,4,FALSE)</f>
        <v>L5</v>
      </c>
      <c r="O1891" t="str">
        <f>VLOOKUP($C1891, 고객정보!$A$2:$E$151, 5, FALSE)</f>
        <v>40대</v>
      </c>
      <c r="P1891" t="str">
        <f>VLOOKUP(D1891,상품정보!$A$2:$E$61,2,FALSE)</f>
        <v>귀걸이</v>
      </c>
      <c r="Q1891" t="str">
        <f>VLOOKUP(D1891,상품정보!$A$2:$D$151,3,FALSE)</f>
        <v>액세서리</v>
      </c>
      <c r="R1891" t="str">
        <f>VLOOKUP(D1891,상품정보!$A$2:$D$151,4,FALSE)</f>
        <v>브랜드B</v>
      </c>
    </row>
    <row r="1892" spans="1:18" x14ac:dyDescent="0.45">
      <c r="A1892" t="s">
        <v>338</v>
      </c>
      <c r="B1892" t="s">
        <v>2291</v>
      </c>
      <c r="C1892" t="s">
        <v>2497</v>
      </c>
      <c r="D1892" t="s">
        <v>2601</v>
      </c>
      <c r="E1892">
        <v>4</v>
      </c>
      <c r="F1892">
        <v>17000</v>
      </c>
      <c r="G1892">
        <v>500</v>
      </c>
      <c r="H1892">
        <v>0</v>
      </c>
      <c r="I1892" t="s">
        <v>2652</v>
      </c>
      <c r="J1892" s="4">
        <f t="shared" si="87"/>
        <v>68500</v>
      </c>
      <c r="K1892" s="4" t="str">
        <f t="shared" si="88"/>
        <v>2024-10</v>
      </c>
      <c r="L1892" s="4" t="str">
        <f t="shared" si="89"/>
        <v>수</v>
      </c>
      <c r="M1892" s="2" t="str">
        <f>VLOOKUP($C1892, 고객정보!$A$2:$E$151, 2, FALSE)</f>
        <v>서울</v>
      </c>
      <c r="N1892" t="str">
        <f>VLOOKUP(C1892,고객정보!$A$2:$D$151,4,FALSE)</f>
        <v>L3</v>
      </c>
      <c r="O1892" t="str">
        <f>VLOOKUP($C1892, 고객정보!$A$2:$E$151, 5, FALSE)</f>
        <v>10대</v>
      </c>
      <c r="P1892" t="str">
        <f>VLOOKUP(D1892,상품정보!$A$2:$E$61,2,FALSE)</f>
        <v>자켓</v>
      </c>
      <c r="Q1892" t="str">
        <f>VLOOKUP(D1892,상품정보!$A$2:$D$151,3,FALSE)</f>
        <v>의류</v>
      </c>
      <c r="R1892" t="str">
        <f>VLOOKUP(D1892,상품정보!$A$2:$D$151,4,FALSE)</f>
        <v>브랜드E</v>
      </c>
    </row>
    <row r="1893" spans="1:18" x14ac:dyDescent="0.45">
      <c r="A1893" t="s">
        <v>254</v>
      </c>
      <c r="B1893" t="s">
        <v>2292</v>
      </c>
      <c r="C1893" t="s">
        <v>2492</v>
      </c>
      <c r="D1893" t="s">
        <v>2563</v>
      </c>
      <c r="E1893">
        <v>1</v>
      </c>
      <c r="F1893">
        <v>6900</v>
      </c>
      <c r="G1893">
        <v>0</v>
      </c>
      <c r="H1893">
        <v>0</v>
      </c>
      <c r="I1893" t="s">
        <v>2652</v>
      </c>
      <c r="J1893" s="4">
        <f t="shared" si="87"/>
        <v>6900</v>
      </c>
      <c r="K1893" s="4" t="str">
        <f t="shared" si="88"/>
        <v>2024-12</v>
      </c>
      <c r="L1893" s="4" t="str">
        <f t="shared" si="89"/>
        <v>월</v>
      </c>
      <c r="M1893" s="2" t="str">
        <f>VLOOKUP($C1893, 고객정보!$A$2:$E$151, 2, FALSE)</f>
        <v>N/A</v>
      </c>
      <c r="N1893" t="str">
        <f>VLOOKUP(C1893,고객정보!$A$2:$D$151,4,FALSE)</f>
        <v>L1</v>
      </c>
      <c r="O1893" t="str">
        <f>VLOOKUP($C1893, 고객정보!$A$2:$E$151, 5, FALSE)</f>
        <v>20대</v>
      </c>
      <c r="P1893" t="str">
        <f>VLOOKUP(D1893,상품정보!$A$2:$E$61,2,FALSE)</f>
        <v>귀걸이</v>
      </c>
      <c r="Q1893" t="str">
        <f>VLOOKUP(D1893,상품정보!$A$2:$D$151,3,FALSE)</f>
        <v>액세서리</v>
      </c>
      <c r="R1893" t="str">
        <f>VLOOKUP(D1893,상품정보!$A$2:$D$151,4,FALSE)</f>
        <v>브랜드D</v>
      </c>
    </row>
    <row r="1894" spans="1:18" x14ac:dyDescent="0.45">
      <c r="A1894" t="s">
        <v>12</v>
      </c>
      <c r="B1894" t="s">
        <v>2293</v>
      </c>
      <c r="C1894" t="s">
        <v>2417</v>
      </c>
      <c r="D1894" t="s">
        <v>2570</v>
      </c>
      <c r="E1894">
        <v>5</v>
      </c>
      <c r="F1894">
        <v>73900</v>
      </c>
      <c r="G1894">
        <v>500</v>
      </c>
      <c r="H1894">
        <v>4900</v>
      </c>
      <c r="I1894" t="s">
        <v>2611</v>
      </c>
      <c r="J1894" s="4">
        <f t="shared" si="87"/>
        <v>365100</v>
      </c>
      <c r="K1894" s="4" t="str">
        <f t="shared" si="88"/>
        <v>2024-01</v>
      </c>
      <c r="L1894" s="4" t="str">
        <f t="shared" si="89"/>
        <v>일</v>
      </c>
      <c r="M1894" s="2" t="str">
        <f>VLOOKUP($C1894, 고객정보!$A$2:$E$151, 2, FALSE)</f>
        <v>인천</v>
      </c>
      <c r="N1894" t="str">
        <f>VLOOKUP(C1894,고객정보!$A$2:$D$151,4,FALSE)</f>
        <v>L1</v>
      </c>
      <c r="O1894" t="str">
        <f>VLOOKUP($C1894, 고객정보!$A$2:$E$151, 5, FALSE)</f>
        <v>30대</v>
      </c>
      <c r="P1894" t="str">
        <f>VLOOKUP(D1894,상품정보!$A$2:$E$61,2,FALSE)</f>
        <v>반지</v>
      </c>
      <c r="Q1894" t="str">
        <f>VLOOKUP(D1894,상품정보!$A$2:$D$151,3,FALSE)</f>
        <v>액세서리</v>
      </c>
      <c r="R1894" t="str">
        <f>VLOOKUP(D1894,상품정보!$A$2:$D$151,4,FALSE)</f>
        <v>브랜드B</v>
      </c>
    </row>
    <row r="1895" spans="1:18" x14ac:dyDescent="0.45">
      <c r="A1895" t="s">
        <v>218</v>
      </c>
      <c r="B1895" t="s">
        <v>2294</v>
      </c>
      <c r="C1895" t="s">
        <v>2547</v>
      </c>
      <c r="D1895" t="s">
        <v>2583</v>
      </c>
      <c r="E1895">
        <v>1</v>
      </c>
      <c r="F1895">
        <v>6600</v>
      </c>
      <c r="G1895">
        <v>500</v>
      </c>
      <c r="H1895">
        <v>0</v>
      </c>
      <c r="I1895" t="s">
        <v>2652</v>
      </c>
      <c r="J1895" s="4">
        <f t="shared" si="87"/>
        <v>7100</v>
      </c>
      <c r="K1895" s="4" t="str">
        <f t="shared" si="88"/>
        <v>2024-03</v>
      </c>
      <c r="L1895" s="4" t="str">
        <f t="shared" si="89"/>
        <v>화</v>
      </c>
      <c r="M1895" s="2" t="str">
        <f>VLOOKUP($C1895, 고객정보!$A$2:$E$151, 2, FALSE)</f>
        <v>광주</v>
      </c>
      <c r="N1895" t="str">
        <f>VLOOKUP(C1895,고객정보!$A$2:$D$151,4,FALSE)</f>
        <v>L2</v>
      </c>
      <c r="O1895" t="str">
        <f>VLOOKUP($C1895, 고객정보!$A$2:$E$151, 5, FALSE)</f>
        <v>20대</v>
      </c>
      <c r="P1895" t="str">
        <f>VLOOKUP(D1895,상품정보!$A$2:$E$61,2,FALSE)</f>
        <v>셔츠</v>
      </c>
      <c r="Q1895" t="str">
        <f>VLOOKUP(D1895,상품정보!$A$2:$D$151,3,FALSE)</f>
        <v>의류</v>
      </c>
      <c r="R1895" t="str">
        <f>VLOOKUP(D1895,상품정보!$A$2:$D$151,4,FALSE)</f>
        <v>브랜드E</v>
      </c>
    </row>
    <row r="1896" spans="1:18" x14ac:dyDescent="0.45">
      <c r="A1896" t="s">
        <v>150</v>
      </c>
      <c r="B1896" t="s">
        <v>2295</v>
      </c>
      <c r="C1896" t="s">
        <v>2439</v>
      </c>
      <c r="D1896" t="s">
        <v>2571</v>
      </c>
      <c r="E1896">
        <v>3</v>
      </c>
      <c r="F1896">
        <v>55600</v>
      </c>
      <c r="G1896">
        <v>500</v>
      </c>
      <c r="H1896">
        <v>0</v>
      </c>
      <c r="I1896" t="s">
        <v>2652</v>
      </c>
      <c r="J1896" s="4">
        <f t="shared" si="87"/>
        <v>167300</v>
      </c>
      <c r="K1896" s="4" t="str">
        <f t="shared" si="88"/>
        <v>2024-05</v>
      </c>
      <c r="L1896" s="4" t="str">
        <f t="shared" si="89"/>
        <v>목</v>
      </c>
      <c r="M1896" s="2" t="str">
        <f>VLOOKUP($C1896, 고객정보!$A$2:$E$151, 2, FALSE)</f>
        <v>대구</v>
      </c>
      <c r="N1896" t="str">
        <f>VLOOKUP(C1896,고객정보!$A$2:$D$151,4,FALSE)</f>
        <v>L3</v>
      </c>
      <c r="O1896" t="str">
        <f>VLOOKUP($C1896, 고객정보!$A$2:$E$151, 5, FALSE)</f>
        <v>30대</v>
      </c>
      <c r="P1896" t="str">
        <f>VLOOKUP(D1896,상품정보!$A$2:$E$61,2,FALSE)</f>
        <v>자켓</v>
      </c>
      <c r="Q1896" t="str">
        <f>VLOOKUP(D1896,상품정보!$A$2:$D$151,3,FALSE)</f>
        <v>의류</v>
      </c>
      <c r="R1896" t="str">
        <f>VLOOKUP(D1896,상품정보!$A$2:$D$151,4,FALSE)</f>
        <v>브랜드B</v>
      </c>
    </row>
    <row r="1897" spans="1:18" x14ac:dyDescent="0.45">
      <c r="A1897" t="s">
        <v>136</v>
      </c>
      <c r="B1897" t="s">
        <v>2296</v>
      </c>
      <c r="C1897" t="s">
        <v>2469</v>
      </c>
      <c r="D1897" t="s">
        <v>2598</v>
      </c>
      <c r="E1897">
        <v>3</v>
      </c>
      <c r="F1897">
        <v>77300</v>
      </c>
      <c r="G1897">
        <v>1500</v>
      </c>
      <c r="H1897">
        <v>500</v>
      </c>
      <c r="I1897" t="s">
        <v>2613</v>
      </c>
      <c r="J1897" s="4">
        <f t="shared" si="87"/>
        <v>232900</v>
      </c>
      <c r="K1897" s="4" t="str">
        <f t="shared" si="88"/>
        <v>2024-05</v>
      </c>
      <c r="L1897" s="4" t="str">
        <f t="shared" si="89"/>
        <v>월</v>
      </c>
      <c r="M1897" s="2" t="str">
        <f>VLOOKUP($C1897, 고객정보!$A$2:$E$151, 2, FALSE)</f>
        <v>수원</v>
      </c>
      <c r="N1897" t="str">
        <f>VLOOKUP(C1897,고객정보!$A$2:$D$151,4,FALSE)</f>
        <v>L5</v>
      </c>
      <c r="O1897" t="str">
        <f>VLOOKUP($C1897, 고객정보!$A$2:$E$151, 5, FALSE)</f>
        <v>20대</v>
      </c>
      <c r="P1897" t="str">
        <f>VLOOKUP(D1897,상품정보!$A$2:$E$61,2,FALSE)</f>
        <v>청바지</v>
      </c>
      <c r="Q1897" t="str">
        <f>VLOOKUP(D1897,상품정보!$A$2:$D$151,3,FALSE)</f>
        <v>의류</v>
      </c>
      <c r="R1897" t="str">
        <f>VLOOKUP(D1897,상품정보!$A$2:$D$151,4,FALSE)</f>
        <v>브랜드F</v>
      </c>
    </row>
    <row r="1898" spans="1:18" x14ac:dyDescent="0.45">
      <c r="A1898" t="s">
        <v>299</v>
      </c>
      <c r="B1898" t="s">
        <v>2297</v>
      </c>
      <c r="C1898" t="s">
        <v>2505</v>
      </c>
      <c r="D1898" t="s">
        <v>2594</v>
      </c>
      <c r="E1898">
        <v>1</v>
      </c>
      <c r="F1898">
        <v>73000</v>
      </c>
      <c r="G1898">
        <v>0</v>
      </c>
      <c r="H1898">
        <v>0</v>
      </c>
      <c r="I1898" t="s">
        <v>2652</v>
      </c>
      <c r="J1898" s="4">
        <f t="shared" si="87"/>
        <v>73000</v>
      </c>
      <c r="K1898" s="4" t="str">
        <f t="shared" si="88"/>
        <v>2024-11</v>
      </c>
      <c r="L1898" s="4" t="str">
        <f t="shared" si="89"/>
        <v>화</v>
      </c>
      <c r="M1898" s="2" t="str">
        <f>VLOOKUP($C1898, 고객정보!$A$2:$E$151, 2, FALSE)</f>
        <v>대구</v>
      </c>
      <c r="N1898" t="str">
        <f>VLOOKUP(C1898,고객정보!$A$2:$D$151,4,FALSE)</f>
        <v>L4</v>
      </c>
      <c r="O1898" t="str">
        <f>VLOOKUP($C1898, 고객정보!$A$2:$E$151, 5, FALSE)</f>
        <v>40대</v>
      </c>
      <c r="P1898" t="str">
        <f>VLOOKUP(D1898,상품정보!$A$2:$E$61,2,FALSE)</f>
        <v>자켓</v>
      </c>
      <c r="Q1898" t="str">
        <f>VLOOKUP(D1898,상품정보!$A$2:$D$151,3,FALSE)</f>
        <v>의류</v>
      </c>
      <c r="R1898" t="str">
        <f>VLOOKUP(D1898,상품정보!$A$2:$D$151,4,FALSE)</f>
        <v>브랜드A</v>
      </c>
    </row>
    <row r="1899" spans="1:18" x14ac:dyDescent="0.45">
      <c r="A1899" t="s">
        <v>279</v>
      </c>
      <c r="B1899" t="s">
        <v>2298</v>
      </c>
      <c r="C1899" t="s">
        <v>2536</v>
      </c>
      <c r="D1899" t="s">
        <v>2582</v>
      </c>
      <c r="E1899">
        <v>5</v>
      </c>
      <c r="F1899">
        <v>12500</v>
      </c>
      <c r="G1899">
        <v>1000</v>
      </c>
      <c r="H1899">
        <v>0</v>
      </c>
      <c r="I1899" t="s">
        <v>2652</v>
      </c>
      <c r="J1899" s="4">
        <f t="shared" si="87"/>
        <v>63500</v>
      </c>
      <c r="K1899" s="4" t="str">
        <f t="shared" si="88"/>
        <v>2025-01</v>
      </c>
      <c r="L1899" s="4" t="str">
        <f t="shared" si="89"/>
        <v>월</v>
      </c>
      <c r="M1899" s="2" t="str">
        <f>VLOOKUP($C1899, 고객정보!$A$2:$E$151, 2, FALSE)</f>
        <v>서울</v>
      </c>
      <c r="N1899" t="str">
        <f>VLOOKUP(C1899,고객정보!$A$2:$D$151,4,FALSE)</f>
        <v>L5</v>
      </c>
      <c r="O1899" t="str">
        <f>VLOOKUP($C1899, 고객정보!$A$2:$E$151, 5, FALSE)</f>
        <v>20대</v>
      </c>
      <c r="P1899" t="str">
        <f>VLOOKUP(D1899,상품정보!$A$2:$E$61,2,FALSE)</f>
        <v>셔츠</v>
      </c>
      <c r="Q1899" t="str">
        <f>VLOOKUP(D1899,상품정보!$A$2:$D$151,3,FALSE)</f>
        <v>의류</v>
      </c>
      <c r="R1899" t="str">
        <f>VLOOKUP(D1899,상품정보!$A$2:$D$151,4,FALSE)</f>
        <v>브랜드D</v>
      </c>
    </row>
    <row r="1900" spans="1:18" x14ac:dyDescent="0.45">
      <c r="A1900" t="s">
        <v>97</v>
      </c>
      <c r="B1900" t="s">
        <v>2299</v>
      </c>
      <c r="C1900" t="s">
        <v>2474</v>
      </c>
      <c r="D1900" t="s">
        <v>2567</v>
      </c>
      <c r="E1900">
        <v>4</v>
      </c>
      <c r="F1900">
        <v>58600</v>
      </c>
      <c r="G1900">
        <v>0</v>
      </c>
      <c r="H1900">
        <v>0</v>
      </c>
      <c r="I1900" t="s">
        <v>2652</v>
      </c>
      <c r="J1900" s="4">
        <f t="shared" si="87"/>
        <v>234400</v>
      </c>
      <c r="K1900" s="4" t="str">
        <f t="shared" si="88"/>
        <v>2024-07</v>
      </c>
      <c r="L1900" s="4" t="str">
        <f t="shared" si="89"/>
        <v>월</v>
      </c>
      <c r="M1900" s="2" t="str">
        <f>VLOOKUP($C1900, 고객정보!$A$2:$E$151, 2, FALSE)</f>
        <v>인천</v>
      </c>
      <c r="N1900" t="str">
        <f>VLOOKUP(C1900,고객정보!$A$2:$D$151,4,FALSE)</f>
        <v>L2</v>
      </c>
      <c r="O1900" t="str">
        <f>VLOOKUP($C1900, 고객정보!$A$2:$E$151, 5, FALSE)</f>
        <v>10대</v>
      </c>
      <c r="P1900" t="str">
        <f>VLOOKUP(D1900,상품정보!$A$2:$E$61,2,FALSE)</f>
        <v>귀걸이</v>
      </c>
      <c r="Q1900" t="str">
        <f>VLOOKUP(D1900,상품정보!$A$2:$D$151,3,FALSE)</f>
        <v>액세서리</v>
      </c>
      <c r="R1900" t="str">
        <f>VLOOKUP(D1900,상품정보!$A$2:$D$151,4,FALSE)</f>
        <v>브랜드B</v>
      </c>
    </row>
    <row r="1901" spans="1:18" x14ac:dyDescent="0.45">
      <c r="A1901" t="s">
        <v>396</v>
      </c>
      <c r="B1901" t="s">
        <v>2300</v>
      </c>
      <c r="C1901" t="s">
        <v>2536</v>
      </c>
      <c r="D1901" t="s">
        <v>2605</v>
      </c>
      <c r="E1901">
        <v>2</v>
      </c>
      <c r="F1901">
        <v>6800</v>
      </c>
      <c r="G1901">
        <v>0</v>
      </c>
      <c r="H1901">
        <v>1400</v>
      </c>
      <c r="I1901" t="s">
        <v>2614</v>
      </c>
      <c r="J1901" s="4">
        <f t="shared" si="87"/>
        <v>12200</v>
      </c>
      <c r="K1901" s="4" t="str">
        <f t="shared" si="88"/>
        <v>2024-09</v>
      </c>
      <c r="L1901" s="4" t="str">
        <f t="shared" si="89"/>
        <v>목</v>
      </c>
      <c r="M1901" s="2" t="str">
        <f>VLOOKUP($C1901, 고객정보!$A$2:$E$151, 2, FALSE)</f>
        <v>서울</v>
      </c>
      <c r="N1901" t="str">
        <f>VLOOKUP(C1901,고객정보!$A$2:$D$151,4,FALSE)</f>
        <v>L5</v>
      </c>
      <c r="O1901" t="str">
        <f>VLOOKUP($C1901, 고객정보!$A$2:$E$151, 5, FALSE)</f>
        <v>20대</v>
      </c>
      <c r="P1901" t="str">
        <f>VLOOKUP(D1901,상품정보!$A$2:$E$61,2,FALSE)</f>
        <v>핸드폰케이스</v>
      </c>
      <c r="Q1901" t="str">
        <f>VLOOKUP(D1901,상품정보!$A$2:$D$151,3,FALSE)</f>
        <v>액세서리</v>
      </c>
      <c r="R1901" t="str">
        <f>VLOOKUP(D1901,상품정보!$A$2:$D$151,4,FALSE)</f>
        <v>브랜드D</v>
      </c>
    </row>
    <row r="1902" spans="1:18" x14ac:dyDescent="0.45">
      <c r="A1902" t="s">
        <v>315</v>
      </c>
      <c r="B1902" t="s">
        <v>2301</v>
      </c>
      <c r="C1902" t="s">
        <v>2522</v>
      </c>
      <c r="D1902" t="s">
        <v>2570</v>
      </c>
      <c r="E1902">
        <v>5</v>
      </c>
      <c r="F1902">
        <v>73900</v>
      </c>
      <c r="G1902">
        <v>0</v>
      </c>
      <c r="H1902">
        <v>0</v>
      </c>
      <c r="I1902" t="s">
        <v>2652</v>
      </c>
      <c r="J1902" s="4">
        <f t="shared" si="87"/>
        <v>369500</v>
      </c>
      <c r="K1902" s="4" t="str">
        <f t="shared" si="88"/>
        <v>2024-01</v>
      </c>
      <c r="L1902" s="4" t="str">
        <f t="shared" si="89"/>
        <v>수</v>
      </c>
      <c r="M1902" s="2" t="str">
        <f>VLOOKUP($C1902, 고객정보!$A$2:$E$151, 2, FALSE)</f>
        <v>부산</v>
      </c>
      <c r="N1902" t="str">
        <f>VLOOKUP(C1902,고객정보!$A$2:$D$151,4,FALSE)</f>
        <v>L4</v>
      </c>
      <c r="O1902" t="str">
        <f>VLOOKUP($C1902, 고객정보!$A$2:$E$151, 5, FALSE)</f>
        <v>40대</v>
      </c>
      <c r="P1902" t="str">
        <f>VLOOKUP(D1902,상품정보!$A$2:$E$61,2,FALSE)</f>
        <v>반지</v>
      </c>
      <c r="Q1902" t="str">
        <f>VLOOKUP(D1902,상품정보!$A$2:$D$151,3,FALSE)</f>
        <v>액세서리</v>
      </c>
      <c r="R1902" t="str">
        <f>VLOOKUP(D1902,상품정보!$A$2:$D$151,4,FALSE)</f>
        <v>브랜드B</v>
      </c>
    </row>
    <row r="1903" spans="1:18" x14ac:dyDescent="0.45">
      <c r="A1903" t="s">
        <v>346</v>
      </c>
      <c r="B1903" t="s">
        <v>2302</v>
      </c>
      <c r="C1903" t="s">
        <v>2437</v>
      </c>
      <c r="D1903" t="s">
        <v>2553</v>
      </c>
      <c r="E1903">
        <v>2</v>
      </c>
      <c r="F1903">
        <v>63400</v>
      </c>
      <c r="G1903">
        <v>500</v>
      </c>
      <c r="H1903">
        <v>0</v>
      </c>
      <c r="I1903" t="s">
        <v>2652</v>
      </c>
      <c r="J1903" s="4">
        <f t="shared" si="87"/>
        <v>127300</v>
      </c>
      <c r="K1903" s="4" t="str">
        <f t="shared" si="88"/>
        <v>2024-10</v>
      </c>
      <c r="L1903" s="4" t="str">
        <f t="shared" si="89"/>
        <v>목</v>
      </c>
      <c r="M1903" s="2" t="str">
        <f>VLOOKUP($C1903, 고객정보!$A$2:$E$151, 2, FALSE)</f>
        <v>인천</v>
      </c>
      <c r="N1903" t="str">
        <f>VLOOKUP(C1903,고객정보!$A$2:$D$151,4,FALSE)</f>
        <v>L1</v>
      </c>
      <c r="O1903" t="str">
        <f>VLOOKUP($C1903, 고객정보!$A$2:$E$151, 5, FALSE)</f>
        <v>30대</v>
      </c>
      <c r="P1903" t="str">
        <f>VLOOKUP(D1903,상품정보!$A$2:$E$61,2,FALSE)</f>
        <v>귀걸이</v>
      </c>
      <c r="Q1903" t="str">
        <f>VLOOKUP(D1903,상품정보!$A$2:$D$151,3,FALSE)</f>
        <v>액세서리</v>
      </c>
      <c r="R1903" t="str">
        <f>VLOOKUP(D1903,상품정보!$A$2:$D$151,4,FALSE)</f>
        <v>브랜드F</v>
      </c>
    </row>
    <row r="1904" spans="1:18" x14ac:dyDescent="0.45">
      <c r="A1904" t="s">
        <v>350</v>
      </c>
      <c r="B1904" t="s">
        <v>2303</v>
      </c>
      <c r="C1904" t="s">
        <v>2477</v>
      </c>
      <c r="D1904" t="s">
        <v>2569</v>
      </c>
      <c r="E1904">
        <v>4</v>
      </c>
      <c r="F1904">
        <v>11400</v>
      </c>
      <c r="G1904">
        <v>0</v>
      </c>
      <c r="H1904">
        <v>2900</v>
      </c>
      <c r="I1904" t="s">
        <v>2611</v>
      </c>
      <c r="J1904" s="4">
        <f t="shared" si="87"/>
        <v>42700</v>
      </c>
      <c r="K1904" s="4" t="str">
        <f t="shared" si="88"/>
        <v>2025-01</v>
      </c>
      <c r="L1904" s="4" t="str">
        <f t="shared" si="89"/>
        <v>월</v>
      </c>
      <c r="M1904" s="2" t="str">
        <f>VLOOKUP($C1904, 고객정보!$A$2:$E$151, 2, FALSE)</f>
        <v>부산</v>
      </c>
      <c r="N1904" t="str">
        <f>VLOOKUP(C1904,고객정보!$A$2:$D$151,4,FALSE)</f>
        <v>L4</v>
      </c>
      <c r="O1904" t="str">
        <f>VLOOKUP($C1904, 고객정보!$A$2:$E$151, 5, FALSE)</f>
        <v>20대</v>
      </c>
      <c r="P1904" t="str">
        <f>VLOOKUP(D1904,상품정보!$A$2:$E$61,2,FALSE)</f>
        <v>귀걸이</v>
      </c>
      <c r="Q1904" t="str">
        <f>VLOOKUP(D1904,상품정보!$A$2:$D$151,3,FALSE)</f>
        <v>액세서리</v>
      </c>
      <c r="R1904" t="str">
        <f>VLOOKUP(D1904,상품정보!$A$2:$D$151,4,FALSE)</f>
        <v>브랜드E</v>
      </c>
    </row>
    <row r="1905" spans="1:18" x14ac:dyDescent="0.45">
      <c r="A1905" t="s">
        <v>330</v>
      </c>
      <c r="B1905" t="s">
        <v>2304</v>
      </c>
      <c r="C1905" t="s">
        <v>2524</v>
      </c>
      <c r="D1905" t="s">
        <v>2587</v>
      </c>
      <c r="E1905">
        <v>4</v>
      </c>
      <c r="F1905">
        <v>50200</v>
      </c>
      <c r="G1905">
        <v>0</v>
      </c>
      <c r="H1905">
        <v>0</v>
      </c>
      <c r="I1905" t="s">
        <v>2652</v>
      </c>
      <c r="J1905" s="4">
        <f t="shared" si="87"/>
        <v>200800</v>
      </c>
      <c r="K1905" s="4" t="str">
        <f t="shared" si="88"/>
        <v>2024-05</v>
      </c>
      <c r="L1905" s="4" t="str">
        <f t="shared" si="89"/>
        <v>수</v>
      </c>
      <c r="M1905" s="2" t="str">
        <f>VLOOKUP($C1905, 고객정보!$A$2:$E$151, 2, FALSE)</f>
        <v>서울</v>
      </c>
      <c r="N1905" t="str">
        <f>VLOOKUP(C1905,고객정보!$A$2:$D$151,4,FALSE)</f>
        <v>L5</v>
      </c>
      <c r="O1905" t="str">
        <f>VLOOKUP($C1905, 고객정보!$A$2:$E$151, 5, FALSE)</f>
        <v>10대</v>
      </c>
      <c r="P1905" t="str">
        <f>VLOOKUP(D1905,상품정보!$A$2:$E$61,2,FALSE)</f>
        <v>반지</v>
      </c>
      <c r="Q1905" t="str">
        <f>VLOOKUP(D1905,상품정보!$A$2:$D$151,3,FALSE)</f>
        <v>액세서리</v>
      </c>
      <c r="R1905" t="str">
        <f>VLOOKUP(D1905,상품정보!$A$2:$D$151,4,FALSE)</f>
        <v>브랜드B</v>
      </c>
    </row>
    <row r="1906" spans="1:18" x14ac:dyDescent="0.45">
      <c r="A1906" t="s">
        <v>100</v>
      </c>
      <c r="B1906" t="s">
        <v>2305</v>
      </c>
      <c r="C1906" t="s">
        <v>2470</v>
      </c>
      <c r="D1906" t="s">
        <v>2586</v>
      </c>
      <c r="E1906">
        <v>2</v>
      </c>
      <c r="F1906">
        <v>73000</v>
      </c>
      <c r="G1906">
        <v>0</v>
      </c>
      <c r="H1906">
        <v>4100</v>
      </c>
      <c r="I1906" t="s">
        <v>2614</v>
      </c>
      <c r="J1906" s="4">
        <f t="shared" si="87"/>
        <v>141900</v>
      </c>
      <c r="K1906" s="4" t="str">
        <f t="shared" si="88"/>
        <v>2024-04</v>
      </c>
      <c r="L1906" s="4" t="str">
        <f t="shared" si="89"/>
        <v>수</v>
      </c>
      <c r="M1906" s="2" t="str">
        <f>VLOOKUP($C1906, 고객정보!$A$2:$E$151, 2, FALSE)</f>
        <v>대전</v>
      </c>
      <c r="N1906" t="str">
        <f>VLOOKUP(C1906,고객정보!$A$2:$D$151,4,FALSE)</f>
        <v>L5</v>
      </c>
      <c r="O1906" t="str">
        <f>VLOOKUP($C1906, 고객정보!$A$2:$E$151, 5, FALSE)</f>
        <v>20대</v>
      </c>
      <c r="P1906" t="str">
        <f>VLOOKUP(D1906,상품정보!$A$2:$E$61,2,FALSE)</f>
        <v>귀걸이</v>
      </c>
      <c r="Q1906" t="str">
        <f>VLOOKUP(D1906,상품정보!$A$2:$D$151,3,FALSE)</f>
        <v>액세서리</v>
      </c>
      <c r="R1906" t="str">
        <f>VLOOKUP(D1906,상품정보!$A$2:$D$151,4,FALSE)</f>
        <v>브랜드B</v>
      </c>
    </row>
    <row r="1907" spans="1:18" x14ac:dyDescent="0.45">
      <c r="A1907" t="s">
        <v>386</v>
      </c>
      <c r="B1907" t="s">
        <v>2306</v>
      </c>
      <c r="C1907" t="s">
        <v>2494</v>
      </c>
      <c r="D1907" t="s">
        <v>2586</v>
      </c>
      <c r="E1907">
        <v>3</v>
      </c>
      <c r="F1907">
        <v>73000</v>
      </c>
      <c r="G1907">
        <v>0</v>
      </c>
      <c r="H1907">
        <v>0</v>
      </c>
      <c r="I1907" t="s">
        <v>2652</v>
      </c>
      <c r="J1907" s="4">
        <f t="shared" si="87"/>
        <v>219000</v>
      </c>
      <c r="K1907" s="4" t="str">
        <f t="shared" si="88"/>
        <v>2024-01</v>
      </c>
      <c r="L1907" s="4" t="str">
        <f t="shared" si="89"/>
        <v>일</v>
      </c>
      <c r="M1907" s="2" t="str">
        <f>VLOOKUP($C1907, 고객정보!$A$2:$E$151, 2, FALSE)</f>
        <v>대구</v>
      </c>
      <c r="N1907" t="str">
        <f>VLOOKUP(C1907,고객정보!$A$2:$D$151,4,FALSE)</f>
        <v>L4</v>
      </c>
      <c r="O1907" t="str">
        <f>VLOOKUP($C1907, 고객정보!$A$2:$E$151, 5, FALSE)</f>
        <v>40대</v>
      </c>
      <c r="P1907" t="str">
        <f>VLOOKUP(D1907,상품정보!$A$2:$E$61,2,FALSE)</f>
        <v>귀걸이</v>
      </c>
      <c r="Q1907" t="str">
        <f>VLOOKUP(D1907,상품정보!$A$2:$D$151,3,FALSE)</f>
        <v>액세서리</v>
      </c>
      <c r="R1907" t="str">
        <f>VLOOKUP(D1907,상품정보!$A$2:$D$151,4,FALSE)</f>
        <v>브랜드B</v>
      </c>
    </row>
    <row r="1908" spans="1:18" x14ac:dyDescent="0.45">
      <c r="A1908" t="s">
        <v>333</v>
      </c>
      <c r="B1908" t="s">
        <v>2307</v>
      </c>
      <c r="C1908" t="s">
        <v>2428</v>
      </c>
      <c r="D1908" t="s">
        <v>2557</v>
      </c>
      <c r="E1908">
        <v>1</v>
      </c>
      <c r="F1908">
        <v>77700</v>
      </c>
      <c r="G1908">
        <v>500</v>
      </c>
      <c r="H1908">
        <v>400</v>
      </c>
      <c r="I1908" t="s">
        <v>2613</v>
      </c>
      <c r="J1908" s="4">
        <f t="shared" si="87"/>
        <v>77800</v>
      </c>
      <c r="K1908" s="4" t="str">
        <f t="shared" si="88"/>
        <v>2024-01</v>
      </c>
      <c r="L1908" s="4" t="str">
        <f t="shared" si="89"/>
        <v>토</v>
      </c>
      <c r="M1908" s="2" t="str">
        <f>VLOOKUP($C1908, 고객정보!$A$2:$E$151, 2, FALSE)</f>
        <v>광주</v>
      </c>
      <c r="N1908" t="str">
        <f>VLOOKUP(C1908,고객정보!$A$2:$D$151,4,FALSE)</f>
        <v>L4</v>
      </c>
      <c r="O1908" t="str">
        <f>VLOOKUP($C1908, 고객정보!$A$2:$E$151, 5, FALSE)</f>
        <v>10대</v>
      </c>
      <c r="P1908" t="str">
        <f>VLOOKUP(D1908,상품정보!$A$2:$E$61,2,FALSE)</f>
        <v>귀걸이</v>
      </c>
      <c r="Q1908" t="str">
        <f>VLOOKUP(D1908,상품정보!$A$2:$D$151,3,FALSE)</f>
        <v>액세서리</v>
      </c>
      <c r="R1908" t="str">
        <f>VLOOKUP(D1908,상품정보!$A$2:$D$151,4,FALSE)</f>
        <v>브랜드B</v>
      </c>
    </row>
    <row r="1909" spans="1:18" x14ac:dyDescent="0.45">
      <c r="A1909" t="s">
        <v>124</v>
      </c>
      <c r="B1909" t="s">
        <v>2308</v>
      </c>
      <c r="C1909" t="s">
        <v>2499</v>
      </c>
      <c r="D1909" t="s">
        <v>2581</v>
      </c>
      <c r="E1909">
        <v>4</v>
      </c>
      <c r="F1909">
        <v>72900</v>
      </c>
      <c r="G1909">
        <v>0</v>
      </c>
      <c r="H1909">
        <v>0</v>
      </c>
      <c r="I1909" t="s">
        <v>2652</v>
      </c>
      <c r="J1909" s="4">
        <f t="shared" si="87"/>
        <v>291600</v>
      </c>
      <c r="K1909" s="4" t="str">
        <f t="shared" si="88"/>
        <v>2024-08</v>
      </c>
      <c r="L1909" s="4" t="str">
        <f t="shared" si="89"/>
        <v>토</v>
      </c>
      <c r="M1909" s="2" t="str">
        <f>VLOOKUP($C1909, 고객정보!$A$2:$E$151, 2, FALSE)</f>
        <v>서울</v>
      </c>
      <c r="N1909" t="str">
        <f>VLOOKUP(C1909,고객정보!$A$2:$D$151,4,FALSE)</f>
        <v>L2</v>
      </c>
      <c r="O1909" t="str">
        <f>VLOOKUP($C1909, 고객정보!$A$2:$E$151, 5, FALSE)</f>
        <v>40대</v>
      </c>
      <c r="P1909" t="str">
        <f>VLOOKUP(D1909,상품정보!$A$2:$E$61,2,FALSE)</f>
        <v>귀걸이</v>
      </c>
      <c r="Q1909" t="str">
        <f>VLOOKUP(D1909,상품정보!$A$2:$D$151,3,FALSE)</f>
        <v>액세서리</v>
      </c>
      <c r="R1909" t="str">
        <f>VLOOKUP(D1909,상품정보!$A$2:$D$151,4,FALSE)</f>
        <v>브랜드F</v>
      </c>
    </row>
    <row r="1910" spans="1:18" x14ac:dyDescent="0.45">
      <c r="A1910" t="s">
        <v>215</v>
      </c>
      <c r="B1910" t="s">
        <v>2309</v>
      </c>
      <c r="C1910" t="s">
        <v>2471</v>
      </c>
      <c r="D1910" t="s">
        <v>2608</v>
      </c>
      <c r="E1910">
        <v>5</v>
      </c>
      <c r="F1910">
        <v>10600</v>
      </c>
      <c r="G1910">
        <v>0</v>
      </c>
      <c r="H1910">
        <v>0</v>
      </c>
      <c r="I1910" t="s">
        <v>2652</v>
      </c>
      <c r="J1910" s="4">
        <f t="shared" si="87"/>
        <v>53000</v>
      </c>
      <c r="K1910" s="4" t="str">
        <f t="shared" si="88"/>
        <v>2024-04</v>
      </c>
      <c r="L1910" s="4" t="str">
        <f t="shared" si="89"/>
        <v>월</v>
      </c>
      <c r="M1910" s="2" t="str">
        <f>VLOOKUP($C1910, 고객정보!$A$2:$E$151, 2, FALSE)</f>
        <v>서울</v>
      </c>
      <c r="N1910" t="str">
        <f>VLOOKUP(C1910,고객정보!$A$2:$D$151,4,FALSE)</f>
        <v>L5</v>
      </c>
      <c r="O1910" t="str">
        <f>VLOOKUP($C1910, 고객정보!$A$2:$E$151, 5, FALSE)</f>
        <v>40대</v>
      </c>
      <c r="P1910" t="str">
        <f>VLOOKUP(D1910,상품정보!$A$2:$E$61,2,FALSE)</f>
        <v>셔츠</v>
      </c>
      <c r="Q1910" t="str">
        <f>VLOOKUP(D1910,상품정보!$A$2:$D$151,3,FALSE)</f>
        <v>의류</v>
      </c>
      <c r="R1910" t="str">
        <f>VLOOKUP(D1910,상품정보!$A$2:$D$151,4,FALSE)</f>
        <v>브랜드D</v>
      </c>
    </row>
    <row r="1911" spans="1:18" x14ac:dyDescent="0.45">
      <c r="A1911" t="s">
        <v>153</v>
      </c>
      <c r="B1911" t="s">
        <v>2310</v>
      </c>
      <c r="C1911" t="s">
        <v>2418</v>
      </c>
      <c r="D1911" t="s">
        <v>2579</v>
      </c>
      <c r="E1911">
        <v>4</v>
      </c>
      <c r="F1911">
        <v>51000</v>
      </c>
      <c r="G1911">
        <v>1500</v>
      </c>
      <c r="H1911">
        <v>0</v>
      </c>
      <c r="I1911" t="s">
        <v>2652</v>
      </c>
      <c r="J1911" s="4">
        <f t="shared" si="87"/>
        <v>205500</v>
      </c>
      <c r="K1911" s="4" t="str">
        <f t="shared" si="88"/>
        <v>2024-08</v>
      </c>
      <c r="L1911" s="4" t="str">
        <f t="shared" si="89"/>
        <v>금</v>
      </c>
      <c r="M1911" s="2" t="str">
        <f>VLOOKUP($C1911, 고객정보!$A$2:$E$151, 2, FALSE)</f>
        <v>부산</v>
      </c>
      <c r="N1911" t="str">
        <f>VLOOKUP(C1911,고객정보!$A$2:$D$151,4,FALSE)</f>
        <v>L5</v>
      </c>
      <c r="O1911" t="str">
        <f>VLOOKUP($C1911, 고객정보!$A$2:$E$151, 5, FALSE)</f>
        <v>30대</v>
      </c>
      <c r="P1911" t="str">
        <f>VLOOKUP(D1911,상품정보!$A$2:$E$61,2,FALSE)</f>
        <v>핸드폰케이스</v>
      </c>
      <c r="Q1911" t="str">
        <f>VLOOKUP(D1911,상품정보!$A$2:$D$151,3,FALSE)</f>
        <v>액세서리</v>
      </c>
      <c r="R1911" t="str">
        <f>VLOOKUP(D1911,상품정보!$A$2:$D$151,4,FALSE)</f>
        <v>브랜드F</v>
      </c>
    </row>
    <row r="1912" spans="1:18" x14ac:dyDescent="0.45">
      <c r="A1912" t="s">
        <v>44</v>
      </c>
      <c r="B1912" t="s">
        <v>2311</v>
      </c>
      <c r="C1912" t="s">
        <v>2428</v>
      </c>
      <c r="D1912" t="s">
        <v>2573</v>
      </c>
      <c r="E1912">
        <v>5</v>
      </c>
      <c r="F1912">
        <v>6400</v>
      </c>
      <c r="G1912">
        <v>0</v>
      </c>
      <c r="H1912">
        <v>0</v>
      </c>
      <c r="I1912" t="s">
        <v>2652</v>
      </c>
      <c r="J1912" s="4">
        <f t="shared" si="87"/>
        <v>32000</v>
      </c>
      <c r="K1912" s="4" t="str">
        <f t="shared" si="88"/>
        <v>2024-08</v>
      </c>
      <c r="L1912" s="4" t="str">
        <f t="shared" si="89"/>
        <v>토</v>
      </c>
      <c r="M1912" s="2" t="str">
        <f>VLOOKUP($C1912, 고객정보!$A$2:$E$151, 2, FALSE)</f>
        <v>광주</v>
      </c>
      <c r="N1912" t="str">
        <f>VLOOKUP(C1912,고객정보!$A$2:$D$151,4,FALSE)</f>
        <v>L4</v>
      </c>
      <c r="O1912" t="str">
        <f>VLOOKUP($C1912, 고객정보!$A$2:$E$151, 5, FALSE)</f>
        <v>10대</v>
      </c>
      <c r="P1912" t="str">
        <f>VLOOKUP(D1912,상품정보!$A$2:$E$61,2,FALSE)</f>
        <v>귀걸이</v>
      </c>
      <c r="Q1912" t="str">
        <f>VLOOKUP(D1912,상품정보!$A$2:$D$151,3,FALSE)</f>
        <v>액세서리</v>
      </c>
      <c r="R1912" t="str">
        <f>VLOOKUP(D1912,상품정보!$A$2:$D$151,4,FALSE)</f>
        <v>브랜드E</v>
      </c>
    </row>
    <row r="1913" spans="1:18" x14ac:dyDescent="0.45">
      <c r="A1913" t="s">
        <v>247</v>
      </c>
      <c r="B1913" t="s">
        <v>2312</v>
      </c>
      <c r="C1913" t="s">
        <v>2514</v>
      </c>
      <c r="D1913" t="s">
        <v>2595</v>
      </c>
      <c r="E1913">
        <v>4</v>
      </c>
      <c r="F1913">
        <v>12700</v>
      </c>
      <c r="G1913">
        <v>500</v>
      </c>
      <c r="H1913">
        <v>3600</v>
      </c>
      <c r="I1913" t="s">
        <v>2613</v>
      </c>
      <c r="J1913" s="4">
        <f t="shared" si="87"/>
        <v>47700</v>
      </c>
      <c r="K1913" s="4" t="str">
        <f t="shared" si="88"/>
        <v>2024-07</v>
      </c>
      <c r="L1913" s="4" t="str">
        <f t="shared" si="89"/>
        <v>일</v>
      </c>
      <c r="M1913" s="2" t="str">
        <f>VLOOKUP($C1913, 고객정보!$A$2:$E$151, 2, FALSE)</f>
        <v>대구</v>
      </c>
      <c r="N1913" t="str">
        <f>VLOOKUP(C1913,고객정보!$A$2:$D$151,4,FALSE)</f>
        <v>L1</v>
      </c>
      <c r="O1913" t="str">
        <f>VLOOKUP($C1913, 고객정보!$A$2:$E$151, 5, FALSE)</f>
        <v>20대</v>
      </c>
      <c r="P1913" t="str">
        <f>VLOOKUP(D1913,상품정보!$A$2:$E$61,2,FALSE)</f>
        <v>반지</v>
      </c>
      <c r="Q1913" t="str">
        <f>VLOOKUP(D1913,상품정보!$A$2:$D$151,3,FALSE)</f>
        <v>액세서리</v>
      </c>
      <c r="R1913" t="str">
        <f>VLOOKUP(D1913,상품정보!$A$2:$D$151,4,FALSE)</f>
        <v>브랜드C</v>
      </c>
    </row>
    <row r="1914" spans="1:18" x14ac:dyDescent="0.45">
      <c r="A1914" t="s">
        <v>377</v>
      </c>
      <c r="B1914" t="s">
        <v>2313</v>
      </c>
      <c r="C1914" t="s">
        <v>2426</v>
      </c>
      <c r="D1914" t="s">
        <v>2578</v>
      </c>
      <c r="E1914">
        <v>1</v>
      </c>
      <c r="F1914">
        <v>78000</v>
      </c>
      <c r="G1914">
        <v>0</v>
      </c>
      <c r="H1914">
        <v>100</v>
      </c>
      <c r="I1914" t="s">
        <v>2614</v>
      </c>
      <c r="J1914" s="4">
        <f t="shared" si="87"/>
        <v>77900</v>
      </c>
      <c r="K1914" s="4" t="str">
        <f t="shared" si="88"/>
        <v>2024-02</v>
      </c>
      <c r="L1914" s="4" t="str">
        <f t="shared" si="89"/>
        <v>월</v>
      </c>
      <c r="M1914" s="2" t="str">
        <f>VLOOKUP($C1914, 고객정보!$A$2:$E$151, 2, FALSE)</f>
        <v>대전</v>
      </c>
      <c r="N1914" t="str">
        <f>VLOOKUP(C1914,고객정보!$A$2:$D$151,4,FALSE)</f>
        <v>L5</v>
      </c>
      <c r="O1914" t="str">
        <f>VLOOKUP($C1914, 고객정보!$A$2:$E$151, 5, FALSE)</f>
        <v>30대</v>
      </c>
      <c r="P1914" t="str">
        <f>VLOOKUP(D1914,상품정보!$A$2:$E$61,2,FALSE)</f>
        <v>귀걸이</v>
      </c>
      <c r="Q1914" t="str">
        <f>VLOOKUP(D1914,상품정보!$A$2:$D$151,3,FALSE)</f>
        <v>액세서리</v>
      </c>
      <c r="R1914" t="str">
        <f>VLOOKUP(D1914,상품정보!$A$2:$D$151,4,FALSE)</f>
        <v>브랜드B</v>
      </c>
    </row>
    <row r="1915" spans="1:18" x14ac:dyDescent="0.45">
      <c r="A1915" t="s">
        <v>200</v>
      </c>
      <c r="B1915" t="s">
        <v>2314</v>
      </c>
      <c r="C1915" t="s">
        <v>2445</v>
      </c>
      <c r="D1915" t="s">
        <v>2601</v>
      </c>
      <c r="E1915">
        <v>3</v>
      </c>
      <c r="F1915">
        <v>17000</v>
      </c>
      <c r="G1915">
        <v>1000</v>
      </c>
      <c r="H1915">
        <v>0</v>
      </c>
      <c r="I1915" t="s">
        <v>2652</v>
      </c>
      <c r="J1915" s="4">
        <f t="shared" si="87"/>
        <v>52000</v>
      </c>
      <c r="K1915" s="4" t="str">
        <f t="shared" si="88"/>
        <v>2024-08</v>
      </c>
      <c r="L1915" s="4" t="str">
        <f t="shared" si="89"/>
        <v>금</v>
      </c>
      <c r="M1915" s="2" t="str">
        <f>VLOOKUP($C1915, 고객정보!$A$2:$E$151, 2, FALSE)</f>
        <v>대구</v>
      </c>
      <c r="N1915" t="str">
        <f>VLOOKUP(C1915,고객정보!$A$2:$D$151,4,FALSE)</f>
        <v>L3</v>
      </c>
      <c r="O1915" t="str">
        <f>VLOOKUP($C1915, 고객정보!$A$2:$E$151, 5, FALSE)</f>
        <v>10대</v>
      </c>
      <c r="P1915" t="str">
        <f>VLOOKUP(D1915,상품정보!$A$2:$E$61,2,FALSE)</f>
        <v>자켓</v>
      </c>
      <c r="Q1915" t="str">
        <f>VLOOKUP(D1915,상품정보!$A$2:$D$151,3,FALSE)</f>
        <v>의류</v>
      </c>
      <c r="R1915" t="str">
        <f>VLOOKUP(D1915,상품정보!$A$2:$D$151,4,FALSE)</f>
        <v>브랜드E</v>
      </c>
    </row>
    <row r="1916" spans="1:18" x14ac:dyDescent="0.45">
      <c r="A1916" t="s">
        <v>197</v>
      </c>
      <c r="B1916" t="s">
        <v>2315</v>
      </c>
      <c r="C1916" t="s">
        <v>2423</v>
      </c>
      <c r="D1916" t="s">
        <v>2558</v>
      </c>
      <c r="E1916">
        <v>3</v>
      </c>
      <c r="F1916">
        <v>63700</v>
      </c>
      <c r="G1916">
        <v>500</v>
      </c>
      <c r="H1916">
        <v>0</v>
      </c>
      <c r="I1916" t="s">
        <v>2652</v>
      </c>
      <c r="J1916" s="4">
        <f t="shared" si="87"/>
        <v>191600</v>
      </c>
      <c r="K1916" s="4" t="str">
        <f t="shared" si="88"/>
        <v>2024-05</v>
      </c>
      <c r="L1916" s="4" t="str">
        <f t="shared" si="89"/>
        <v>목</v>
      </c>
      <c r="M1916" s="2" t="str">
        <f>VLOOKUP($C1916, 고객정보!$A$2:$E$151, 2, FALSE)</f>
        <v>수원</v>
      </c>
      <c r="N1916" t="str">
        <f>VLOOKUP(C1916,고객정보!$A$2:$D$151,4,FALSE)</f>
        <v>L5</v>
      </c>
      <c r="O1916" t="str">
        <f>VLOOKUP($C1916, 고객정보!$A$2:$E$151, 5, FALSE)</f>
        <v>30대</v>
      </c>
      <c r="P1916" t="str">
        <f>VLOOKUP(D1916,상품정보!$A$2:$E$61,2,FALSE)</f>
        <v>셔츠</v>
      </c>
      <c r="Q1916" t="str">
        <f>VLOOKUP(D1916,상품정보!$A$2:$D$151,3,FALSE)</f>
        <v>의류</v>
      </c>
      <c r="R1916" t="str">
        <f>VLOOKUP(D1916,상품정보!$A$2:$D$151,4,FALSE)</f>
        <v>브랜드A</v>
      </c>
    </row>
    <row r="1917" spans="1:18" x14ac:dyDescent="0.45">
      <c r="A1917" t="s">
        <v>399</v>
      </c>
      <c r="B1917" t="s">
        <v>2316</v>
      </c>
      <c r="C1917" t="s">
        <v>2527</v>
      </c>
      <c r="D1917" t="s">
        <v>2605</v>
      </c>
      <c r="E1917">
        <v>5</v>
      </c>
      <c r="F1917">
        <v>6800</v>
      </c>
      <c r="G1917">
        <v>1000</v>
      </c>
      <c r="H1917">
        <v>3600</v>
      </c>
      <c r="I1917" t="s">
        <v>2612</v>
      </c>
      <c r="J1917" s="4">
        <f t="shared" si="87"/>
        <v>31400</v>
      </c>
      <c r="K1917" s="4" t="str">
        <f t="shared" si="88"/>
        <v>2024-07</v>
      </c>
      <c r="L1917" s="4" t="str">
        <f t="shared" si="89"/>
        <v>금</v>
      </c>
      <c r="M1917" s="2" t="str">
        <f>VLOOKUP($C1917, 고객정보!$A$2:$E$151, 2, FALSE)</f>
        <v>광주</v>
      </c>
      <c r="N1917" t="str">
        <f>VLOOKUP(C1917,고객정보!$A$2:$D$151,4,FALSE)</f>
        <v>L2</v>
      </c>
      <c r="O1917" t="str">
        <f>VLOOKUP($C1917, 고객정보!$A$2:$E$151, 5, FALSE)</f>
        <v>30대</v>
      </c>
      <c r="P1917" t="str">
        <f>VLOOKUP(D1917,상품정보!$A$2:$E$61,2,FALSE)</f>
        <v>핸드폰케이스</v>
      </c>
      <c r="Q1917" t="str">
        <f>VLOOKUP(D1917,상품정보!$A$2:$D$151,3,FALSE)</f>
        <v>액세서리</v>
      </c>
      <c r="R1917" t="str">
        <f>VLOOKUP(D1917,상품정보!$A$2:$D$151,4,FALSE)</f>
        <v>브랜드D</v>
      </c>
    </row>
    <row r="1918" spans="1:18" x14ac:dyDescent="0.45">
      <c r="A1918" t="s">
        <v>291</v>
      </c>
      <c r="B1918" t="s">
        <v>2317</v>
      </c>
      <c r="C1918" t="s">
        <v>2507</v>
      </c>
      <c r="D1918" t="s">
        <v>2587</v>
      </c>
      <c r="E1918">
        <v>2</v>
      </c>
      <c r="F1918">
        <v>50200</v>
      </c>
      <c r="G1918">
        <v>2000</v>
      </c>
      <c r="H1918">
        <v>3400</v>
      </c>
      <c r="I1918" t="s">
        <v>2611</v>
      </c>
      <c r="J1918" s="4">
        <f t="shared" si="87"/>
        <v>99000</v>
      </c>
      <c r="K1918" s="4" t="str">
        <f t="shared" si="88"/>
        <v>2025-01</v>
      </c>
      <c r="L1918" s="4" t="str">
        <f t="shared" si="89"/>
        <v>금</v>
      </c>
      <c r="M1918" s="2" t="str">
        <f>VLOOKUP($C1918, 고객정보!$A$2:$E$151, 2, FALSE)</f>
        <v>대전</v>
      </c>
      <c r="N1918" t="str">
        <f>VLOOKUP(C1918,고객정보!$A$2:$D$151,4,FALSE)</f>
        <v>L2</v>
      </c>
      <c r="O1918" t="str">
        <f>VLOOKUP($C1918, 고객정보!$A$2:$E$151, 5, FALSE)</f>
        <v>40대</v>
      </c>
      <c r="P1918" t="str">
        <f>VLOOKUP(D1918,상품정보!$A$2:$E$61,2,FALSE)</f>
        <v>반지</v>
      </c>
      <c r="Q1918" t="str">
        <f>VLOOKUP(D1918,상품정보!$A$2:$D$151,3,FALSE)</f>
        <v>액세서리</v>
      </c>
      <c r="R1918" t="str">
        <f>VLOOKUP(D1918,상품정보!$A$2:$D$151,4,FALSE)</f>
        <v>브랜드B</v>
      </c>
    </row>
    <row r="1919" spans="1:18" x14ac:dyDescent="0.45">
      <c r="A1919" t="s">
        <v>9</v>
      </c>
      <c r="B1919" t="s">
        <v>2318</v>
      </c>
      <c r="C1919" t="s">
        <v>2512</v>
      </c>
      <c r="D1919" t="s">
        <v>2578</v>
      </c>
      <c r="E1919">
        <v>3</v>
      </c>
      <c r="F1919">
        <v>78000</v>
      </c>
      <c r="G1919">
        <v>500</v>
      </c>
      <c r="H1919">
        <v>0</v>
      </c>
      <c r="I1919" t="s">
        <v>2652</v>
      </c>
      <c r="J1919" s="4">
        <f t="shared" si="87"/>
        <v>234500</v>
      </c>
      <c r="K1919" s="4" t="str">
        <f t="shared" si="88"/>
        <v>2024-12</v>
      </c>
      <c r="L1919" s="4" t="str">
        <f t="shared" si="89"/>
        <v>목</v>
      </c>
      <c r="M1919" s="2" t="str">
        <f>VLOOKUP($C1919, 고객정보!$A$2:$E$151, 2, FALSE)</f>
        <v>서울</v>
      </c>
      <c r="N1919" t="str">
        <f>VLOOKUP(C1919,고객정보!$A$2:$D$151,4,FALSE)</f>
        <v>L1</v>
      </c>
      <c r="O1919" t="str">
        <f>VLOOKUP($C1919, 고객정보!$A$2:$E$151, 5, FALSE)</f>
        <v>10대</v>
      </c>
      <c r="P1919" t="str">
        <f>VLOOKUP(D1919,상품정보!$A$2:$E$61,2,FALSE)</f>
        <v>귀걸이</v>
      </c>
      <c r="Q1919" t="str">
        <f>VLOOKUP(D1919,상품정보!$A$2:$D$151,3,FALSE)</f>
        <v>액세서리</v>
      </c>
      <c r="R1919" t="str">
        <f>VLOOKUP(D1919,상품정보!$A$2:$D$151,4,FALSE)</f>
        <v>브랜드B</v>
      </c>
    </row>
    <row r="1920" spans="1:18" x14ac:dyDescent="0.45">
      <c r="A1920" t="s">
        <v>390</v>
      </c>
      <c r="B1920" t="s">
        <v>2319</v>
      </c>
      <c r="C1920" t="s">
        <v>2522</v>
      </c>
      <c r="D1920" t="s">
        <v>2597</v>
      </c>
      <c r="E1920">
        <v>5</v>
      </c>
      <c r="F1920">
        <v>65300</v>
      </c>
      <c r="G1920">
        <v>1500</v>
      </c>
      <c r="H1920">
        <v>0</v>
      </c>
      <c r="I1920" t="s">
        <v>2652</v>
      </c>
      <c r="J1920" s="4">
        <f t="shared" si="87"/>
        <v>328000</v>
      </c>
      <c r="K1920" s="4" t="str">
        <f t="shared" si="88"/>
        <v>2024-01</v>
      </c>
      <c r="L1920" s="4" t="str">
        <f t="shared" si="89"/>
        <v>토</v>
      </c>
      <c r="M1920" s="2" t="str">
        <f>VLOOKUP($C1920, 고객정보!$A$2:$E$151, 2, FALSE)</f>
        <v>부산</v>
      </c>
      <c r="N1920" t="str">
        <f>VLOOKUP(C1920,고객정보!$A$2:$D$151,4,FALSE)</f>
        <v>L4</v>
      </c>
      <c r="O1920" t="str">
        <f>VLOOKUP($C1920, 고객정보!$A$2:$E$151, 5, FALSE)</f>
        <v>40대</v>
      </c>
      <c r="P1920" t="str">
        <f>VLOOKUP(D1920,상품정보!$A$2:$E$61,2,FALSE)</f>
        <v>반지</v>
      </c>
      <c r="Q1920" t="str">
        <f>VLOOKUP(D1920,상품정보!$A$2:$D$151,3,FALSE)</f>
        <v>액세서리</v>
      </c>
      <c r="R1920" t="str">
        <f>VLOOKUP(D1920,상품정보!$A$2:$D$151,4,FALSE)</f>
        <v>브랜드F</v>
      </c>
    </row>
    <row r="1921" spans="1:18" x14ac:dyDescent="0.45">
      <c r="A1921" t="s">
        <v>387</v>
      </c>
      <c r="B1921" t="s">
        <v>2320</v>
      </c>
      <c r="C1921" t="s">
        <v>2435</v>
      </c>
      <c r="D1921" t="s">
        <v>2569</v>
      </c>
      <c r="E1921">
        <v>1</v>
      </c>
      <c r="F1921">
        <v>11400</v>
      </c>
      <c r="G1921">
        <v>0</v>
      </c>
      <c r="H1921">
        <v>0</v>
      </c>
      <c r="I1921" t="s">
        <v>2652</v>
      </c>
      <c r="J1921" s="4">
        <f t="shared" si="87"/>
        <v>11400</v>
      </c>
      <c r="K1921" s="4" t="str">
        <f t="shared" si="88"/>
        <v>2024-01</v>
      </c>
      <c r="L1921" s="4" t="str">
        <f t="shared" si="89"/>
        <v>일</v>
      </c>
      <c r="M1921" s="2" t="str">
        <f>VLOOKUP($C1921, 고객정보!$A$2:$E$151, 2, FALSE)</f>
        <v>인천</v>
      </c>
      <c r="N1921" t="str">
        <f>VLOOKUP(C1921,고객정보!$A$2:$D$151,4,FALSE)</f>
        <v>L5</v>
      </c>
      <c r="O1921" t="str">
        <f>VLOOKUP($C1921, 고객정보!$A$2:$E$151, 5, FALSE)</f>
        <v>30대</v>
      </c>
      <c r="P1921" t="str">
        <f>VLOOKUP(D1921,상품정보!$A$2:$E$61,2,FALSE)</f>
        <v>귀걸이</v>
      </c>
      <c r="Q1921" t="str">
        <f>VLOOKUP(D1921,상품정보!$A$2:$D$151,3,FALSE)</f>
        <v>액세서리</v>
      </c>
      <c r="R1921" t="str">
        <f>VLOOKUP(D1921,상품정보!$A$2:$D$151,4,FALSE)</f>
        <v>브랜드E</v>
      </c>
    </row>
    <row r="1922" spans="1:18" x14ac:dyDescent="0.45">
      <c r="A1922" t="s">
        <v>363</v>
      </c>
      <c r="B1922" t="s">
        <v>2321</v>
      </c>
      <c r="C1922" t="s">
        <v>2524</v>
      </c>
      <c r="D1922" t="s">
        <v>2591</v>
      </c>
      <c r="E1922">
        <v>5</v>
      </c>
      <c r="F1922">
        <v>69200</v>
      </c>
      <c r="G1922">
        <v>500</v>
      </c>
      <c r="H1922">
        <v>0</v>
      </c>
      <c r="I1922" t="s">
        <v>2652</v>
      </c>
      <c r="J1922" s="4">
        <f t="shared" si="87"/>
        <v>346500</v>
      </c>
      <c r="K1922" s="4" t="str">
        <f t="shared" si="88"/>
        <v>2024-02</v>
      </c>
      <c r="L1922" s="4" t="str">
        <f t="shared" si="89"/>
        <v>금</v>
      </c>
      <c r="M1922" s="2" t="str">
        <f>VLOOKUP($C1922, 고객정보!$A$2:$E$151, 2, FALSE)</f>
        <v>서울</v>
      </c>
      <c r="N1922" t="str">
        <f>VLOOKUP(C1922,고객정보!$A$2:$D$151,4,FALSE)</f>
        <v>L5</v>
      </c>
      <c r="O1922" t="str">
        <f>VLOOKUP($C1922, 고객정보!$A$2:$E$151, 5, FALSE)</f>
        <v>10대</v>
      </c>
      <c r="P1922" t="str">
        <f>VLOOKUP(D1922,상품정보!$A$2:$E$61,2,FALSE)</f>
        <v>셔츠</v>
      </c>
      <c r="Q1922" t="str">
        <f>VLOOKUP(D1922,상품정보!$A$2:$D$151,3,FALSE)</f>
        <v>의류</v>
      </c>
      <c r="R1922" t="str">
        <f>VLOOKUP(D1922,상품정보!$A$2:$D$151,4,FALSE)</f>
        <v>브랜드F</v>
      </c>
    </row>
    <row r="1923" spans="1:18" x14ac:dyDescent="0.45">
      <c r="A1923" t="s">
        <v>329</v>
      </c>
      <c r="B1923" t="s">
        <v>2322</v>
      </c>
      <c r="C1923" t="s">
        <v>2457</v>
      </c>
      <c r="D1923" t="s">
        <v>2603</v>
      </c>
      <c r="E1923">
        <v>2</v>
      </c>
      <c r="F1923">
        <v>8200</v>
      </c>
      <c r="G1923">
        <v>1500</v>
      </c>
      <c r="H1923">
        <v>0</v>
      </c>
      <c r="I1923" t="s">
        <v>2652</v>
      </c>
      <c r="J1923" s="4">
        <f t="shared" ref="J1923:J1986" si="90">E1923*F1923+G1923-H1923</f>
        <v>17900</v>
      </c>
      <c r="K1923" s="4" t="str">
        <f t="shared" ref="K1923:K1986" si="91">LEFT(A1923,7)</f>
        <v>2025-01</v>
      </c>
      <c r="L1923" s="4" t="str">
        <f t="shared" ref="L1923:L1986" si="92">TEXT(WEEKDAY(A1923),"aaa")</f>
        <v>월</v>
      </c>
      <c r="M1923" s="2" t="str">
        <f>VLOOKUP($C1923, 고객정보!$A$2:$E$151, 2, FALSE)</f>
        <v>인천</v>
      </c>
      <c r="N1923" t="str">
        <f>VLOOKUP(C1923,고객정보!$A$2:$D$151,4,FALSE)</f>
        <v>L4</v>
      </c>
      <c r="O1923" t="str">
        <f>VLOOKUP($C1923, 고객정보!$A$2:$E$151, 5, FALSE)</f>
        <v>50대 이상</v>
      </c>
      <c r="P1923" t="str">
        <f>VLOOKUP(D1923,상품정보!$A$2:$E$61,2,FALSE)</f>
        <v>목걸이</v>
      </c>
      <c r="Q1923" t="str">
        <f>VLOOKUP(D1923,상품정보!$A$2:$D$151,3,FALSE)</f>
        <v>액세서리</v>
      </c>
      <c r="R1923" t="str">
        <f>VLOOKUP(D1923,상품정보!$A$2:$D$151,4,FALSE)</f>
        <v>브랜드E</v>
      </c>
    </row>
    <row r="1924" spans="1:18" x14ac:dyDescent="0.45">
      <c r="A1924" t="s">
        <v>400</v>
      </c>
      <c r="B1924" t="s">
        <v>2323</v>
      </c>
      <c r="C1924" t="s">
        <v>2517</v>
      </c>
      <c r="D1924" t="s">
        <v>2605</v>
      </c>
      <c r="E1924">
        <v>2</v>
      </c>
      <c r="F1924">
        <v>6800</v>
      </c>
      <c r="G1924">
        <v>1000</v>
      </c>
      <c r="H1924">
        <v>0</v>
      </c>
      <c r="I1924" t="s">
        <v>2652</v>
      </c>
      <c r="J1924" s="4">
        <f t="shared" si="90"/>
        <v>14600</v>
      </c>
      <c r="K1924" s="4" t="str">
        <f t="shared" si="91"/>
        <v>2024-01</v>
      </c>
      <c r="L1924" s="4" t="str">
        <f t="shared" si="92"/>
        <v>목</v>
      </c>
      <c r="M1924" s="2" t="str">
        <f>VLOOKUP($C1924, 고객정보!$A$2:$E$151, 2, FALSE)</f>
        <v>서울</v>
      </c>
      <c r="N1924" t="str">
        <f>VLOOKUP(C1924,고객정보!$A$2:$D$151,4,FALSE)</f>
        <v>L4</v>
      </c>
      <c r="O1924" t="str">
        <f>VLOOKUP($C1924, 고객정보!$A$2:$E$151, 5, FALSE)</f>
        <v>20대</v>
      </c>
      <c r="P1924" t="str">
        <f>VLOOKUP(D1924,상품정보!$A$2:$E$61,2,FALSE)</f>
        <v>핸드폰케이스</v>
      </c>
      <c r="Q1924" t="str">
        <f>VLOOKUP(D1924,상품정보!$A$2:$D$151,3,FALSE)</f>
        <v>액세서리</v>
      </c>
      <c r="R1924" t="str">
        <f>VLOOKUP(D1924,상품정보!$A$2:$D$151,4,FALSE)</f>
        <v>브랜드D</v>
      </c>
    </row>
    <row r="1925" spans="1:18" x14ac:dyDescent="0.45">
      <c r="A1925" t="s">
        <v>77</v>
      </c>
      <c r="B1925" t="s">
        <v>2324</v>
      </c>
      <c r="C1925" t="s">
        <v>2480</v>
      </c>
      <c r="D1925" t="s">
        <v>2598</v>
      </c>
      <c r="E1925">
        <v>1</v>
      </c>
      <c r="F1925">
        <v>77300</v>
      </c>
      <c r="G1925">
        <v>500</v>
      </c>
      <c r="H1925">
        <v>0</v>
      </c>
      <c r="I1925" t="s">
        <v>2652</v>
      </c>
      <c r="J1925" s="4">
        <f t="shared" si="90"/>
        <v>77800</v>
      </c>
      <c r="K1925" s="4" t="str">
        <f t="shared" si="91"/>
        <v>2024-01</v>
      </c>
      <c r="L1925" s="4" t="str">
        <f t="shared" si="92"/>
        <v>화</v>
      </c>
      <c r="M1925" s="2" t="str">
        <f>VLOOKUP($C1925, 고객정보!$A$2:$E$151, 2, FALSE)</f>
        <v>서울</v>
      </c>
      <c r="N1925" t="str">
        <f>VLOOKUP(C1925,고객정보!$A$2:$D$151,4,FALSE)</f>
        <v>L1</v>
      </c>
      <c r="O1925" t="str">
        <f>VLOOKUP($C1925, 고객정보!$A$2:$E$151, 5, FALSE)</f>
        <v>20대</v>
      </c>
      <c r="P1925" t="str">
        <f>VLOOKUP(D1925,상품정보!$A$2:$E$61,2,FALSE)</f>
        <v>청바지</v>
      </c>
      <c r="Q1925" t="str">
        <f>VLOOKUP(D1925,상품정보!$A$2:$D$151,3,FALSE)</f>
        <v>의류</v>
      </c>
      <c r="R1925" t="str">
        <f>VLOOKUP(D1925,상품정보!$A$2:$D$151,4,FALSE)</f>
        <v>브랜드F</v>
      </c>
    </row>
    <row r="1926" spans="1:18" x14ac:dyDescent="0.45">
      <c r="A1926" t="s">
        <v>111</v>
      </c>
      <c r="B1926" t="s">
        <v>2325</v>
      </c>
      <c r="C1926" t="s">
        <v>2410</v>
      </c>
      <c r="D1926" t="s">
        <v>2560</v>
      </c>
      <c r="E1926">
        <v>1</v>
      </c>
      <c r="F1926">
        <v>60600</v>
      </c>
      <c r="G1926">
        <v>0</v>
      </c>
      <c r="H1926">
        <v>2200</v>
      </c>
      <c r="I1926" t="s">
        <v>2613</v>
      </c>
      <c r="J1926" s="4">
        <f t="shared" si="90"/>
        <v>58400</v>
      </c>
      <c r="K1926" s="4" t="str">
        <f t="shared" si="91"/>
        <v>2024-12</v>
      </c>
      <c r="L1926" s="4" t="str">
        <f t="shared" si="92"/>
        <v>토</v>
      </c>
      <c r="M1926" s="2" t="str">
        <f>VLOOKUP($C1926, 고객정보!$A$2:$E$151, 2, FALSE)</f>
        <v>대전</v>
      </c>
      <c r="N1926" t="str">
        <f>VLOOKUP(C1926,고객정보!$A$2:$D$151,4,FALSE)</f>
        <v>L2</v>
      </c>
      <c r="O1926" t="str">
        <f>VLOOKUP($C1926, 고객정보!$A$2:$E$151, 5, FALSE)</f>
        <v>10대</v>
      </c>
      <c r="P1926" t="str">
        <f>VLOOKUP(D1926,상품정보!$A$2:$E$61,2,FALSE)</f>
        <v>반팔 티셔츠</v>
      </c>
      <c r="Q1926" t="str">
        <f>VLOOKUP(D1926,상품정보!$A$2:$D$151,3,FALSE)</f>
        <v>의류</v>
      </c>
      <c r="R1926" t="str">
        <f>VLOOKUP(D1926,상품정보!$A$2:$D$151,4,FALSE)</f>
        <v>브랜드F</v>
      </c>
    </row>
    <row r="1927" spans="1:18" x14ac:dyDescent="0.45">
      <c r="A1927" t="s">
        <v>240</v>
      </c>
      <c r="B1927" t="s">
        <v>2326</v>
      </c>
      <c r="C1927" t="s">
        <v>2449</v>
      </c>
      <c r="D1927" t="s">
        <v>2553</v>
      </c>
      <c r="E1927">
        <v>5</v>
      </c>
      <c r="F1927">
        <v>63400</v>
      </c>
      <c r="G1927">
        <v>500</v>
      </c>
      <c r="H1927">
        <v>0</v>
      </c>
      <c r="I1927" t="s">
        <v>2652</v>
      </c>
      <c r="J1927" s="4">
        <f t="shared" si="90"/>
        <v>317500</v>
      </c>
      <c r="K1927" s="4" t="str">
        <f t="shared" si="91"/>
        <v>2024-03</v>
      </c>
      <c r="L1927" s="4" t="str">
        <f t="shared" si="92"/>
        <v>목</v>
      </c>
      <c r="M1927" s="2" t="str">
        <f>VLOOKUP($C1927, 고객정보!$A$2:$E$151, 2, FALSE)</f>
        <v>대구</v>
      </c>
      <c r="N1927" t="str">
        <f>VLOOKUP(C1927,고객정보!$A$2:$D$151,4,FALSE)</f>
        <v>L5</v>
      </c>
      <c r="O1927" t="str">
        <f>VLOOKUP($C1927, 고객정보!$A$2:$E$151, 5, FALSE)</f>
        <v>40대</v>
      </c>
      <c r="P1927" t="str">
        <f>VLOOKUP(D1927,상품정보!$A$2:$E$61,2,FALSE)</f>
        <v>귀걸이</v>
      </c>
      <c r="Q1927" t="str">
        <f>VLOOKUP(D1927,상품정보!$A$2:$D$151,3,FALSE)</f>
        <v>액세서리</v>
      </c>
      <c r="R1927" t="str">
        <f>VLOOKUP(D1927,상품정보!$A$2:$D$151,4,FALSE)</f>
        <v>브랜드F</v>
      </c>
    </row>
    <row r="1928" spans="1:18" x14ac:dyDescent="0.45">
      <c r="A1928" t="s">
        <v>182</v>
      </c>
      <c r="B1928" t="s">
        <v>2327</v>
      </c>
      <c r="C1928" t="s">
        <v>2538</v>
      </c>
      <c r="D1928" t="s">
        <v>2567</v>
      </c>
      <c r="E1928">
        <v>5</v>
      </c>
      <c r="F1928">
        <v>58600</v>
      </c>
      <c r="G1928">
        <v>500</v>
      </c>
      <c r="H1928">
        <v>0</v>
      </c>
      <c r="I1928" t="s">
        <v>2652</v>
      </c>
      <c r="J1928" s="4">
        <f t="shared" si="90"/>
        <v>293500</v>
      </c>
      <c r="K1928" s="4" t="str">
        <f t="shared" si="91"/>
        <v>2024-04</v>
      </c>
      <c r="L1928" s="4" t="str">
        <f t="shared" si="92"/>
        <v>목</v>
      </c>
      <c r="M1928" s="2" t="str">
        <f>VLOOKUP($C1928, 고객정보!$A$2:$E$151, 2, FALSE)</f>
        <v>대구</v>
      </c>
      <c r="N1928" t="str">
        <f>VLOOKUP(C1928,고객정보!$A$2:$D$151,4,FALSE)</f>
        <v>L4</v>
      </c>
      <c r="O1928" t="str">
        <f>VLOOKUP($C1928, 고객정보!$A$2:$E$151, 5, FALSE)</f>
        <v>40대</v>
      </c>
      <c r="P1928" t="str">
        <f>VLOOKUP(D1928,상품정보!$A$2:$E$61,2,FALSE)</f>
        <v>귀걸이</v>
      </c>
      <c r="Q1928" t="str">
        <f>VLOOKUP(D1928,상품정보!$A$2:$D$151,3,FALSE)</f>
        <v>액세서리</v>
      </c>
      <c r="R1928" t="str">
        <f>VLOOKUP(D1928,상품정보!$A$2:$D$151,4,FALSE)</f>
        <v>브랜드B</v>
      </c>
    </row>
    <row r="1929" spans="1:18" x14ac:dyDescent="0.45">
      <c r="A1929" t="s">
        <v>150</v>
      </c>
      <c r="B1929" t="s">
        <v>2328</v>
      </c>
      <c r="C1929" t="s">
        <v>2401</v>
      </c>
      <c r="D1929" t="s">
        <v>2606</v>
      </c>
      <c r="E1929">
        <v>2</v>
      </c>
      <c r="F1929">
        <v>15000</v>
      </c>
      <c r="G1929">
        <v>1000</v>
      </c>
      <c r="H1929">
        <v>0</v>
      </c>
      <c r="I1929" t="s">
        <v>2652</v>
      </c>
      <c r="J1929" s="4">
        <f t="shared" si="90"/>
        <v>31000</v>
      </c>
      <c r="K1929" s="4" t="str">
        <f t="shared" si="91"/>
        <v>2024-05</v>
      </c>
      <c r="L1929" s="4" t="str">
        <f t="shared" si="92"/>
        <v>목</v>
      </c>
      <c r="M1929" s="2" t="str">
        <f>VLOOKUP($C1929, 고객정보!$A$2:$E$151, 2, FALSE)</f>
        <v>대구</v>
      </c>
      <c r="N1929" t="str">
        <f>VLOOKUP(C1929,고객정보!$A$2:$D$151,4,FALSE)</f>
        <v>L2</v>
      </c>
      <c r="O1929" t="str">
        <f>VLOOKUP($C1929, 고객정보!$A$2:$E$151, 5, FALSE)</f>
        <v>30대</v>
      </c>
      <c r="P1929" t="str">
        <f>VLOOKUP(D1929,상품정보!$A$2:$E$61,2,FALSE)</f>
        <v>귀걸이</v>
      </c>
      <c r="Q1929" t="str">
        <f>VLOOKUP(D1929,상품정보!$A$2:$D$151,3,FALSE)</f>
        <v>액세서리</v>
      </c>
      <c r="R1929" t="str">
        <f>VLOOKUP(D1929,상품정보!$A$2:$D$151,4,FALSE)</f>
        <v>브랜드E</v>
      </c>
    </row>
    <row r="1930" spans="1:18" x14ac:dyDescent="0.45">
      <c r="A1930" t="s">
        <v>47</v>
      </c>
      <c r="B1930" t="s">
        <v>2329</v>
      </c>
      <c r="C1930" t="s">
        <v>2511</v>
      </c>
      <c r="D1930" t="s">
        <v>2581</v>
      </c>
      <c r="E1930">
        <v>1</v>
      </c>
      <c r="F1930">
        <v>72900</v>
      </c>
      <c r="G1930">
        <v>500</v>
      </c>
      <c r="H1930">
        <v>0</v>
      </c>
      <c r="I1930" t="s">
        <v>2652</v>
      </c>
      <c r="J1930" s="4">
        <f t="shared" si="90"/>
        <v>73400</v>
      </c>
      <c r="K1930" s="4" t="str">
        <f t="shared" si="91"/>
        <v>2024-11</v>
      </c>
      <c r="L1930" s="4" t="str">
        <f t="shared" si="92"/>
        <v>토</v>
      </c>
      <c r="M1930" s="2" t="str">
        <f>VLOOKUP($C1930, 고객정보!$A$2:$E$151, 2, FALSE)</f>
        <v>인천</v>
      </c>
      <c r="N1930" t="str">
        <f>VLOOKUP(C1930,고객정보!$A$2:$D$151,4,FALSE)</f>
        <v>L1</v>
      </c>
      <c r="O1930" t="str">
        <f>VLOOKUP($C1930, 고객정보!$A$2:$E$151, 5, FALSE)</f>
        <v>50대 이상</v>
      </c>
      <c r="P1930" t="str">
        <f>VLOOKUP(D1930,상품정보!$A$2:$E$61,2,FALSE)</f>
        <v>귀걸이</v>
      </c>
      <c r="Q1930" t="str">
        <f>VLOOKUP(D1930,상품정보!$A$2:$D$151,3,FALSE)</f>
        <v>액세서리</v>
      </c>
      <c r="R1930" t="str">
        <f>VLOOKUP(D1930,상품정보!$A$2:$D$151,4,FALSE)</f>
        <v>브랜드F</v>
      </c>
    </row>
    <row r="1931" spans="1:18" x14ac:dyDescent="0.45">
      <c r="A1931" t="s">
        <v>43</v>
      </c>
      <c r="B1931" t="s">
        <v>2330</v>
      </c>
      <c r="C1931" t="s">
        <v>2462</v>
      </c>
      <c r="D1931" t="s">
        <v>2568</v>
      </c>
      <c r="E1931">
        <v>3</v>
      </c>
      <c r="F1931">
        <v>16800</v>
      </c>
      <c r="G1931">
        <v>1000</v>
      </c>
      <c r="H1931">
        <v>0</v>
      </c>
      <c r="I1931" t="s">
        <v>2652</v>
      </c>
      <c r="J1931" s="4">
        <f t="shared" si="90"/>
        <v>51400</v>
      </c>
      <c r="K1931" s="4" t="str">
        <f t="shared" si="91"/>
        <v>2025-01</v>
      </c>
      <c r="L1931" s="4" t="str">
        <f t="shared" si="92"/>
        <v>화</v>
      </c>
      <c r="M1931" s="2" t="str">
        <f>VLOOKUP($C1931, 고객정보!$A$2:$E$151, 2, FALSE)</f>
        <v>광주</v>
      </c>
      <c r="N1931" t="str">
        <f>VLOOKUP(C1931,고객정보!$A$2:$D$151,4,FALSE)</f>
        <v>L5</v>
      </c>
      <c r="O1931" t="str">
        <f>VLOOKUP($C1931, 고객정보!$A$2:$E$151, 5, FALSE)</f>
        <v>50대 이상</v>
      </c>
      <c r="P1931" t="str">
        <f>VLOOKUP(D1931,상품정보!$A$2:$E$61,2,FALSE)</f>
        <v>청바지</v>
      </c>
      <c r="Q1931" t="str">
        <f>VLOOKUP(D1931,상품정보!$A$2:$D$151,3,FALSE)</f>
        <v>의류</v>
      </c>
      <c r="R1931" t="str">
        <f>VLOOKUP(D1931,상품정보!$A$2:$D$151,4,FALSE)</f>
        <v>브랜드C</v>
      </c>
    </row>
    <row r="1932" spans="1:18" x14ac:dyDescent="0.45">
      <c r="A1932" t="s">
        <v>384</v>
      </c>
      <c r="B1932" t="s">
        <v>2331</v>
      </c>
      <c r="C1932" t="s">
        <v>2501</v>
      </c>
      <c r="D1932" t="s">
        <v>2606</v>
      </c>
      <c r="E1932">
        <v>3</v>
      </c>
      <c r="F1932">
        <v>15000</v>
      </c>
      <c r="G1932">
        <v>500</v>
      </c>
      <c r="H1932">
        <v>0</v>
      </c>
      <c r="I1932" t="s">
        <v>2652</v>
      </c>
      <c r="J1932" s="4">
        <f t="shared" si="90"/>
        <v>45500</v>
      </c>
      <c r="K1932" s="4" t="str">
        <f t="shared" si="91"/>
        <v>2024-05</v>
      </c>
      <c r="L1932" s="4" t="str">
        <f t="shared" si="92"/>
        <v>토</v>
      </c>
      <c r="M1932" s="2" t="str">
        <f>VLOOKUP($C1932, 고객정보!$A$2:$E$151, 2, FALSE)</f>
        <v>서울</v>
      </c>
      <c r="N1932" t="str">
        <f>VLOOKUP(C1932,고객정보!$A$2:$D$151,4,FALSE)</f>
        <v>L4</v>
      </c>
      <c r="O1932" t="str">
        <f>VLOOKUP($C1932, 고객정보!$A$2:$E$151, 5, FALSE)</f>
        <v>50대 이상</v>
      </c>
      <c r="P1932" t="str">
        <f>VLOOKUP(D1932,상품정보!$A$2:$E$61,2,FALSE)</f>
        <v>귀걸이</v>
      </c>
      <c r="Q1932" t="str">
        <f>VLOOKUP(D1932,상품정보!$A$2:$D$151,3,FALSE)</f>
        <v>액세서리</v>
      </c>
      <c r="R1932" t="str">
        <f>VLOOKUP(D1932,상품정보!$A$2:$D$151,4,FALSE)</f>
        <v>브랜드E</v>
      </c>
    </row>
    <row r="1933" spans="1:18" x14ac:dyDescent="0.45">
      <c r="A1933" t="s">
        <v>92</v>
      </c>
      <c r="B1933" t="s">
        <v>2332</v>
      </c>
      <c r="C1933" t="s">
        <v>2541</v>
      </c>
      <c r="D1933" t="s">
        <v>2587</v>
      </c>
      <c r="E1933">
        <v>1</v>
      </c>
      <c r="F1933">
        <v>50200</v>
      </c>
      <c r="G1933">
        <v>0</v>
      </c>
      <c r="H1933">
        <v>0</v>
      </c>
      <c r="I1933" t="s">
        <v>2652</v>
      </c>
      <c r="J1933" s="4">
        <f t="shared" si="90"/>
        <v>50200</v>
      </c>
      <c r="K1933" s="4" t="str">
        <f t="shared" si="91"/>
        <v>2024-05</v>
      </c>
      <c r="L1933" s="4" t="str">
        <f t="shared" si="92"/>
        <v>화</v>
      </c>
      <c r="M1933" s="2" t="str">
        <f>VLOOKUP($C1933, 고객정보!$A$2:$E$151, 2, FALSE)</f>
        <v>대구</v>
      </c>
      <c r="N1933" t="str">
        <f>VLOOKUP(C1933,고객정보!$A$2:$D$151,4,FALSE)</f>
        <v>L5</v>
      </c>
      <c r="O1933" t="str">
        <f>VLOOKUP($C1933, 고객정보!$A$2:$E$151, 5, FALSE)</f>
        <v>30대</v>
      </c>
      <c r="P1933" t="str">
        <f>VLOOKUP(D1933,상품정보!$A$2:$E$61,2,FALSE)</f>
        <v>반지</v>
      </c>
      <c r="Q1933" t="str">
        <f>VLOOKUP(D1933,상품정보!$A$2:$D$151,3,FALSE)</f>
        <v>액세서리</v>
      </c>
      <c r="R1933" t="str">
        <f>VLOOKUP(D1933,상품정보!$A$2:$D$151,4,FALSE)</f>
        <v>브랜드B</v>
      </c>
    </row>
    <row r="1934" spans="1:18" x14ac:dyDescent="0.45">
      <c r="A1934" t="s">
        <v>347</v>
      </c>
      <c r="B1934" t="s">
        <v>2333</v>
      </c>
      <c r="C1934" t="s">
        <v>2497</v>
      </c>
      <c r="D1934" t="s">
        <v>2559</v>
      </c>
      <c r="E1934">
        <v>4</v>
      </c>
      <c r="F1934">
        <v>5400</v>
      </c>
      <c r="G1934">
        <v>0</v>
      </c>
      <c r="H1934">
        <v>0</v>
      </c>
      <c r="I1934" t="s">
        <v>2652</v>
      </c>
      <c r="J1934" s="4">
        <f t="shared" si="90"/>
        <v>21600</v>
      </c>
      <c r="K1934" s="4" t="str">
        <f t="shared" si="91"/>
        <v>2024-06</v>
      </c>
      <c r="L1934" s="4" t="str">
        <f t="shared" si="92"/>
        <v>수</v>
      </c>
      <c r="M1934" s="2" t="str">
        <f>VLOOKUP($C1934, 고객정보!$A$2:$E$151, 2, FALSE)</f>
        <v>서울</v>
      </c>
      <c r="N1934" t="str">
        <f>VLOOKUP(C1934,고객정보!$A$2:$D$151,4,FALSE)</f>
        <v>L3</v>
      </c>
      <c r="O1934" t="str">
        <f>VLOOKUP($C1934, 고객정보!$A$2:$E$151, 5, FALSE)</f>
        <v>10대</v>
      </c>
      <c r="P1934" t="str">
        <f>VLOOKUP(D1934,상품정보!$A$2:$E$61,2,FALSE)</f>
        <v>반지</v>
      </c>
      <c r="Q1934" t="str">
        <f>VLOOKUP(D1934,상품정보!$A$2:$D$151,3,FALSE)</f>
        <v>액세서리</v>
      </c>
      <c r="R1934" t="str">
        <f>VLOOKUP(D1934,상품정보!$A$2:$D$151,4,FALSE)</f>
        <v>브랜드D</v>
      </c>
    </row>
    <row r="1935" spans="1:18" x14ac:dyDescent="0.45">
      <c r="A1935" t="s">
        <v>340</v>
      </c>
      <c r="B1935" t="s">
        <v>2334</v>
      </c>
      <c r="C1935" t="s">
        <v>2497</v>
      </c>
      <c r="D1935" t="s">
        <v>2605</v>
      </c>
      <c r="E1935">
        <v>3</v>
      </c>
      <c r="F1935">
        <v>6800</v>
      </c>
      <c r="G1935">
        <v>1500</v>
      </c>
      <c r="H1935">
        <v>0</v>
      </c>
      <c r="I1935" t="s">
        <v>2652</v>
      </c>
      <c r="J1935" s="4">
        <f t="shared" si="90"/>
        <v>21900</v>
      </c>
      <c r="K1935" s="4" t="str">
        <f t="shared" si="91"/>
        <v>2024-04</v>
      </c>
      <c r="L1935" s="4" t="str">
        <f t="shared" si="92"/>
        <v>월</v>
      </c>
      <c r="M1935" s="2" t="str">
        <f>VLOOKUP($C1935, 고객정보!$A$2:$E$151, 2, FALSE)</f>
        <v>서울</v>
      </c>
      <c r="N1935" t="str">
        <f>VLOOKUP(C1935,고객정보!$A$2:$D$151,4,FALSE)</f>
        <v>L3</v>
      </c>
      <c r="O1935" t="str">
        <f>VLOOKUP($C1935, 고객정보!$A$2:$E$151, 5, FALSE)</f>
        <v>10대</v>
      </c>
      <c r="P1935" t="str">
        <f>VLOOKUP(D1935,상품정보!$A$2:$E$61,2,FALSE)</f>
        <v>핸드폰케이스</v>
      </c>
      <c r="Q1935" t="str">
        <f>VLOOKUP(D1935,상품정보!$A$2:$D$151,3,FALSE)</f>
        <v>액세서리</v>
      </c>
      <c r="R1935" t="str">
        <f>VLOOKUP(D1935,상품정보!$A$2:$D$151,4,FALSE)</f>
        <v>브랜드D</v>
      </c>
    </row>
    <row r="1936" spans="1:18" x14ac:dyDescent="0.45">
      <c r="A1936" t="s">
        <v>348</v>
      </c>
      <c r="B1936" t="s">
        <v>2335</v>
      </c>
      <c r="C1936" t="s">
        <v>2470</v>
      </c>
      <c r="D1936" t="s">
        <v>2571</v>
      </c>
      <c r="E1936">
        <v>4</v>
      </c>
      <c r="F1936">
        <v>55600</v>
      </c>
      <c r="G1936">
        <v>2000</v>
      </c>
      <c r="H1936">
        <v>0</v>
      </c>
      <c r="I1936" t="s">
        <v>2652</v>
      </c>
      <c r="J1936" s="4">
        <f t="shared" si="90"/>
        <v>224400</v>
      </c>
      <c r="K1936" s="4" t="str">
        <f t="shared" si="91"/>
        <v>2024-04</v>
      </c>
      <c r="L1936" s="4" t="str">
        <f t="shared" si="92"/>
        <v>금</v>
      </c>
      <c r="M1936" s="2" t="str">
        <f>VLOOKUP($C1936, 고객정보!$A$2:$E$151, 2, FALSE)</f>
        <v>대전</v>
      </c>
      <c r="N1936" t="str">
        <f>VLOOKUP(C1936,고객정보!$A$2:$D$151,4,FALSE)</f>
        <v>L5</v>
      </c>
      <c r="O1936" t="str">
        <f>VLOOKUP($C1936, 고객정보!$A$2:$E$151, 5, FALSE)</f>
        <v>20대</v>
      </c>
      <c r="P1936" t="str">
        <f>VLOOKUP(D1936,상품정보!$A$2:$E$61,2,FALSE)</f>
        <v>자켓</v>
      </c>
      <c r="Q1936" t="str">
        <f>VLOOKUP(D1936,상품정보!$A$2:$D$151,3,FALSE)</f>
        <v>의류</v>
      </c>
      <c r="R1936" t="str">
        <f>VLOOKUP(D1936,상품정보!$A$2:$D$151,4,FALSE)</f>
        <v>브랜드B</v>
      </c>
    </row>
    <row r="1937" spans="1:18" x14ac:dyDescent="0.45">
      <c r="A1937" t="s">
        <v>67</v>
      </c>
      <c r="B1937" t="s">
        <v>2336</v>
      </c>
      <c r="C1937" t="s">
        <v>2540</v>
      </c>
      <c r="D1937" t="s">
        <v>2604</v>
      </c>
      <c r="E1937">
        <v>4</v>
      </c>
      <c r="F1937">
        <v>9700</v>
      </c>
      <c r="G1937">
        <v>0</v>
      </c>
      <c r="H1937">
        <v>13300</v>
      </c>
      <c r="I1937" t="s">
        <v>2613</v>
      </c>
      <c r="J1937" s="4">
        <f t="shared" si="90"/>
        <v>25500</v>
      </c>
      <c r="K1937" s="4" t="str">
        <f t="shared" si="91"/>
        <v>2024-02</v>
      </c>
      <c r="L1937" s="4" t="str">
        <f t="shared" si="92"/>
        <v>일</v>
      </c>
      <c r="M1937" s="2" t="str">
        <f>VLOOKUP($C1937, 고객정보!$A$2:$E$151, 2, FALSE)</f>
        <v>서울</v>
      </c>
      <c r="N1937" t="str">
        <f>VLOOKUP(C1937,고객정보!$A$2:$D$151,4,FALSE)</f>
        <v>L4</v>
      </c>
      <c r="O1937" t="str">
        <f>VLOOKUP($C1937, 고객정보!$A$2:$E$151, 5, FALSE)</f>
        <v>50대 이상</v>
      </c>
      <c r="P1937" t="str">
        <f>VLOOKUP(D1937,상품정보!$A$2:$E$61,2,FALSE)</f>
        <v>반팔 티셔츠</v>
      </c>
      <c r="Q1937" t="str">
        <f>VLOOKUP(D1937,상품정보!$A$2:$D$151,3,FALSE)</f>
        <v>의류</v>
      </c>
      <c r="R1937" t="str">
        <f>VLOOKUP(D1937,상품정보!$A$2:$D$151,4,FALSE)</f>
        <v>브랜드E</v>
      </c>
    </row>
    <row r="1938" spans="1:18" x14ac:dyDescent="0.45">
      <c r="A1938" t="s">
        <v>11</v>
      </c>
      <c r="B1938" t="s">
        <v>2337</v>
      </c>
      <c r="C1938" t="s">
        <v>2518</v>
      </c>
      <c r="D1938" t="s">
        <v>2561</v>
      </c>
      <c r="E1938">
        <v>4</v>
      </c>
      <c r="F1938">
        <v>63300</v>
      </c>
      <c r="G1938">
        <v>0</v>
      </c>
      <c r="H1938">
        <v>0</v>
      </c>
      <c r="I1938" t="s">
        <v>2652</v>
      </c>
      <c r="J1938" s="4">
        <f t="shared" si="90"/>
        <v>253200</v>
      </c>
      <c r="K1938" s="4" t="str">
        <f t="shared" si="91"/>
        <v>2024-04</v>
      </c>
      <c r="L1938" s="4" t="str">
        <f t="shared" si="92"/>
        <v>일</v>
      </c>
      <c r="M1938" s="2" t="str">
        <f>VLOOKUP($C1938, 고객정보!$A$2:$E$151, 2, FALSE)</f>
        <v>부산</v>
      </c>
      <c r="N1938" t="str">
        <f>VLOOKUP(C1938,고객정보!$A$2:$D$151,4,FALSE)</f>
        <v>L2</v>
      </c>
      <c r="O1938" t="str">
        <f>VLOOKUP($C1938, 고객정보!$A$2:$E$151, 5, FALSE)</f>
        <v>40대</v>
      </c>
      <c r="P1938" t="str">
        <f>VLOOKUP(D1938,상품정보!$A$2:$E$61,2,FALSE)</f>
        <v>귀걸이</v>
      </c>
      <c r="Q1938" t="str">
        <f>VLOOKUP(D1938,상품정보!$A$2:$D$151,3,FALSE)</f>
        <v>액세서리</v>
      </c>
      <c r="R1938" t="str">
        <f>VLOOKUP(D1938,상품정보!$A$2:$D$151,4,FALSE)</f>
        <v>브랜드B</v>
      </c>
    </row>
    <row r="1939" spans="1:18" x14ac:dyDescent="0.45">
      <c r="A1939" t="s">
        <v>349</v>
      </c>
      <c r="B1939" t="s">
        <v>2338</v>
      </c>
      <c r="C1939" t="s">
        <v>2438</v>
      </c>
      <c r="D1939" t="s">
        <v>2582</v>
      </c>
      <c r="E1939">
        <v>4</v>
      </c>
      <c r="F1939">
        <v>12500</v>
      </c>
      <c r="G1939">
        <v>0</v>
      </c>
      <c r="H1939">
        <v>19500</v>
      </c>
      <c r="I1939" t="s">
        <v>2611</v>
      </c>
      <c r="J1939" s="4">
        <f t="shared" si="90"/>
        <v>30500</v>
      </c>
      <c r="K1939" s="4" t="str">
        <f t="shared" si="91"/>
        <v>2025-01</v>
      </c>
      <c r="L1939" s="4" t="str">
        <f t="shared" si="92"/>
        <v>수</v>
      </c>
      <c r="M1939" s="2" t="str">
        <f>VLOOKUP($C1939, 고객정보!$A$2:$E$151, 2, FALSE)</f>
        <v>대구</v>
      </c>
      <c r="N1939" t="str">
        <f>VLOOKUP(C1939,고객정보!$A$2:$D$151,4,FALSE)</f>
        <v>L4</v>
      </c>
      <c r="O1939" t="str">
        <f>VLOOKUP($C1939, 고객정보!$A$2:$E$151, 5, FALSE)</f>
        <v>30대</v>
      </c>
      <c r="P1939" t="str">
        <f>VLOOKUP(D1939,상품정보!$A$2:$E$61,2,FALSE)</f>
        <v>셔츠</v>
      </c>
      <c r="Q1939" t="str">
        <f>VLOOKUP(D1939,상품정보!$A$2:$D$151,3,FALSE)</f>
        <v>의류</v>
      </c>
      <c r="R1939" t="str">
        <f>VLOOKUP(D1939,상품정보!$A$2:$D$151,4,FALSE)</f>
        <v>브랜드D</v>
      </c>
    </row>
    <row r="1940" spans="1:18" x14ac:dyDescent="0.45">
      <c r="A1940" t="s">
        <v>184</v>
      </c>
      <c r="B1940" t="s">
        <v>2339</v>
      </c>
      <c r="C1940" t="s">
        <v>2482</v>
      </c>
      <c r="D1940" t="s">
        <v>2591</v>
      </c>
      <c r="E1940">
        <v>1</v>
      </c>
      <c r="F1940">
        <v>69200</v>
      </c>
      <c r="G1940">
        <v>500</v>
      </c>
      <c r="H1940">
        <v>0</v>
      </c>
      <c r="I1940" t="s">
        <v>2652</v>
      </c>
      <c r="J1940" s="4">
        <f t="shared" si="90"/>
        <v>69700</v>
      </c>
      <c r="K1940" s="4" t="str">
        <f t="shared" si="91"/>
        <v>2024-02</v>
      </c>
      <c r="L1940" s="4" t="str">
        <f t="shared" si="92"/>
        <v>수</v>
      </c>
      <c r="M1940" s="2" t="str">
        <f>VLOOKUP($C1940, 고객정보!$A$2:$E$151, 2, FALSE)</f>
        <v>서울</v>
      </c>
      <c r="N1940" t="str">
        <f>VLOOKUP(C1940,고객정보!$A$2:$D$151,4,FALSE)</f>
        <v>L2</v>
      </c>
      <c r="O1940" t="str">
        <f>VLOOKUP($C1940, 고객정보!$A$2:$E$151, 5, FALSE)</f>
        <v>30대</v>
      </c>
      <c r="P1940" t="str">
        <f>VLOOKUP(D1940,상품정보!$A$2:$E$61,2,FALSE)</f>
        <v>셔츠</v>
      </c>
      <c r="Q1940" t="str">
        <f>VLOOKUP(D1940,상품정보!$A$2:$D$151,3,FALSE)</f>
        <v>의류</v>
      </c>
      <c r="R1940" t="str">
        <f>VLOOKUP(D1940,상품정보!$A$2:$D$151,4,FALSE)</f>
        <v>브랜드F</v>
      </c>
    </row>
    <row r="1941" spans="1:18" x14ac:dyDescent="0.45">
      <c r="A1941" t="s">
        <v>322</v>
      </c>
      <c r="B1941" t="s">
        <v>2340</v>
      </c>
      <c r="C1941" t="s">
        <v>2421</v>
      </c>
      <c r="D1941" t="s">
        <v>2563</v>
      </c>
      <c r="E1941">
        <v>3</v>
      </c>
      <c r="F1941">
        <v>6900</v>
      </c>
      <c r="G1941">
        <v>0</v>
      </c>
      <c r="H1941">
        <v>0</v>
      </c>
      <c r="I1941" t="s">
        <v>2652</v>
      </c>
      <c r="J1941" s="4">
        <f t="shared" si="90"/>
        <v>20700</v>
      </c>
      <c r="K1941" s="4" t="str">
        <f t="shared" si="91"/>
        <v>2024-08</v>
      </c>
      <c r="L1941" s="4" t="str">
        <f t="shared" si="92"/>
        <v>금</v>
      </c>
      <c r="M1941" s="2" t="str">
        <f>VLOOKUP($C1941, 고객정보!$A$2:$E$151, 2, FALSE)</f>
        <v>부산</v>
      </c>
      <c r="N1941" t="str">
        <f>VLOOKUP(C1941,고객정보!$A$2:$D$151,4,FALSE)</f>
        <v>L3</v>
      </c>
      <c r="O1941" t="str">
        <f>VLOOKUP($C1941, 고객정보!$A$2:$E$151, 5, FALSE)</f>
        <v>30대</v>
      </c>
      <c r="P1941" t="str">
        <f>VLOOKUP(D1941,상품정보!$A$2:$E$61,2,FALSE)</f>
        <v>귀걸이</v>
      </c>
      <c r="Q1941" t="str">
        <f>VLOOKUP(D1941,상품정보!$A$2:$D$151,3,FALSE)</f>
        <v>액세서리</v>
      </c>
      <c r="R1941" t="str">
        <f>VLOOKUP(D1941,상품정보!$A$2:$D$151,4,FALSE)</f>
        <v>브랜드D</v>
      </c>
    </row>
    <row r="1942" spans="1:18" x14ac:dyDescent="0.45">
      <c r="A1942" t="s">
        <v>213</v>
      </c>
      <c r="B1942" t="s">
        <v>2341</v>
      </c>
      <c r="C1942" t="s">
        <v>2539</v>
      </c>
      <c r="D1942" t="s">
        <v>2590</v>
      </c>
      <c r="E1942">
        <v>4</v>
      </c>
      <c r="F1942">
        <v>68900</v>
      </c>
      <c r="G1942">
        <v>1000</v>
      </c>
      <c r="H1942">
        <v>0</v>
      </c>
      <c r="I1942" t="s">
        <v>2652</v>
      </c>
      <c r="J1942" s="4">
        <f t="shared" si="90"/>
        <v>276600</v>
      </c>
      <c r="K1942" s="4" t="str">
        <f t="shared" si="91"/>
        <v>2024-03</v>
      </c>
      <c r="L1942" s="4" t="str">
        <f t="shared" si="92"/>
        <v>일</v>
      </c>
      <c r="M1942" s="2" t="str">
        <f>VLOOKUP($C1942, 고객정보!$A$2:$E$151, 2, FALSE)</f>
        <v>서울</v>
      </c>
      <c r="N1942" t="str">
        <f>VLOOKUP(C1942,고객정보!$A$2:$D$151,4,FALSE)</f>
        <v>L1</v>
      </c>
      <c r="O1942" t="str">
        <f>VLOOKUP($C1942, 고객정보!$A$2:$E$151, 5, FALSE)</f>
        <v>50대 이상</v>
      </c>
      <c r="P1942" t="str">
        <f>VLOOKUP(D1942,상품정보!$A$2:$E$61,2,FALSE)</f>
        <v>반팔 티셔츠</v>
      </c>
      <c r="Q1942" t="str">
        <f>VLOOKUP(D1942,상품정보!$A$2:$D$151,3,FALSE)</f>
        <v>의류</v>
      </c>
      <c r="R1942" t="str">
        <f>VLOOKUP(D1942,상품정보!$A$2:$D$151,4,FALSE)</f>
        <v>브랜드A</v>
      </c>
    </row>
    <row r="1943" spans="1:18" x14ac:dyDescent="0.45">
      <c r="A1943" t="s">
        <v>114</v>
      </c>
      <c r="B1943" t="s">
        <v>2342</v>
      </c>
      <c r="C1943" t="s">
        <v>2490</v>
      </c>
      <c r="D1943" t="s">
        <v>2568</v>
      </c>
      <c r="E1943">
        <v>1</v>
      </c>
      <c r="F1943">
        <v>16800</v>
      </c>
      <c r="G1943">
        <v>1500</v>
      </c>
      <c r="H1943">
        <v>0</v>
      </c>
      <c r="I1943" t="s">
        <v>2652</v>
      </c>
      <c r="J1943" s="4">
        <f t="shared" si="90"/>
        <v>18300</v>
      </c>
      <c r="K1943" s="4" t="str">
        <f t="shared" si="91"/>
        <v>2024-12</v>
      </c>
      <c r="L1943" s="4" t="str">
        <f t="shared" si="92"/>
        <v>금</v>
      </c>
      <c r="M1943" s="2" t="str">
        <f>VLOOKUP($C1943, 고객정보!$A$2:$E$151, 2, FALSE)</f>
        <v>부산</v>
      </c>
      <c r="N1943" t="str">
        <f>VLOOKUP(C1943,고객정보!$A$2:$D$151,4,FALSE)</f>
        <v>L3</v>
      </c>
      <c r="O1943" t="str">
        <f>VLOOKUP($C1943, 고객정보!$A$2:$E$151, 5, FALSE)</f>
        <v>20대</v>
      </c>
      <c r="P1943" t="str">
        <f>VLOOKUP(D1943,상품정보!$A$2:$E$61,2,FALSE)</f>
        <v>청바지</v>
      </c>
      <c r="Q1943" t="str">
        <f>VLOOKUP(D1943,상품정보!$A$2:$D$151,3,FALSE)</f>
        <v>의류</v>
      </c>
      <c r="R1943" t="str">
        <f>VLOOKUP(D1943,상품정보!$A$2:$D$151,4,FALSE)</f>
        <v>브랜드C</v>
      </c>
    </row>
    <row r="1944" spans="1:18" x14ac:dyDescent="0.45">
      <c r="A1944" t="s">
        <v>228</v>
      </c>
      <c r="B1944" t="s">
        <v>2343</v>
      </c>
      <c r="C1944" t="s">
        <v>2549</v>
      </c>
      <c r="D1944" t="s">
        <v>2565</v>
      </c>
      <c r="E1944">
        <v>2</v>
      </c>
      <c r="F1944">
        <v>50000</v>
      </c>
      <c r="G1944">
        <v>0</v>
      </c>
      <c r="H1944">
        <v>1700</v>
      </c>
      <c r="I1944" t="s">
        <v>2614</v>
      </c>
      <c r="J1944" s="4">
        <f t="shared" si="90"/>
        <v>98300</v>
      </c>
      <c r="K1944" s="4" t="str">
        <f t="shared" si="91"/>
        <v>2024-12</v>
      </c>
      <c r="L1944" s="4" t="str">
        <f t="shared" si="92"/>
        <v>화</v>
      </c>
      <c r="M1944" s="2" t="str">
        <f>VLOOKUP($C1944, 고객정보!$A$2:$E$151, 2, FALSE)</f>
        <v>서울</v>
      </c>
      <c r="N1944" t="str">
        <f>VLOOKUP(C1944,고객정보!$A$2:$D$151,4,FALSE)</f>
        <v>L2</v>
      </c>
      <c r="O1944" t="str">
        <f>VLOOKUP($C1944, 고객정보!$A$2:$E$151, 5, FALSE)</f>
        <v>40대</v>
      </c>
      <c r="P1944" t="str">
        <f>VLOOKUP(D1944,상품정보!$A$2:$E$61,2,FALSE)</f>
        <v>핸드폰케이스</v>
      </c>
      <c r="Q1944" t="str">
        <f>VLOOKUP(D1944,상품정보!$A$2:$D$151,3,FALSE)</f>
        <v>액세서리</v>
      </c>
      <c r="R1944" t="str">
        <f>VLOOKUP(D1944,상품정보!$A$2:$D$151,4,FALSE)</f>
        <v>브랜드B</v>
      </c>
    </row>
    <row r="1945" spans="1:18" x14ac:dyDescent="0.45">
      <c r="A1945" t="s">
        <v>287</v>
      </c>
      <c r="B1945" t="s">
        <v>2344</v>
      </c>
      <c r="C1945" t="s">
        <v>2481</v>
      </c>
      <c r="D1945" t="s">
        <v>2590</v>
      </c>
      <c r="E1945">
        <v>4</v>
      </c>
      <c r="F1945">
        <v>68900</v>
      </c>
      <c r="G1945">
        <v>500</v>
      </c>
      <c r="H1945">
        <v>20000</v>
      </c>
      <c r="I1945" t="s">
        <v>2614</v>
      </c>
      <c r="J1945" s="4">
        <f t="shared" si="90"/>
        <v>256100</v>
      </c>
      <c r="K1945" s="4" t="str">
        <f t="shared" si="91"/>
        <v>2024-10</v>
      </c>
      <c r="L1945" s="4" t="str">
        <f t="shared" si="92"/>
        <v>월</v>
      </c>
      <c r="M1945" s="2" t="str">
        <f>VLOOKUP($C1945, 고객정보!$A$2:$E$151, 2, FALSE)</f>
        <v>부산</v>
      </c>
      <c r="N1945" t="str">
        <f>VLOOKUP(C1945,고객정보!$A$2:$D$151,4,FALSE)</f>
        <v>L5</v>
      </c>
      <c r="O1945" t="str">
        <f>VLOOKUP($C1945, 고객정보!$A$2:$E$151, 5, FALSE)</f>
        <v>20대</v>
      </c>
      <c r="P1945" t="str">
        <f>VLOOKUP(D1945,상품정보!$A$2:$E$61,2,FALSE)</f>
        <v>반팔 티셔츠</v>
      </c>
      <c r="Q1945" t="str">
        <f>VLOOKUP(D1945,상품정보!$A$2:$D$151,3,FALSE)</f>
        <v>의류</v>
      </c>
      <c r="R1945" t="str">
        <f>VLOOKUP(D1945,상품정보!$A$2:$D$151,4,FALSE)</f>
        <v>브랜드A</v>
      </c>
    </row>
    <row r="1946" spans="1:18" x14ac:dyDescent="0.45">
      <c r="A1946" t="s">
        <v>318</v>
      </c>
      <c r="B1946" t="s">
        <v>2345</v>
      </c>
      <c r="C1946" t="s">
        <v>2490</v>
      </c>
      <c r="D1946" t="s">
        <v>2554</v>
      </c>
      <c r="E1946">
        <v>4</v>
      </c>
      <c r="F1946">
        <v>12100</v>
      </c>
      <c r="G1946">
        <v>0</v>
      </c>
      <c r="H1946">
        <v>4800</v>
      </c>
      <c r="I1946" t="s">
        <v>2614</v>
      </c>
      <c r="J1946" s="4">
        <f t="shared" si="90"/>
        <v>43600</v>
      </c>
      <c r="K1946" s="4" t="str">
        <f t="shared" si="91"/>
        <v>2024-09</v>
      </c>
      <c r="L1946" s="4" t="str">
        <f t="shared" si="92"/>
        <v>일</v>
      </c>
      <c r="M1946" s="2" t="str">
        <f>VLOOKUP($C1946, 고객정보!$A$2:$E$151, 2, FALSE)</f>
        <v>부산</v>
      </c>
      <c r="N1946" t="str">
        <f>VLOOKUP(C1946,고객정보!$A$2:$D$151,4,FALSE)</f>
        <v>L3</v>
      </c>
      <c r="O1946" t="str">
        <f>VLOOKUP($C1946, 고객정보!$A$2:$E$151, 5, FALSE)</f>
        <v>20대</v>
      </c>
      <c r="P1946" t="str">
        <f>VLOOKUP(D1946,상품정보!$A$2:$E$61,2,FALSE)</f>
        <v>귀걸이</v>
      </c>
      <c r="Q1946" t="str">
        <f>VLOOKUP(D1946,상품정보!$A$2:$D$151,3,FALSE)</f>
        <v>액세서리</v>
      </c>
      <c r="R1946" t="str">
        <f>VLOOKUP(D1946,상품정보!$A$2:$D$151,4,FALSE)</f>
        <v>브랜드D</v>
      </c>
    </row>
    <row r="1947" spans="1:18" x14ac:dyDescent="0.45">
      <c r="A1947" t="s">
        <v>48</v>
      </c>
      <c r="B1947" t="s">
        <v>2346</v>
      </c>
      <c r="C1947" t="s">
        <v>2485</v>
      </c>
      <c r="D1947" t="s">
        <v>2575</v>
      </c>
      <c r="E1947">
        <v>1</v>
      </c>
      <c r="F1947">
        <v>7200</v>
      </c>
      <c r="G1947">
        <v>0</v>
      </c>
      <c r="H1947">
        <v>0</v>
      </c>
      <c r="I1947" t="s">
        <v>2652</v>
      </c>
      <c r="J1947" s="4">
        <f t="shared" si="90"/>
        <v>7200</v>
      </c>
      <c r="K1947" s="4" t="str">
        <f t="shared" si="91"/>
        <v>2024-10</v>
      </c>
      <c r="L1947" s="4" t="str">
        <f t="shared" si="92"/>
        <v>목</v>
      </c>
      <c r="M1947" s="2" t="str">
        <f>VLOOKUP($C1947, 고객정보!$A$2:$E$151, 2, FALSE)</f>
        <v>서울</v>
      </c>
      <c r="N1947" t="str">
        <f>VLOOKUP(C1947,고객정보!$A$2:$D$151,4,FALSE)</f>
        <v>L4</v>
      </c>
      <c r="O1947" t="str">
        <f>VLOOKUP($C1947, 고객정보!$A$2:$E$151, 5, FALSE)</f>
        <v>40대</v>
      </c>
      <c r="P1947" t="str">
        <f>VLOOKUP(D1947,상품정보!$A$2:$E$61,2,FALSE)</f>
        <v>반지</v>
      </c>
      <c r="Q1947" t="str">
        <f>VLOOKUP(D1947,상품정보!$A$2:$D$151,3,FALSE)</f>
        <v>액세서리</v>
      </c>
      <c r="R1947" t="str">
        <f>VLOOKUP(D1947,상품정보!$A$2:$D$151,4,FALSE)</f>
        <v>브랜드E</v>
      </c>
    </row>
    <row r="1948" spans="1:18" x14ac:dyDescent="0.45">
      <c r="A1948" t="s">
        <v>198</v>
      </c>
      <c r="B1948" t="s">
        <v>2347</v>
      </c>
      <c r="C1948" t="s">
        <v>2402</v>
      </c>
      <c r="D1948" t="s">
        <v>2594</v>
      </c>
      <c r="E1948">
        <v>4</v>
      </c>
      <c r="F1948">
        <v>73000</v>
      </c>
      <c r="G1948">
        <v>0</v>
      </c>
      <c r="H1948">
        <v>0</v>
      </c>
      <c r="I1948" t="s">
        <v>2652</v>
      </c>
      <c r="J1948" s="4">
        <f t="shared" si="90"/>
        <v>292000</v>
      </c>
      <c r="K1948" s="4" t="str">
        <f t="shared" si="91"/>
        <v>2024-12</v>
      </c>
      <c r="L1948" s="4" t="str">
        <f t="shared" si="92"/>
        <v>수</v>
      </c>
      <c r="M1948" s="2" t="str">
        <f>VLOOKUP($C1948, 고객정보!$A$2:$E$151, 2, FALSE)</f>
        <v>서울</v>
      </c>
      <c r="N1948" t="str">
        <f>VLOOKUP(C1948,고객정보!$A$2:$D$151,4,FALSE)</f>
        <v>L2</v>
      </c>
      <c r="O1948" t="str">
        <f>VLOOKUP($C1948, 고객정보!$A$2:$E$151, 5, FALSE)</f>
        <v>30대</v>
      </c>
      <c r="P1948" t="str">
        <f>VLOOKUP(D1948,상품정보!$A$2:$E$61,2,FALSE)</f>
        <v>자켓</v>
      </c>
      <c r="Q1948" t="str">
        <f>VLOOKUP(D1948,상품정보!$A$2:$D$151,3,FALSE)</f>
        <v>의류</v>
      </c>
      <c r="R1948" t="str">
        <f>VLOOKUP(D1948,상품정보!$A$2:$D$151,4,FALSE)</f>
        <v>브랜드A</v>
      </c>
    </row>
    <row r="1949" spans="1:18" x14ac:dyDescent="0.45">
      <c r="A1949" t="s">
        <v>68</v>
      </c>
      <c r="B1949" t="s">
        <v>2348</v>
      </c>
      <c r="C1949" t="s">
        <v>2545</v>
      </c>
      <c r="D1949" t="s">
        <v>2580</v>
      </c>
      <c r="E1949">
        <v>5</v>
      </c>
      <c r="F1949">
        <v>77800</v>
      </c>
      <c r="G1949">
        <v>0</v>
      </c>
      <c r="H1949">
        <v>0</v>
      </c>
      <c r="I1949" t="s">
        <v>2652</v>
      </c>
      <c r="J1949" s="4">
        <f t="shared" si="90"/>
        <v>389000</v>
      </c>
      <c r="K1949" s="4" t="str">
        <f t="shared" si="91"/>
        <v>2024-10</v>
      </c>
      <c r="L1949" s="4" t="str">
        <f t="shared" si="92"/>
        <v>화</v>
      </c>
      <c r="M1949" s="2" t="str">
        <f>VLOOKUP($C1949, 고객정보!$A$2:$E$151, 2, FALSE)</f>
        <v>서울</v>
      </c>
      <c r="N1949" t="str">
        <f>VLOOKUP(C1949,고객정보!$A$2:$D$151,4,FALSE)</f>
        <v>L4</v>
      </c>
      <c r="O1949" t="str">
        <f>VLOOKUP($C1949, 고객정보!$A$2:$E$151, 5, FALSE)</f>
        <v>30대</v>
      </c>
      <c r="P1949" t="str">
        <f>VLOOKUP(D1949,상품정보!$A$2:$E$61,2,FALSE)</f>
        <v>청바지</v>
      </c>
      <c r="Q1949" t="str">
        <f>VLOOKUP(D1949,상품정보!$A$2:$D$151,3,FALSE)</f>
        <v>의류</v>
      </c>
      <c r="R1949" t="str">
        <f>VLOOKUP(D1949,상품정보!$A$2:$D$151,4,FALSE)</f>
        <v>브랜드A</v>
      </c>
    </row>
    <row r="1950" spans="1:18" x14ac:dyDescent="0.45">
      <c r="A1950" t="s">
        <v>32</v>
      </c>
      <c r="B1950" t="s">
        <v>2349</v>
      </c>
      <c r="C1950" t="s">
        <v>2529</v>
      </c>
      <c r="D1950" t="s">
        <v>2558</v>
      </c>
      <c r="E1950">
        <v>3</v>
      </c>
      <c r="F1950">
        <v>63700</v>
      </c>
      <c r="G1950">
        <v>0</v>
      </c>
      <c r="H1950">
        <v>0</v>
      </c>
      <c r="I1950" t="s">
        <v>2652</v>
      </c>
      <c r="J1950" s="4">
        <f t="shared" si="90"/>
        <v>191100</v>
      </c>
      <c r="K1950" s="4" t="str">
        <f t="shared" si="91"/>
        <v>2024-07</v>
      </c>
      <c r="L1950" s="4" t="str">
        <f t="shared" si="92"/>
        <v>수</v>
      </c>
      <c r="M1950" s="2" t="str">
        <f>VLOOKUP($C1950, 고객정보!$A$2:$E$151, 2, FALSE)</f>
        <v>인천</v>
      </c>
      <c r="N1950" t="str">
        <f>VLOOKUP(C1950,고객정보!$A$2:$D$151,4,FALSE)</f>
        <v>L2</v>
      </c>
      <c r="O1950" t="str">
        <f>VLOOKUP($C1950, 고객정보!$A$2:$E$151, 5, FALSE)</f>
        <v>30대</v>
      </c>
      <c r="P1950" t="str">
        <f>VLOOKUP(D1950,상품정보!$A$2:$E$61,2,FALSE)</f>
        <v>셔츠</v>
      </c>
      <c r="Q1950" t="str">
        <f>VLOOKUP(D1950,상품정보!$A$2:$D$151,3,FALSE)</f>
        <v>의류</v>
      </c>
      <c r="R1950" t="str">
        <f>VLOOKUP(D1950,상품정보!$A$2:$D$151,4,FALSE)</f>
        <v>브랜드A</v>
      </c>
    </row>
    <row r="1951" spans="1:18" x14ac:dyDescent="0.45">
      <c r="A1951" t="s">
        <v>233</v>
      </c>
      <c r="B1951" t="s">
        <v>2350</v>
      </c>
      <c r="C1951" t="s">
        <v>2443</v>
      </c>
      <c r="D1951" t="s">
        <v>2601</v>
      </c>
      <c r="E1951">
        <v>1</v>
      </c>
      <c r="F1951">
        <v>17000</v>
      </c>
      <c r="G1951">
        <v>0</v>
      </c>
      <c r="H1951">
        <v>0</v>
      </c>
      <c r="I1951" t="s">
        <v>2652</v>
      </c>
      <c r="J1951" s="4">
        <f t="shared" si="90"/>
        <v>17000</v>
      </c>
      <c r="K1951" s="4" t="str">
        <f t="shared" si="91"/>
        <v>2024-07</v>
      </c>
      <c r="L1951" s="4" t="str">
        <f t="shared" si="92"/>
        <v>토</v>
      </c>
      <c r="M1951" s="2" t="str">
        <f>VLOOKUP($C1951, 고객정보!$A$2:$E$151, 2, FALSE)</f>
        <v>서울</v>
      </c>
      <c r="N1951" t="str">
        <f>VLOOKUP(C1951,고객정보!$A$2:$D$151,4,FALSE)</f>
        <v>L4</v>
      </c>
      <c r="O1951" t="str">
        <f>VLOOKUP($C1951, 고객정보!$A$2:$E$151, 5, FALSE)</f>
        <v>30대</v>
      </c>
      <c r="P1951" t="str">
        <f>VLOOKUP(D1951,상품정보!$A$2:$E$61,2,FALSE)</f>
        <v>자켓</v>
      </c>
      <c r="Q1951" t="str">
        <f>VLOOKUP(D1951,상품정보!$A$2:$D$151,3,FALSE)</f>
        <v>의류</v>
      </c>
      <c r="R1951" t="str">
        <f>VLOOKUP(D1951,상품정보!$A$2:$D$151,4,FALSE)</f>
        <v>브랜드E</v>
      </c>
    </row>
    <row r="1952" spans="1:18" x14ac:dyDescent="0.45">
      <c r="A1952" t="s">
        <v>324</v>
      </c>
      <c r="B1952" t="s">
        <v>2351</v>
      </c>
      <c r="C1952" t="s">
        <v>2445</v>
      </c>
      <c r="D1952" t="s">
        <v>2610</v>
      </c>
      <c r="E1952">
        <v>3</v>
      </c>
      <c r="F1952">
        <v>18800</v>
      </c>
      <c r="G1952">
        <v>0</v>
      </c>
      <c r="H1952">
        <v>0</v>
      </c>
      <c r="I1952" t="s">
        <v>2652</v>
      </c>
      <c r="J1952" s="4">
        <f t="shared" si="90"/>
        <v>56400</v>
      </c>
      <c r="K1952" s="4" t="str">
        <f t="shared" si="91"/>
        <v>2024-02</v>
      </c>
      <c r="L1952" s="4" t="str">
        <f t="shared" si="92"/>
        <v>일</v>
      </c>
      <c r="M1952" s="2" t="str">
        <f>VLOOKUP($C1952, 고객정보!$A$2:$E$151, 2, FALSE)</f>
        <v>대구</v>
      </c>
      <c r="N1952" t="str">
        <f>VLOOKUP(C1952,고객정보!$A$2:$D$151,4,FALSE)</f>
        <v>L3</v>
      </c>
      <c r="O1952" t="str">
        <f>VLOOKUP($C1952, 고객정보!$A$2:$E$151, 5, FALSE)</f>
        <v>10대</v>
      </c>
      <c r="P1952" t="str">
        <f>VLOOKUP(D1952,상품정보!$A$2:$E$61,2,FALSE)</f>
        <v>자켓</v>
      </c>
      <c r="Q1952" t="str">
        <f>VLOOKUP(D1952,상품정보!$A$2:$D$151,3,FALSE)</f>
        <v>의류</v>
      </c>
      <c r="R1952" t="str">
        <f>VLOOKUP(D1952,상품정보!$A$2:$D$151,4,FALSE)</f>
        <v>브랜드E</v>
      </c>
    </row>
    <row r="1953" spans="1:18" x14ac:dyDescent="0.45">
      <c r="A1953" t="s">
        <v>160</v>
      </c>
      <c r="B1953" t="s">
        <v>2352</v>
      </c>
      <c r="C1953" t="s">
        <v>2413</v>
      </c>
      <c r="D1953" t="s">
        <v>2557</v>
      </c>
      <c r="E1953">
        <v>3</v>
      </c>
      <c r="F1953">
        <v>77700</v>
      </c>
      <c r="G1953">
        <v>2000</v>
      </c>
      <c r="H1953">
        <v>0</v>
      </c>
      <c r="I1953" t="s">
        <v>2652</v>
      </c>
      <c r="J1953" s="4">
        <f t="shared" si="90"/>
        <v>235100</v>
      </c>
      <c r="K1953" s="4" t="str">
        <f t="shared" si="91"/>
        <v>2024-11</v>
      </c>
      <c r="L1953" s="4" t="str">
        <f t="shared" si="92"/>
        <v>수</v>
      </c>
      <c r="M1953" s="2" t="str">
        <f>VLOOKUP($C1953, 고객정보!$A$2:$E$151, 2, FALSE)</f>
        <v>서울</v>
      </c>
      <c r="N1953" t="str">
        <f>VLOOKUP(C1953,고객정보!$A$2:$D$151,4,FALSE)</f>
        <v>L5</v>
      </c>
      <c r="O1953" t="str">
        <f>VLOOKUP($C1953, 고객정보!$A$2:$E$151, 5, FALSE)</f>
        <v>30대</v>
      </c>
      <c r="P1953" t="str">
        <f>VLOOKUP(D1953,상품정보!$A$2:$E$61,2,FALSE)</f>
        <v>귀걸이</v>
      </c>
      <c r="Q1953" t="str">
        <f>VLOOKUP(D1953,상품정보!$A$2:$D$151,3,FALSE)</f>
        <v>액세서리</v>
      </c>
      <c r="R1953" t="str">
        <f>VLOOKUP(D1953,상품정보!$A$2:$D$151,4,FALSE)</f>
        <v>브랜드B</v>
      </c>
    </row>
    <row r="1954" spans="1:18" x14ac:dyDescent="0.45">
      <c r="A1954" t="s">
        <v>83</v>
      </c>
      <c r="B1954" t="s">
        <v>2353</v>
      </c>
      <c r="C1954" t="s">
        <v>2448</v>
      </c>
      <c r="D1954" t="s">
        <v>2604</v>
      </c>
      <c r="E1954">
        <v>5</v>
      </c>
      <c r="F1954">
        <v>9700</v>
      </c>
      <c r="G1954">
        <v>500</v>
      </c>
      <c r="H1954">
        <v>0</v>
      </c>
      <c r="I1954" t="s">
        <v>2652</v>
      </c>
      <c r="J1954" s="4">
        <f t="shared" si="90"/>
        <v>49000</v>
      </c>
      <c r="K1954" s="4" t="str">
        <f t="shared" si="91"/>
        <v>2024-01</v>
      </c>
      <c r="L1954" s="4" t="str">
        <f t="shared" si="92"/>
        <v>일</v>
      </c>
      <c r="M1954" s="2" t="str">
        <f>VLOOKUP($C1954, 고객정보!$A$2:$E$151, 2, FALSE)</f>
        <v>광주</v>
      </c>
      <c r="N1954" t="str">
        <f>VLOOKUP(C1954,고객정보!$A$2:$D$151,4,FALSE)</f>
        <v>L3</v>
      </c>
      <c r="O1954" t="str">
        <f>VLOOKUP($C1954, 고객정보!$A$2:$E$151, 5, FALSE)</f>
        <v>50대 이상</v>
      </c>
      <c r="P1954" t="str">
        <f>VLOOKUP(D1954,상품정보!$A$2:$E$61,2,FALSE)</f>
        <v>반팔 티셔츠</v>
      </c>
      <c r="Q1954" t="str">
        <f>VLOOKUP(D1954,상품정보!$A$2:$D$151,3,FALSE)</f>
        <v>의류</v>
      </c>
      <c r="R1954" t="str">
        <f>VLOOKUP(D1954,상품정보!$A$2:$D$151,4,FALSE)</f>
        <v>브랜드E</v>
      </c>
    </row>
    <row r="1955" spans="1:18" x14ac:dyDescent="0.45">
      <c r="A1955" t="s">
        <v>331</v>
      </c>
      <c r="B1955" t="s">
        <v>2354</v>
      </c>
      <c r="C1955" t="s">
        <v>2496</v>
      </c>
      <c r="D1955" t="s">
        <v>2567</v>
      </c>
      <c r="E1955">
        <v>2</v>
      </c>
      <c r="F1955">
        <v>58600</v>
      </c>
      <c r="G1955">
        <v>1000</v>
      </c>
      <c r="H1955">
        <v>2800</v>
      </c>
      <c r="I1955" t="s">
        <v>2612</v>
      </c>
      <c r="J1955" s="4">
        <f t="shared" si="90"/>
        <v>115400</v>
      </c>
      <c r="K1955" s="4" t="str">
        <f t="shared" si="91"/>
        <v>2024-06</v>
      </c>
      <c r="L1955" s="4" t="str">
        <f t="shared" si="92"/>
        <v>일</v>
      </c>
      <c r="M1955" s="2" t="str">
        <f>VLOOKUP($C1955, 고객정보!$A$2:$E$151, 2, FALSE)</f>
        <v>서울</v>
      </c>
      <c r="N1955" t="str">
        <f>VLOOKUP(C1955,고객정보!$A$2:$D$151,4,FALSE)</f>
        <v>L3</v>
      </c>
      <c r="O1955" t="str">
        <f>VLOOKUP($C1955, 고객정보!$A$2:$E$151, 5, FALSE)</f>
        <v>50대 이상</v>
      </c>
      <c r="P1955" t="str">
        <f>VLOOKUP(D1955,상품정보!$A$2:$E$61,2,FALSE)</f>
        <v>귀걸이</v>
      </c>
      <c r="Q1955" t="str">
        <f>VLOOKUP(D1955,상품정보!$A$2:$D$151,3,FALSE)</f>
        <v>액세서리</v>
      </c>
      <c r="R1955" t="str">
        <f>VLOOKUP(D1955,상품정보!$A$2:$D$151,4,FALSE)</f>
        <v>브랜드B</v>
      </c>
    </row>
    <row r="1956" spans="1:18" x14ac:dyDescent="0.45">
      <c r="A1956" t="s">
        <v>125</v>
      </c>
      <c r="B1956" t="s">
        <v>2355</v>
      </c>
      <c r="C1956" t="s">
        <v>2549</v>
      </c>
      <c r="D1956" t="s">
        <v>2590</v>
      </c>
      <c r="E1956">
        <v>1</v>
      </c>
      <c r="F1956">
        <v>68900</v>
      </c>
      <c r="G1956">
        <v>0</v>
      </c>
      <c r="H1956">
        <v>5800</v>
      </c>
      <c r="I1956" t="s">
        <v>2612</v>
      </c>
      <c r="J1956" s="4">
        <f t="shared" si="90"/>
        <v>63100</v>
      </c>
      <c r="K1956" s="4" t="str">
        <f t="shared" si="91"/>
        <v>2024-11</v>
      </c>
      <c r="L1956" s="4" t="str">
        <f t="shared" si="92"/>
        <v>월</v>
      </c>
      <c r="M1956" s="2" t="str">
        <f>VLOOKUP($C1956, 고객정보!$A$2:$E$151, 2, FALSE)</f>
        <v>서울</v>
      </c>
      <c r="N1956" t="str">
        <f>VLOOKUP(C1956,고객정보!$A$2:$D$151,4,FALSE)</f>
        <v>L2</v>
      </c>
      <c r="O1956" t="str">
        <f>VLOOKUP($C1956, 고객정보!$A$2:$E$151, 5, FALSE)</f>
        <v>40대</v>
      </c>
      <c r="P1956" t="str">
        <f>VLOOKUP(D1956,상품정보!$A$2:$E$61,2,FALSE)</f>
        <v>반팔 티셔츠</v>
      </c>
      <c r="Q1956" t="str">
        <f>VLOOKUP(D1956,상품정보!$A$2:$D$151,3,FALSE)</f>
        <v>의류</v>
      </c>
      <c r="R1956" t="str">
        <f>VLOOKUP(D1956,상품정보!$A$2:$D$151,4,FALSE)</f>
        <v>브랜드A</v>
      </c>
    </row>
    <row r="1957" spans="1:18" x14ac:dyDescent="0.45">
      <c r="A1957" t="s">
        <v>292</v>
      </c>
      <c r="B1957" t="s">
        <v>2356</v>
      </c>
      <c r="C1957" t="s">
        <v>2529</v>
      </c>
      <c r="D1957" t="s">
        <v>2583</v>
      </c>
      <c r="E1957">
        <v>1</v>
      </c>
      <c r="F1957">
        <v>6600</v>
      </c>
      <c r="G1957">
        <v>0</v>
      </c>
      <c r="H1957">
        <v>1600</v>
      </c>
      <c r="I1957" t="s">
        <v>2652</v>
      </c>
      <c r="J1957" s="4">
        <f t="shared" si="90"/>
        <v>5000</v>
      </c>
      <c r="K1957" s="4" t="str">
        <f t="shared" si="91"/>
        <v>2024-11</v>
      </c>
      <c r="L1957" s="4" t="str">
        <f t="shared" si="92"/>
        <v>화</v>
      </c>
      <c r="M1957" s="2" t="str">
        <f>VLOOKUP($C1957, 고객정보!$A$2:$E$151, 2, FALSE)</f>
        <v>인천</v>
      </c>
      <c r="N1957" t="str">
        <f>VLOOKUP(C1957,고객정보!$A$2:$D$151,4,FALSE)</f>
        <v>L2</v>
      </c>
      <c r="O1957" t="str">
        <f>VLOOKUP($C1957, 고객정보!$A$2:$E$151, 5, FALSE)</f>
        <v>30대</v>
      </c>
      <c r="P1957" t="str">
        <f>VLOOKUP(D1957,상품정보!$A$2:$E$61,2,FALSE)</f>
        <v>셔츠</v>
      </c>
      <c r="Q1957" t="str">
        <f>VLOOKUP(D1957,상품정보!$A$2:$D$151,3,FALSE)</f>
        <v>의류</v>
      </c>
      <c r="R1957" t="str">
        <f>VLOOKUP(D1957,상품정보!$A$2:$D$151,4,FALSE)</f>
        <v>브랜드E</v>
      </c>
    </row>
    <row r="1958" spans="1:18" x14ac:dyDescent="0.45">
      <c r="A1958" t="s">
        <v>35</v>
      </c>
      <c r="B1958" t="s">
        <v>2357</v>
      </c>
      <c r="C1958" t="s">
        <v>2470</v>
      </c>
      <c r="D1958" t="s">
        <v>2574</v>
      </c>
      <c r="E1958">
        <v>2</v>
      </c>
      <c r="F1958">
        <v>8600</v>
      </c>
      <c r="G1958">
        <v>0</v>
      </c>
      <c r="H1958">
        <v>0</v>
      </c>
      <c r="I1958" t="s">
        <v>2652</v>
      </c>
      <c r="J1958" s="4">
        <f t="shared" si="90"/>
        <v>17200</v>
      </c>
      <c r="K1958" s="4" t="str">
        <f t="shared" si="91"/>
        <v>2024-03</v>
      </c>
      <c r="L1958" s="4" t="str">
        <f t="shared" si="92"/>
        <v>화</v>
      </c>
      <c r="M1958" s="2" t="str">
        <f>VLOOKUP($C1958, 고객정보!$A$2:$E$151, 2, FALSE)</f>
        <v>대전</v>
      </c>
      <c r="N1958" t="str">
        <f>VLOOKUP(C1958,고객정보!$A$2:$D$151,4,FALSE)</f>
        <v>L5</v>
      </c>
      <c r="O1958" t="str">
        <f>VLOOKUP($C1958, 고객정보!$A$2:$E$151, 5, FALSE)</f>
        <v>20대</v>
      </c>
      <c r="P1958" t="str">
        <f>VLOOKUP(D1958,상품정보!$A$2:$E$61,2,FALSE)</f>
        <v>셔츠</v>
      </c>
      <c r="Q1958" t="str">
        <f>VLOOKUP(D1958,상품정보!$A$2:$D$151,3,FALSE)</f>
        <v>의류</v>
      </c>
      <c r="R1958" t="str">
        <f>VLOOKUP(D1958,상품정보!$A$2:$D$151,4,FALSE)</f>
        <v>브랜드D</v>
      </c>
    </row>
    <row r="1959" spans="1:18" x14ac:dyDescent="0.45">
      <c r="A1959" t="s">
        <v>170</v>
      </c>
      <c r="B1959" t="s">
        <v>2358</v>
      </c>
      <c r="C1959" t="s">
        <v>2483</v>
      </c>
      <c r="D1959" t="s">
        <v>2555</v>
      </c>
      <c r="E1959">
        <v>1</v>
      </c>
      <c r="F1959">
        <v>8300</v>
      </c>
      <c r="G1959">
        <v>0</v>
      </c>
      <c r="H1959">
        <v>0</v>
      </c>
      <c r="I1959" t="s">
        <v>2652</v>
      </c>
      <c r="J1959" s="4">
        <f t="shared" si="90"/>
        <v>8300</v>
      </c>
      <c r="K1959" s="4" t="str">
        <f t="shared" si="91"/>
        <v>2025-01</v>
      </c>
      <c r="L1959" s="4" t="str">
        <f t="shared" si="92"/>
        <v>금</v>
      </c>
      <c r="M1959" s="2" t="str">
        <f>VLOOKUP($C1959, 고객정보!$A$2:$E$151, 2, FALSE)</f>
        <v>인천</v>
      </c>
      <c r="N1959" t="str">
        <f>VLOOKUP(C1959,고객정보!$A$2:$D$151,4,FALSE)</f>
        <v>L1</v>
      </c>
      <c r="O1959" t="str">
        <f>VLOOKUP($C1959, 고객정보!$A$2:$E$151, 5, FALSE)</f>
        <v>30대</v>
      </c>
      <c r="P1959" t="str">
        <f>VLOOKUP(D1959,상품정보!$A$2:$E$61,2,FALSE)</f>
        <v>청바지</v>
      </c>
      <c r="Q1959" t="str">
        <f>VLOOKUP(D1959,상품정보!$A$2:$D$151,3,FALSE)</f>
        <v>의류</v>
      </c>
      <c r="R1959" t="str">
        <f>VLOOKUP(D1959,상품정보!$A$2:$D$151,4,FALSE)</f>
        <v>브랜드E</v>
      </c>
    </row>
    <row r="1960" spans="1:18" x14ac:dyDescent="0.45">
      <c r="A1960" t="s">
        <v>59</v>
      </c>
      <c r="B1960" t="s">
        <v>2359</v>
      </c>
      <c r="C1960" t="s">
        <v>2509</v>
      </c>
      <c r="D1960" t="s">
        <v>2583</v>
      </c>
      <c r="E1960">
        <v>4</v>
      </c>
      <c r="F1960">
        <v>6600</v>
      </c>
      <c r="G1960">
        <v>0</v>
      </c>
      <c r="H1960">
        <v>0</v>
      </c>
      <c r="I1960" t="s">
        <v>2652</v>
      </c>
      <c r="J1960" s="4">
        <f t="shared" si="90"/>
        <v>26400</v>
      </c>
      <c r="K1960" s="4" t="str">
        <f t="shared" si="91"/>
        <v>2024-02</v>
      </c>
      <c r="L1960" s="4" t="str">
        <f t="shared" si="92"/>
        <v>금</v>
      </c>
      <c r="M1960" s="2" t="str">
        <f>VLOOKUP($C1960, 고객정보!$A$2:$E$151, 2, FALSE)</f>
        <v>서울</v>
      </c>
      <c r="N1960" t="str">
        <f>VLOOKUP(C1960,고객정보!$A$2:$D$151,4,FALSE)</f>
        <v>L4</v>
      </c>
      <c r="O1960" t="str">
        <f>VLOOKUP($C1960, 고객정보!$A$2:$E$151, 5, FALSE)</f>
        <v>40대</v>
      </c>
      <c r="P1960" t="str">
        <f>VLOOKUP(D1960,상품정보!$A$2:$E$61,2,FALSE)</f>
        <v>셔츠</v>
      </c>
      <c r="Q1960" t="str">
        <f>VLOOKUP(D1960,상품정보!$A$2:$D$151,3,FALSE)</f>
        <v>의류</v>
      </c>
      <c r="R1960" t="str">
        <f>VLOOKUP(D1960,상품정보!$A$2:$D$151,4,FALSE)</f>
        <v>브랜드E</v>
      </c>
    </row>
    <row r="1961" spans="1:18" x14ac:dyDescent="0.45">
      <c r="A1961" t="s">
        <v>301</v>
      </c>
      <c r="B1961" t="s">
        <v>2360</v>
      </c>
      <c r="C1961" t="s">
        <v>2502</v>
      </c>
      <c r="D1961" t="s">
        <v>2593</v>
      </c>
      <c r="E1961">
        <v>3</v>
      </c>
      <c r="F1961">
        <v>74600</v>
      </c>
      <c r="G1961">
        <v>1000</v>
      </c>
      <c r="H1961">
        <v>10800</v>
      </c>
      <c r="I1961" t="s">
        <v>2614</v>
      </c>
      <c r="J1961" s="4">
        <f t="shared" si="90"/>
        <v>214000</v>
      </c>
      <c r="K1961" s="4" t="str">
        <f t="shared" si="91"/>
        <v>2024-09</v>
      </c>
      <c r="L1961" s="4" t="str">
        <f t="shared" si="92"/>
        <v>목</v>
      </c>
      <c r="M1961" s="2" t="str">
        <f>VLOOKUP($C1961, 고객정보!$A$2:$E$151, 2, FALSE)</f>
        <v>부산</v>
      </c>
      <c r="N1961" t="str">
        <f>VLOOKUP(C1961,고객정보!$A$2:$D$151,4,FALSE)</f>
        <v>L4</v>
      </c>
      <c r="O1961" t="str">
        <f>VLOOKUP($C1961, 고객정보!$A$2:$E$151, 5, FALSE)</f>
        <v>20대</v>
      </c>
      <c r="P1961" t="str">
        <f>VLOOKUP(D1961,상품정보!$A$2:$E$61,2,FALSE)</f>
        <v>반팔 티셔츠</v>
      </c>
      <c r="Q1961" t="str">
        <f>VLOOKUP(D1961,상품정보!$A$2:$D$151,3,FALSE)</f>
        <v>의류</v>
      </c>
      <c r="R1961" t="str">
        <f>VLOOKUP(D1961,상품정보!$A$2:$D$151,4,FALSE)</f>
        <v>브랜드B</v>
      </c>
    </row>
    <row r="1962" spans="1:18" x14ac:dyDescent="0.45">
      <c r="A1962" t="s">
        <v>242</v>
      </c>
      <c r="B1962" t="s">
        <v>2361</v>
      </c>
      <c r="C1962" t="s">
        <v>2445</v>
      </c>
      <c r="D1962" t="s">
        <v>2569</v>
      </c>
      <c r="E1962">
        <v>4</v>
      </c>
      <c r="F1962">
        <v>11400</v>
      </c>
      <c r="G1962">
        <v>0</v>
      </c>
      <c r="H1962">
        <v>0</v>
      </c>
      <c r="I1962" t="s">
        <v>2652</v>
      </c>
      <c r="J1962" s="4">
        <f t="shared" si="90"/>
        <v>45600</v>
      </c>
      <c r="K1962" s="4" t="str">
        <f t="shared" si="91"/>
        <v>2024-01</v>
      </c>
      <c r="L1962" s="4" t="str">
        <f t="shared" si="92"/>
        <v>화</v>
      </c>
      <c r="M1962" s="2" t="str">
        <f>VLOOKUP($C1962, 고객정보!$A$2:$E$151, 2, FALSE)</f>
        <v>대구</v>
      </c>
      <c r="N1962" t="str">
        <f>VLOOKUP(C1962,고객정보!$A$2:$D$151,4,FALSE)</f>
        <v>L3</v>
      </c>
      <c r="O1962" t="str">
        <f>VLOOKUP($C1962, 고객정보!$A$2:$E$151, 5, FALSE)</f>
        <v>10대</v>
      </c>
      <c r="P1962" t="str">
        <f>VLOOKUP(D1962,상품정보!$A$2:$E$61,2,FALSE)</f>
        <v>귀걸이</v>
      </c>
      <c r="Q1962" t="str">
        <f>VLOOKUP(D1962,상품정보!$A$2:$D$151,3,FALSE)</f>
        <v>액세서리</v>
      </c>
      <c r="R1962" t="str">
        <f>VLOOKUP(D1962,상품정보!$A$2:$D$151,4,FALSE)</f>
        <v>브랜드E</v>
      </c>
    </row>
    <row r="1963" spans="1:18" x14ac:dyDescent="0.45">
      <c r="A1963" t="s">
        <v>149</v>
      </c>
      <c r="B1963" t="s">
        <v>2362</v>
      </c>
      <c r="C1963" t="s">
        <v>2483</v>
      </c>
      <c r="D1963" t="s">
        <v>2558</v>
      </c>
      <c r="E1963">
        <v>1</v>
      </c>
      <c r="F1963">
        <v>63700</v>
      </c>
      <c r="G1963">
        <v>0</v>
      </c>
      <c r="H1963">
        <v>0</v>
      </c>
      <c r="I1963" t="s">
        <v>2652</v>
      </c>
      <c r="J1963" s="4">
        <f t="shared" si="90"/>
        <v>63700</v>
      </c>
      <c r="K1963" s="4" t="str">
        <f t="shared" si="91"/>
        <v>2024-06</v>
      </c>
      <c r="L1963" s="4" t="str">
        <f t="shared" si="92"/>
        <v>금</v>
      </c>
      <c r="M1963" s="2" t="str">
        <f>VLOOKUP($C1963, 고객정보!$A$2:$E$151, 2, FALSE)</f>
        <v>인천</v>
      </c>
      <c r="N1963" t="str">
        <f>VLOOKUP(C1963,고객정보!$A$2:$D$151,4,FALSE)</f>
        <v>L1</v>
      </c>
      <c r="O1963" t="str">
        <f>VLOOKUP($C1963, 고객정보!$A$2:$E$151, 5, FALSE)</f>
        <v>30대</v>
      </c>
      <c r="P1963" t="str">
        <f>VLOOKUP(D1963,상품정보!$A$2:$E$61,2,FALSE)</f>
        <v>셔츠</v>
      </c>
      <c r="Q1963" t="str">
        <f>VLOOKUP(D1963,상품정보!$A$2:$D$151,3,FALSE)</f>
        <v>의류</v>
      </c>
      <c r="R1963" t="str">
        <f>VLOOKUP(D1963,상품정보!$A$2:$D$151,4,FALSE)</f>
        <v>브랜드A</v>
      </c>
    </row>
    <row r="1964" spans="1:18" x14ac:dyDescent="0.45">
      <c r="A1964" t="s">
        <v>167</v>
      </c>
      <c r="B1964" t="s">
        <v>2363</v>
      </c>
      <c r="C1964" t="s">
        <v>2476</v>
      </c>
      <c r="D1964" t="s">
        <v>2575</v>
      </c>
      <c r="E1964">
        <v>1</v>
      </c>
      <c r="F1964">
        <v>7200</v>
      </c>
      <c r="G1964">
        <v>1000</v>
      </c>
      <c r="H1964">
        <v>1500</v>
      </c>
      <c r="I1964" t="s">
        <v>2611</v>
      </c>
      <c r="J1964" s="4">
        <f t="shared" si="90"/>
        <v>6700</v>
      </c>
      <c r="K1964" s="4" t="str">
        <f t="shared" si="91"/>
        <v>2024-04</v>
      </c>
      <c r="L1964" s="4" t="str">
        <f t="shared" si="92"/>
        <v>목</v>
      </c>
      <c r="M1964" s="2" t="str">
        <f>VLOOKUP($C1964, 고객정보!$A$2:$E$151, 2, FALSE)</f>
        <v>서울</v>
      </c>
      <c r="N1964" t="str">
        <f>VLOOKUP(C1964,고객정보!$A$2:$D$151,4,FALSE)</f>
        <v>L2</v>
      </c>
      <c r="O1964" t="str">
        <f>VLOOKUP($C1964, 고객정보!$A$2:$E$151, 5, FALSE)</f>
        <v>10대</v>
      </c>
      <c r="P1964" t="str">
        <f>VLOOKUP(D1964,상품정보!$A$2:$E$61,2,FALSE)</f>
        <v>반지</v>
      </c>
      <c r="Q1964" t="str">
        <f>VLOOKUP(D1964,상품정보!$A$2:$D$151,3,FALSE)</f>
        <v>액세서리</v>
      </c>
      <c r="R1964" t="str">
        <f>VLOOKUP(D1964,상품정보!$A$2:$D$151,4,FALSE)</f>
        <v>브랜드E</v>
      </c>
    </row>
    <row r="1965" spans="1:18" x14ac:dyDescent="0.45">
      <c r="A1965" t="s">
        <v>213</v>
      </c>
      <c r="B1965" t="s">
        <v>2364</v>
      </c>
      <c r="C1965" t="s">
        <v>2468</v>
      </c>
      <c r="D1965" t="s">
        <v>2581</v>
      </c>
      <c r="E1965">
        <v>5</v>
      </c>
      <c r="F1965">
        <v>72900</v>
      </c>
      <c r="G1965">
        <v>1500</v>
      </c>
      <c r="H1965">
        <v>0</v>
      </c>
      <c r="I1965" t="s">
        <v>2652</v>
      </c>
      <c r="J1965" s="4">
        <f t="shared" si="90"/>
        <v>366000</v>
      </c>
      <c r="K1965" s="4" t="str">
        <f t="shared" si="91"/>
        <v>2024-03</v>
      </c>
      <c r="L1965" s="4" t="str">
        <f t="shared" si="92"/>
        <v>일</v>
      </c>
      <c r="M1965" s="2" t="str">
        <f>VLOOKUP($C1965, 고객정보!$A$2:$E$151, 2, FALSE)</f>
        <v>부산</v>
      </c>
      <c r="N1965" t="str">
        <f>VLOOKUP(C1965,고객정보!$A$2:$D$151,4,FALSE)</f>
        <v>L5</v>
      </c>
      <c r="O1965" t="str">
        <f>VLOOKUP($C1965, 고객정보!$A$2:$E$151, 5, FALSE)</f>
        <v>20대</v>
      </c>
      <c r="P1965" t="str">
        <f>VLOOKUP(D1965,상품정보!$A$2:$E$61,2,FALSE)</f>
        <v>귀걸이</v>
      </c>
      <c r="Q1965" t="str">
        <f>VLOOKUP(D1965,상품정보!$A$2:$D$151,3,FALSE)</f>
        <v>액세서리</v>
      </c>
      <c r="R1965" t="str">
        <f>VLOOKUP(D1965,상품정보!$A$2:$D$151,4,FALSE)</f>
        <v>브랜드F</v>
      </c>
    </row>
    <row r="1966" spans="1:18" x14ac:dyDescent="0.45">
      <c r="A1966" t="s">
        <v>205</v>
      </c>
      <c r="B1966" t="s">
        <v>2365</v>
      </c>
      <c r="C1966" t="s">
        <v>2465</v>
      </c>
      <c r="D1966" t="s">
        <v>2607</v>
      </c>
      <c r="E1966">
        <v>1</v>
      </c>
      <c r="F1966">
        <v>16000</v>
      </c>
      <c r="G1966">
        <v>2000</v>
      </c>
      <c r="H1966">
        <v>0</v>
      </c>
      <c r="I1966" t="s">
        <v>2652</v>
      </c>
      <c r="J1966" s="4">
        <f t="shared" si="90"/>
        <v>18000</v>
      </c>
      <c r="K1966" s="4" t="str">
        <f t="shared" si="91"/>
        <v>2024-01</v>
      </c>
      <c r="L1966" s="4" t="str">
        <f t="shared" si="92"/>
        <v>금</v>
      </c>
      <c r="M1966" s="2" t="str">
        <f>VLOOKUP($C1966, 고객정보!$A$2:$E$151, 2, FALSE)</f>
        <v>서울</v>
      </c>
      <c r="N1966" t="str">
        <f>VLOOKUP(C1966,고객정보!$A$2:$D$151,4,FALSE)</f>
        <v>L1</v>
      </c>
      <c r="O1966" t="str">
        <f>VLOOKUP($C1966, 고객정보!$A$2:$E$151, 5, FALSE)</f>
        <v>20대</v>
      </c>
      <c r="P1966" t="str">
        <f>VLOOKUP(D1966,상품정보!$A$2:$E$61,2,FALSE)</f>
        <v>목걸이</v>
      </c>
      <c r="Q1966" t="str">
        <f>VLOOKUP(D1966,상품정보!$A$2:$D$151,3,FALSE)</f>
        <v>액세서리</v>
      </c>
      <c r="R1966" t="str">
        <f>VLOOKUP(D1966,상품정보!$A$2:$D$151,4,FALSE)</f>
        <v>브랜드E</v>
      </c>
    </row>
    <row r="1967" spans="1:18" x14ac:dyDescent="0.45">
      <c r="A1967" t="s">
        <v>211</v>
      </c>
      <c r="B1967" t="s">
        <v>2366</v>
      </c>
      <c r="C1967" t="s">
        <v>2518</v>
      </c>
      <c r="D1967" t="s">
        <v>2583</v>
      </c>
      <c r="E1967">
        <v>1</v>
      </c>
      <c r="F1967">
        <v>6600</v>
      </c>
      <c r="G1967">
        <v>500</v>
      </c>
      <c r="H1967">
        <v>0</v>
      </c>
      <c r="I1967" t="s">
        <v>2652</v>
      </c>
      <c r="J1967" s="4">
        <f t="shared" si="90"/>
        <v>7100</v>
      </c>
      <c r="K1967" s="4" t="str">
        <f t="shared" si="91"/>
        <v>2024-08</v>
      </c>
      <c r="L1967" s="4" t="str">
        <f t="shared" si="92"/>
        <v>목</v>
      </c>
      <c r="M1967" s="2" t="str">
        <f>VLOOKUP($C1967, 고객정보!$A$2:$E$151, 2, FALSE)</f>
        <v>부산</v>
      </c>
      <c r="N1967" t="str">
        <f>VLOOKUP(C1967,고객정보!$A$2:$D$151,4,FALSE)</f>
        <v>L2</v>
      </c>
      <c r="O1967" t="str">
        <f>VLOOKUP($C1967, 고객정보!$A$2:$E$151, 5, FALSE)</f>
        <v>40대</v>
      </c>
      <c r="P1967" t="str">
        <f>VLOOKUP(D1967,상품정보!$A$2:$E$61,2,FALSE)</f>
        <v>셔츠</v>
      </c>
      <c r="Q1967" t="str">
        <f>VLOOKUP(D1967,상품정보!$A$2:$D$151,3,FALSE)</f>
        <v>의류</v>
      </c>
      <c r="R1967" t="str">
        <f>VLOOKUP(D1967,상품정보!$A$2:$D$151,4,FALSE)</f>
        <v>브랜드E</v>
      </c>
    </row>
    <row r="1968" spans="1:18" x14ac:dyDescent="0.45">
      <c r="A1968" t="s">
        <v>72</v>
      </c>
      <c r="B1968" t="s">
        <v>2367</v>
      </c>
      <c r="C1968" t="s">
        <v>2473</v>
      </c>
      <c r="D1968" t="s">
        <v>2585</v>
      </c>
      <c r="E1968">
        <v>2</v>
      </c>
      <c r="F1968">
        <v>14900</v>
      </c>
      <c r="G1968">
        <v>0</v>
      </c>
      <c r="H1968">
        <v>0</v>
      </c>
      <c r="I1968" t="s">
        <v>2652</v>
      </c>
      <c r="J1968" s="4">
        <f t="shared" si="90"/>
        <v>29800</v>
      </c>
      <c r="K1968" s="4" t="str">
        <f t="shared" si="91"/>
        <v>2024-01</v>
      </c>
      <c r="L1968" s="4" t="str">
        <f t="shared" si="92"/>
        <v>월</v>
      </c>
      <c r="M1968" s="2" t="str">
        <f>VLOOKUP($C1968, 고객정보!$A$2:$E$151, 2, FALSE)</f>
        <v>수원</v>
      </c>
      <c r="N1968" t="str">
        <f>VLOOKUP(C1968,고객정보!$A$2:$D$151,4,FALSE)</f>
        <v>L3</v>
      </c>
      <c r="O1968" t="str">
        <f>VLOOKUP($C1968, 고객정보!$A$2:$E$151, 5, FALSE)</f>
        <v>50대 이상</v>
      </c>
      <c r="P1968" t="str">
        <f>VLOOKUP(D1968,상품정보!$A$2:$E$61,2,FALSE)</f>
        <v>반팔 티셔츠</v>
      </c>
      <c r="Q1968" t="str">
        <f>VLOOKUP(D1968,상품정보!$A$2:$D$151,3,FALSE)</f>
        <v>의류</v>
      </c>
      <c r="R1968" t="str">
        <f>VLOOKUP(D1968,상품정보!$A$2:$D$151,4,FALSE)</f>
        <v>브랜드C</v>
      </c>
    </row>
    <row r="1969" spans="1:18" x14ac:dyDescent="0.45">
      <c r="A1969" t="s">
        <v>336</v>
      </c>
      <c r="B1969" t="s">
        <v>2368</v>
      </c>
      <c r="C1969" t="s">
        <v>2536</v>
      </c>
      <c r="D1969" t="s">
        <v>2601</v>
      </c>
      <c r="E1969">
        <v>1</v>
      </c>
      <c r="F1969">
        <v>17000</v>
      </c>
      <c r="G1969">
        <v>500</v>
      </c>
      <c r="H1969">
        <v>0</v>
      </c>
      <c r="I1969" t="s">
        <v>2652</v>
      </c>
      <c r="J1969" s="4">
        <f t="shared" si="90"/>
        <v>17500</v>
      </c>
      <c r="K1969" s="4" t="str">
        <f t="shared" si="91"/>
        <v>2024-06</v>
      </c>
      <c r="L1969" s="4" t="str">
        <f t="shared" si="92"/>
        <v>목</v>
      </c>
      <c r="M1969" s="2" t="str">
        <f>VLOOKUP($C1969, 고객정보!$A$2:$E$151, 2, FALSE)</f>
        <v>서울</v>
      </c>
      <c r="N1969" t="str">
        <f>VLOOKUP(C1969,고객정보!$A$2:$D$151,4,FALSE)</f>
        <v>L5</v>
      </c>
      <c r="O1969" t="str">
        <f>VLOOKUP($C1969, 고객정보!$A$2:$E$151, 5, FALSE)</f>
        <v>20대</v>
      </c>
      <c r="P1969" t="str">
        <f>VLOOKUP(D1969,상품정보!$A$2:$E$61,2,FALSE)</f>
        <v>자켓</v>
      </c>
      <c r="Q1969" t="str">
        <f>VLOOKUP(D1969,상품정보!$A$2:$D$151,3,FALSE)</f>
        <v>의류</v>
      </c>
      <c r="R1969" t="str">
        <f>VLOOKUP(D1969,상품정보!$A$2:$D$151,4,FALSE)</f>
        <v>브랜드E</v>
      </c>
    </row>
    <row r="1970" spans="1:18" x14ac:dyDescent="0.45">
      <c r="A1970" t="s">
        <v>398</v>
      </c>
      <c r="B1970" t="s">
        <v>2369</v>
      </c>
      <c r="C1970" t="s">
        <v>2454</v>
      </c>
      <c r="D1970" t="s">
        <v>2581</v>
      </c>
      <c r="E1970">
        <v>5</v>
      </c>
      <c r="F1970">
        <v>72900</v>
      </c>
      <c r="G1970">
        <v>1500</v>
      </c>
      <c r="H1970">
        <v>0</v>
      </c>
      <c r="I1970" t="s">
        <v>2652</v>
      </c>
      <c r="J1970" s="4">
        <f t="shared" si="90"/>
        <v>366000</v>
      </c>
      <c r="K1970" s="4" t="str">
        <f t="shared" si="91"/>
        <v>2024-03</v>
      </c>
      <c r="L1970" s="4" t="str">
        <f t="shared" si="92"/>
        <v>목</v>
      </c>
      <c r="M1970" s="2" t="str">
        <f>VLOOKUP($C1970, 고객정보!$A$2:$E$151, 2, FALSE)</f>
        <v>부산</v>
      </c>
      <c r="N1970" t="str">
        <f>VLOOKUP(C1970,고객정보!$A$2:$D$151,4,FALSE)</f>
        <v>L3</v>
      </c>
      <c r="O1970" t="str">
        <f>VLOOKUP($C1970, 고객정보!$A$2:$E$151, 5, FALSE)</f>
        <v>40대</v>
      </c>
      <c r="P1970" t="str">
        <f>VLOOKUP(D1970,상품정보!$A$2:$E$61,2,FALSE)</f>
        <v>귀걸이</v>
      </c>
      <c r="Q1970" t="str">
        <f>VLOOKUP(D1970,상품정보!$A$2:$D$151,3,FALSE)</f>
        <v>액세서리</v>
      </c>
      <c r="R1970" t="str">
        <f>VLOOKUP(D1970,상품정보!$A$2:$D$151,4,FALSE)</f>
        <v>브랜드F</v>
      </c>
    </row>
    <row r="1971" spans="1:18" x14ac:dyDescent="0.45">
      <c r="A1971" t="s">
        <v>183</v>
      </c>
      <c r="B1971" t="s">
        <v>2370</v>
      </c>
      <c r="C1971" t="s">
        <v>2433</v>
      </c>
      <c r="D1971" t="s">
        <v>2602</v>
      </c>
      <c r="E1971">
        <v>1</v>
      </c>
      <c r="F1971">
        <v>59900</v>
      </c>
      <c r="G1971">
        <v>1500</v>
      </c>
      <c r="H1971">
        <v>0</v>
      </c>
      <c r="I1971" t="s">
        <v>2652</v>
      </c>
      <c r="J1971" s="4">
        <f t="shared" si="90"/>
        <v>61400</v>
      </c>
      <c r="K1971" s="4" t="str">
        <f t="shared" si="91"/>
        <v>2024-02</v>
      </c>
      <c r="L1971" s="4" t="str">
        <f t="shared" si="92"/>
        <v>수</v>
      </c>
      <c r="M1971" s="2" t="str">
        <f>VLOOKUP($C1971, 고객정보!$A$2:$E$151, 2, FALSE)</f>
        <v>부산</v>
      </c>
      <c r="N1971" t="str">
        <f>VLOOKUP(C1971,고객정보!$A$2:$D$151,4,FALSE)</f>
        <v>L3</v>
      </c>
      <c r="O1971" t="str">
        <f>VLOOKUP($C1971, 고객정보!$A$2:$E$151, 5, FALSE)</f>
        <v>10대</v>
      </c>
      <c r="P1971" t="str">
        <f>VLOOKUP(D1971,상품정보!$A$2:$E$61,2,FALSE)</f>
        <v>셔츠</v>
      </c>
      <c r="Q1971" t="str">
        <f>VLOOKUP(D1971,상품정보!$A$2:$D$151,3,FALSE)</f>
        <v>의류</v>
      </c>
      <c r="R1971" t="str">
        <f>VLOOKUP(D1971,상품정보!$A$2:$D$151,4,FALSE)</f>
        <v>브랜드A</v>
      </c>
    </row>
    <row r="1972" spans="1:18" x14ac:dyDescent="0.45">
      <c r="A1972" t="s">
        <v>30</v>
      </c>
      <c r="B1972" t="s">
        <v>2371</v>
      </c>
      <c r="C1972" t="s">
        <v>2530</v>
      </c>
      <c r="D1972" t="s">
        <v>2560</v>
      </c>
      <c r="E1972">
        <v>5</v>
      </c>
      <c r="F1972">
        <v>60600</v>
      </c>
      <c r="G1972">
        <v>1500</v>
      </c>
      <c r="H1972">
        <v>0</v>
      </c>
      <c r="I1972" t="s">
        <v>2652</v>
      </c>
      <c r="J1972" s="4">
        <f t="shared" si="90"/>
        <v>304500</v>
      </c>
      <c r="K1972" s="4" t="str">
        <f t="shared" si="91"/>
        <v>2024-04</v>
      </c>
      <c r="L1972" s="4" t="str">
        <f t="shared" si="92"/>
        <v>월</v>
      </c>
      <c r="M1972" s="2" t="str">
        <f>VLOOKUP($C1972, 고객정보!$A$2:$E$151, 2, FALSE)</f>
        <v>대전</v>
      </c>
      <c r="N1972" t="str">
        <f>VLOOKUP(C1972,고객정보!$A$2:$D$151,4,FALSE)</f>
        <v>L2</v>
      </c>
      <c r="O1972" t="str">
        <f>VLOOKUP($C1972, 고객정보!$A$2:$E$151, 5, FALSE)</f>
        <v>20대</v>
      </c>
      <c r="P1972" t="str">
        <f>VLOOKUP(D1972,상품정보!$A$2:$E$61,2,FALSE)</f>
        <v>반팔 티셔츠</v>
      </c>
      <c r="Q1972" t="str">
        <f>VLOOKUP(D1972,상품정보!$A$2:$D$151,3,FALSE)</f>
        <v>의류</v>
      </c>
      <c r="R1972" t="str">
        <f>VLOOKUP(D1972,상품정보!$A$2:$D$151,4,FALSE)</f>
        <v>브랜드F</v>
      </c>
    </row>
    <row r="1973" spans="1:18" x14ac:dyDescent="0.45">
      <c r="A1973" t="s">
        <v>133</v>
      </c>
      <c r="B1973" t="s">
        <v>2372</v>
      </c>
      <c r="C1973" t="s">
        <v>2433</v>
      </c>
      <c r="D1973" t="s">
        <v>2570</v>
      </c>
      <c r="E1973">
        <v>2</v>
      </c>
      <c r="F1973">
        <v>73900</v>
      </c>
      <c r="G1973">
        <v>0</v>
      </c>
      <c r="H1973">
        <v>2100</v>
      </c>
      <c r="I1973" t="s">
        <v>2613</v>
      </c>
      <c r="J1973" s="4">
        <f t="shared" si="90"/>
        <v>145700</v>
      </c>
      <c r="K1973" s="4" t="str">
        <f t="shared" si="91"/>
        <v>2024-08</v>
      </c>
      <c r="L1973" s="4" t="str">
        <f t="shared" si="92"/>
        <v>화</v>
      </c>
      <c r="M1973" s="2" t="str">
        <f>VLOOKUP($C1973, 고객정보!$A$2:$E$151, 2, FALSE)</f>
        <v>부산</v>
      </c>
      <c r="N1973" t="str">
        <f>VLOOKUP(C1973,고객정보!$A$2:$D$151,4,FALSE)</f>
        <v>L3</v>
      </c>
      <c r="O1973" t="str">
        <f>VLOOKUP($C1973, 고객정보!$A$2:$E$151, 5, FALSE)</f>
        <v>10대</v>
      </c>
      <c r="P1973" t="str">
        <f>VLOOKUP(D1973,상품정보!$A$2:$E$61,2,FALSE)</f>
        <v>반지</v>
      </c>
      <c r="Q1973" t="str">
        <f>VLOOKUP(D1973,상품정보!$A$2:$D$151,3,FALSE)</f>
        <v>액세서리</v>
      </c>
      <c r="R1973" t="str">
        <f>VLOOKUP(D1973,상품정보!$A$2:$D$151,4,FALSE)</f>
        <v>브랜드B</v>
      </c>
    </row>
    <row r="1974" spans="1:18" x14ac:dyDescent="0.45">
      <c r="A1974" t="s">
        <v>345</v>
      </c>
      <c r="B1974" t="s">
        <v>2373</v>
      </c>
      <c r="C1974" t="s">
        <v>2450</v>
      </c>
      <c r="D1974" t="s">
        <v>2570</v>
      </c>
      <c r="E1974">
        <v>4</v>
      </c>
      <c r="F1974">
        <v>73900</v>
      </c>
      <c r="G1974">
        <v>0</v>
      </c>
      <c r="H1974">
        <v>0</v>
      </c>
      <c r="I1974" t="s">
        <v>2652</v>
      </c>
      <c r="J1974" s="4">
        <f t="shared" si="90"/>
        <v>295600</v>
      </c>
      <c r="K1974" s="4" t="str">
        <f t="shared" si="91"/>
        <v>2024-06</v>
      </c>
      <c r="L1974" s="4" t="str">
        <f t="shared" si="92"/>
        <v>토</v>
      </c>
      <c r="M1974" s="2" t="str">
        <f>VLOOKUP($C1974, 고객정보!$A$2:$E$151, 2, FALSE)</f>
        <v>인천</v>
      </c>
      <c r="N1974" t="str">
        <f>VLOOKUP(C1974,고객정보!$A$2:$D$151,4,FALSE)</f>
        <v>L5</v>
      </c>
      <c r="O1974" t="str">
        <f>VLOOKUP($C1974, 고객정보!$A$2:$E$151, 5, FALSE)</f>
        <v>40대</v>
      </c>
      <c r="P1974" t="str">
        <f>VLOOKUP(D1974,상품정보!$A$2:$E$61,2,FALSE)</f>
        <v>반지</v>
      </c>
      <c r="Q1974" t="str">
        <f>VLOOKUP(D1974,상품정보!$A$2:$D$151,3,FALSE)</f>
        <v>액세서리</v>
      </c>
      <c r="R1974" t="str">
        <f>VLOOKUP(D1974,상품정보!$A$2:$D$151,4,FALSE)</f>
        <v>브랜드B</v>
      </c>
    </row>
    <row r="1975" spans="1:18" x14ac:dyDescent="0.45">
      <c r="A1975" t="s">
        <v>389</v>
      </c>
      <c r="B1975" t="s">
        <v>2374</v>
      </c>
      <c r="C1975" t="s">
        <v>2449</v>
      </c>
      <c r="D1975" t="s">
        <v>2579</v>
      </c>
      <c r="E1975">
        <v>5</v>
      </c>
      <c r="F1975">
        <v>51000</v>
      </c>
      <c r="G1975">
        <v>500</v>
      </c>
      <c r="H1975">
        <v>0</v>
      </c>
      <c r="I1975" t="s">
        <v>2652</v>
      </c>
      <c r="J1975" s="4">
        <f t="shared" si="90"/>
        <v>255500</v>
      </c>
      <c r="K1975" s="4" t="str">
        <f t="shared" si="91"/>
        <v>2024-10</v>
      </c>
      <c r="L1975" s="4" t="str">
        <f t="shared" si="92"/>
        <v>일</v>
      </c>
      <c r="M1975" s="2" t="str">
        <f>VLOOKUP($C1975, 고객정보!$A$2:$E$151, 2, FALSE)</f>
        <v>대구</v>
      </c>
      <c r="N1975" t="str">
        <f>VLOOKUP(C1975,고객정보!$A$2:$D$151,4,FALSE)</f>
        <v>L5</v>
      </c>
      <c r="O1975" t="str">
        <f>VLOOKUP($C1975, 고객정보!$A$2:$E$151, 5, FALSE)</f>
        <v>40대</v>
      </c>
      <c r="P1975" t="str">
        <f>VLOOKUP(D1975,상품정보!$A$2:$E$61,2,FALSE)</f>
        <v>핸드폰케이스</v>
      </c>
      <c r="Q1975" t="str">
        <f>VLOOKUP(D1975,상품정보!$A$2:$D$151,3,FALSE)</f>
        <v>액세서리</v>
      </c>
      <c r="R1975" t="str">
        <f>VLOOKUP(D1975,상품정보!$A$2:$D$151,4,FALSE)</f>
        <v>브랜드F</v>
      </c>
    </row>
    <row r="1976" spans="1:18" x14ac:dyDescent="0.45">
      <c r="A1976" t="s">
        <v>143</v>
      </c>
      <c r="B1976" t="s">
        <v>2375</v>
      </c>
      <c r="C1976" t="s">
        <v>2430</v>
      </c>
      <c r="D1976" t="s">
        <v>2597</v>
      </c>
      <c r="E1976">
        <v>2</v>
      </c>
      <c r="F1976">
        <v>65300</v>
      </c>
      <c r="G1976">
        <v>0</v>
      </c>
      <c r="H1976">
        <v>0</v>
      </c>
      <c r="I1976" t="s">
        <v>2652</v>
      </c>
      <c r="J1976" s="4">
        <f t="shared" si="90"/>
        <v>130600</v>
      </c>
      <c r="K1976" s="4" t="str">
        <f t="shared" si="91"/>
        <v>2025-01</v>
      </c>
      <c r="L1976" s="4" t="str">
        <f t="shared" si="92"/>
        <v>일</v>
      </c>
      <c r="M1976" s="2" t="str">
        <f>VLOOKUP($C1976, 고객정보!$A$2:$E$151, 2, FALSE)</f>
        <v>광주</v>
      </c>
      <c r="N1976" t="str">
        <f>VLOOKUP(C1976,고객정보!$A$2:$D$151,4,FALSE)</f>
        <v>L4</v>
      </c>
      <c r="O1976" t="str">
        <f>VLOOKUP($C1976, 고객정보!$A$2:$E$151, 5, FALSE)</f>
        <v>30대</v>
      </c>
      <c r="P1976" t="str">
        <f>VLOOKUP(D1976,상품정보!$A$2:$E$61,2,FALSE)</f>
        <v>반지</v>
      </c>
      <c r="Q1976" t="str">
        <f>VLOOKUP(D1976,상품정보!$A$2:$D$151,3,FALSE)</f>
        <v>액세서리</v>
      </c>
      <c r="R1976" t="str">
        <f>VLOOKUP(D1976,상품정보!$A$2:$D$151,4,FALSE)</f>
        <v>브랜드F</v>
      </c>
    </row>
    <row r="1977" spans="1:18" x14ac:dyDescent="0.45">
      <c r="A1977" t="s">
        <v>121</v>
      </c>
      <c r="B1977" t="s">
        <v>2376</v>
      </c>
      <c r="C1977" t="s">
        <v>2473</v>
      </c>
      <c r="D1977" t="s">
        <v>2589</v>
      </c>
      <c r="E1977">
        <v>2</v>
      </c>
      <c r="F1977">
        <v>71400</v>
      </c>
      <c r="G1977">
        <v>0</v>
      </c>
      <c r="H1977">
        <v>6700</v>
      </c>
      <c r="I1977" t="s">
        <v>2611</v>
      </c>
      <c r="J1977" s="4">
        <f t="shared" si="90"/>
        <v>136100</v>
      </c>
      <c r="K1977" s="4" t="str">
        <f t="shared" si="91"/>
        <v>2024-06</v>
      </c>
      <c r="L1977" s="4" t="str">
        <f t="shared" si="92"/>
        <v>목</v>
      </c>
      <c r="M1977" s="2" t="str">
        <f>VLOOKUP($C1977, 고객정보!$A$2:$E$151, 2, FALSE)</f>
        <v>수원</v>
      </c>
      <c r="N1977" t="str">
        <f>VLOOKUP(C1977,고객정보!$A$2:$D$151,4,FALSE)</f>
        <v>L3</v>
      </c>
      <c r="O1977" t="str">
        <f>VLOOKUP($C1977, 고객정보!$A$2:$E$151, 5, FALSE)</f>
        <v>50대 이상</v>
      </c>
      <c r="P1977" t="str">
        <f>VLOOKUP(D1977,상품정보!$A$2:$E$61,2,FALSE)</f>
        <v>셔츠</v>
      </c>
      <c r="Q1977" t="str">
        <f>VLOOKUP(D1977,상품정보!$A$2:$D$151,3,FALSE)</f>
        <v>의류</v>
      </c>
      <c r="R1977" t="str">
        <f>VLOOKUP(D1977,상품정보!$A$2:$D$151,4,FALSE)</f>
        <v>브랜드A</v>
      </c>
    </row>
    <row r="1978" spans="1:18" x14ac:dyDescent="0.45">
      <c r="A1978" t="s">
        <v>308</v>
      </c>
      <c r="B1978" t="s">
        <v>2377</v>
      </c>
      <c r="C1978" t="s">
        <v>2433</v>
      </c>
      <c r="D1978" t="s">
        <v>2580</v>
      </c>
      <c r="E1978">
        <v>3</v>
      </c>
      <c r="F1978">
        <v>77800</v>
      </c>
      <c r="G1978">
        <v>500</v>
      </c>
      <c r="H1978">
        <v>0</v>
      </c>
      <c r="I1978" t="s">
        <v>2652</v>
      </c>
      <c r="J1978" s="4">
        <f t="shared" si="90"/>
        <v>233900</v>
      </c>
      <c r="K1978" s="4" t="str">
        <f t="shared" si="91"/>
        <v>2024-03</v>
      </c>
      <c r="L1978" s="4" t="str">
        <f t="shared" si="92"/>
        <v>수</v>
      </c>
      <c r="M1978" s="2" t="str">
        <f>VLOOKUP($C1978, 고객정보!$A$2:$E$151, 2, FALSE)</f>
        <v>부산</v>
      </c>
      <c r="N1978" t="str">
        <f>VLOOKUP(C1978,고객정보!$A$2:$D$151,4,FALSE)</f>
        <v>L3</v>
      </c>
      <c r="O1978" t="str">
        <f>VLOOKUP($C1978, 고객정보!$A$2:$E$151, 5, FALSE)</f>
        <v>10대</v>
      </c>
      <c r="P1978" t="str">
        <f>VLOOKUP(D1978,상품정보!$A$2:$E$61,2,FALSE)</f>
        <v>청바지</v>
      </c>
      <c r="Q1978" t="str">
        <f>VLOOKUP(D1978,상품정보!$A$2:$D$151,3,FALSE)</f>
        <v>의류</v>
      </c>
      <c r="R1978" t="str">
        <f>VLOOKUP(D1978,상품정보!$A$2:$D$151,4,FALSE)</f>
        <v>브랜드A</v>
      </c>
    </row>
    <row r="1979" spans="1:18" x14ac:dyDescent="0.45">
      <c r="A1979" t="s">
        <v>41</v>
      </c>
      <c r="B1979" t="s">
        <v>2378</v>
      </c>
      <c r="C1979" t="s">
        <v>2515</v>
      </c>
      <c r="D1979" t="s">
        <v>2566</v>
      </c>
      <c r="E1979">
        <v>3</v>
      </c>
      <c r="F1979">
        <v>60600</v>
      </c>
      <c r="G1979">
        <v>0</v>
      </c>
      <c r="H1979">
        <v>0</v>
      </c>
      <c r="I1979" t="s">
        <v>2652</v>
      </c>
      <c r="J1979" s="4">
        <f t="shared" si="90"/>
        <v>181800</v>
      </c>
      <c r="K1979" s="4" t="str">
        <f t="shared" si="91"/>
        <v>2024-10</v>
      </c>
      <c r="L1979" s="4" t="str">
        <f t="shared" si="92"/>
        <v>목</v>
      </c>
      <c r="M1979" s="2" t="str">
        <f>VLOOKUP($C1979, 고객정보!$A$2:$E$151, 2, FALSE)</f>
        <v>부산</v>
      </c>
      <c r="N1979" t="str">
        <f>VLOOKUP(C1979,고객정보!$A$2:$D$151,4,FALSE)</f>
        <v>L5</v>
      </c>
      <c r="O1979" t="str">
        <f>VLOOKUP($C1979, 고객정보!$A$2:$E$151, 5, FALSE)</f>
        <v>40대</v>
      </c>
      <c r="P1979" t="str">
        <f>VLOOKUP(D1979,상품정보!$A$2:$E$61,2,FALSE)</f>
        <v>반팔 티셔츠</v>
      </c>
      <c r="Q1979" t="str">
        <f>VLOOKUP(D1979,상품정보!$A$2:$D$151,3,FALSE)</f>
        <v>의류</v>
      </c>
      <c r="R1979" t="str">
        <f>VLOOKUP(D1979,상품정보!$A$2:$D$151,4,FALSE)</f>
        <v>브랜드A</v>
      </c>
    </row>
    <row r="1980" spans="1:18" x14ac:dyDescent="0.45">
      <c r="A1980" t="s">
        <v>379</v>
      </c>
      <c r="B1980" t="s">
        <v>2379</v>
      </c>
      <c r="C1980" t="s">
        <v>2499</v>
      </c>
      <c r="D1980" t="s">
        <v>2556</v>
      </c>
      <c r="E1980">
        <v>2</v>
      </c>
      <c r="F1980">
        <v>70100</v>
      </c>
      <c r="G1980">
        <v>2000</v>
      </c>
      <c r="H1980">
        <v>400</v>
      </c>
      <c r="I1980" t="s">
        <v>2613</v>
      </c>
      <c r="J1980" s="4">
        <f t="shared" si="90"/>
        <v>141800</v>
      </c>
      <c r="K1980" s="4" t="str">
        <f t="shared" si="91"/>
        <v>2024-10</v>
      </c>
      <c r="L1980" s="4" t="str">
        <f t="shared" si="92"/>
        <v>목</v>
      </c>
      <c r="M1980" s="2" t="str">
        <f>VLOOKUP($C1980, 고객정보!$A$2:$E$151, 2, FALSE)</f>
        <v>서울</v>
      </c>
      <c r="N1980" t="str">
        <f>VLOOKUP(C1980,고객정보!$A$2:$D$151,4,FALSE)</f>
        <v>L2</v>
      </c>
      <c r="O1980" t="str">
        <f>VLOOKUP($C1980, 고객정보!$A$2:$E$151, 5, FALSE)</f>
        <v>40대</v>
      </c>
      <c r="P1980" t="str">
        <f>VLOOKUP(D1980,상품정보!$A$2:$E$61,2,FALSE)</f>
        <v>핸드폰케이스</v>
      </c>
      <c r="Q1980" t="str">
        <f>VLOOKUP(D1980,상품정보!$A$2:$D$151,3,FALSE)</f>
        <v>액세서리</v>
      </c>
      <c r="R1980" t="str">
        <f>VLOOKUP(D1980,상품정보!$A$2:$D$151,4,FALSE)</f>
        <v>브랜드F</v>
      </c>
    </row>
    <row r="1981" spans="1:18" x14ac:dyDescent="0.45">
      <c r="A1981" t="s">
        <v>292</v>
      </c>
      <c r="B1981" t="s">
        <v>2380</v>
      </c>
      <c r="C1981" t="s">
        <v>2476</v>
      </c>
      <c r="D1981" t="s">
        <v>2552</v>
      </c>
      <c r="E1981">
        <v>1</v>
      </c>
      <c r="F1981">
        <v>13300</v>
      </c>
      <c r="G1981">
        <v>0</v>
      </c>
      <c r="H1981">
        <v>3600</v>
      </c>
      <c r="I1981" t="s">
        <v>2612</v>
      </c>
      <c r="J1981" s="4">
        <f t="shared" si="90"/>
        <v>9700</v>
      </c>
      <c r="K1981" s="4" t="str">
        <f t="shared" si="91"/>
        <v>2024-11</v>
      </c>
      <c r="L1981" s="4" t="str">
        <f t="shared" si="92"/>
        <v>화</v>
      </c>
      <c r="M1981" s="2" t="str">
        <f>VLOOKUP($C1981, 고객정보!$A$2:$E$151, 2, FALSE)</f>
        <v>서울</v>
      </c>
      <c r="N1981" t="str">
        <f>VLOOKUP(C1981,고객정보!$A$2:$D$151,4,FALSE)</f>
        <v>L2</v>
      </c>
      <c r="O1981" t="str">
        <f>VLOOKUP($C1981, 고객정보!$A$2:$E$151, 5, FALSE)</f>
        <v>10대</v>
      </c>
      <c r="P1981" t="str">
        <f>VLOOKUP(D1981,상품정보!$A$2:$E$61,2,FALSE)</f>
        <v>셔츠</v>
      </c>
      <c r="Q1981" t="str">
        <f>VLOOKUP(D1981,상품정보!$A$2:$D$151,3,FALSE)</f>
        <v>의류</v>
      </c>
      <c r="R1981" t="str">
        <f>VLOOKUP(D1981,상품정보!$A$2:$D$151,4,FALSE)</f>
        <v>브랜드E</v>
      </c>
    </row>
    <row r="1982" spans="1:18" x14ac:dyDescent="0.45">
      <c r="A1982" t="s">
        <v>242</v>
      </c>
      <c r="B1982" t="s">
        <v>2381</v>
      </c>
      <c r="C1982" t="s">
        <v>2538</v>
      </c>
      <c r="D1982" t="s">
        <v>2587</v>
      </c>
      <c r="E1982">
        <v>2</v>
      </c>
      <c r="F1982">
        <v>50200</v>
      </c>
      <c r="G1982">
        <v>1000</v>
      </c>
      <c r="H1982">
        <v>0</v>
      </c>
      <c r="I1982" t="s">
        <v>2652</v>
      </c>
      <c r="J1982" s="4">
        <f t="shared" si="90"/>
        <v>101400</v>
      </c>
      <c r="K1982" s="4" t="str">
        <f t="shared" si="91"/>
        <v>2024-01</v>
      </c>
      <c r="L1982" s="4" t="str">
        <f t="shared" si="92"/>
        <v>화</v>
      </c>
      <c r="M1982" s="2" t="str">
        <f>VLOOKUP($C1982, 고객정보!$A$2:$E$151, 2, FALSE)</f>
        <v>대구</v>
      </c>
      <c r="N1982" t="str">
        <f>VLOOKUP(C1982,고객정보!$A$2:$D$151,4,FALSE)</f>
        <v>L4</v>
      </c>
      <c r="O1982" t="str">
        <f>VLOOKUP($C1982, 고객정보!$A$2:$E$151, 5, FALSE)</f>
        <v>40대</v>
      </c>
      <c r="P1982" t="str">
        <f>VLOOKUP(D1982,상품정보!$A$2:$E$61,2,FALSE)</f>
        <v>반지</v>
      </c>
      <c r="Q1982" t="str">
        <f>VLOOKUP(D1982,상품정보!$A$2:$D$151,3,FALSE)</f>
        <v>액세서리</v>
      </c>
      <c r="R1982" t="str">
        <f>VLOOKUP(D1982,상품정보!$A$2:$D$151,4,FALSE)</f>
        <v>브랜드B</v>
      </c>
    </row>
    <row r="1983" spans="1:18" x14ac:dyDescent="0.45">
      <c r="A1983" t="s">
        <v>60</v>
      </c>
      <c r="B1983" t="s">
        <v>2382</v>
      </c>
      <c r="C1983" t="s">
        <v>2452</v>
      </c>
      <c r="D1983" t="s">
        <v>2553</v>
      </c>
      <c r="E1983">
        <v>1</v>
      </c>
      <c r="F1983">
        <v>63400</v>
      </c>
      <c r="G1983">
        <v>0</v>
      </c>
      <c r="H1983">
        <v>800</v>
      </c>
      <c r="I1983" t="s">
        <v>2613</v>
      </c>
      <c r="J1983" s="4">
        <f t="shared" si="90"/>
        <v>62600</v>
      </c>
      <c r="K1983" s="4" t="str">
        <f t="shared" si="91"/>
        <v>2024-01</v>
      </c>
      <c r="L1983" s="4" t="str">
        <f t="shared" si="92"/>
        <v>목</v>
      </c>
      <c r="M1983" s="2" t="str">
        <f>VLOOKUP($C1983, 고객정보!$A$2:$E$151, 2, FALSE)</f>
        <v>서울</v>
      </c>
      <c r="N1983" t="str">
        <f>VLOOKUP(C1983,고객정보!$A$2:$D$151,4,FALSE)</f>
        <v>L3</v>
      </c>
      <c r="O1983" t="str">
        <f>VLOOKUP($C1983, 고객정보!$A$2:$E$151, 5, FALSE)</f>
        <v>30대</v>
      </c>
      <c r="P1983" t="str">
        <f>VLOOKUP(D1983,상품정보!$A$2:$E$61,2,FALSE)</f>
        <v>귀걸이</v>
      </c>
      <c r="Q1983" t="str">
        <f>VLOOKUP(D1983,상품정보!$A$2:$D$151,3,FALSE)</f>
        <v>액세서리</v>
      </c>
      <c r="R1983" t="str">
        <f>VLOOKUP(D1983,상품정보!$A$2:$D$151,4,FALSE)</f>
        <v>브랜드F</v>
      </c>
    </row>
    <row r="1984" spans="1:18" x14ac:dyDescent="0.45">
      <c r="A1984" t="s">
        <v>139</v>
      </c>
      <c r="B1984" t="s">
        <v>2383</v>
      </c>
      <c r="C1984" t="s">
        <v>2478</v>
      </c>
      <c r="D1984" t="s">
        <v>2568</v>
      </c>
      <c r="E1984">
        <v>1</v>
      </c>
      <c r="F1984">
        <v>16800</v>
      </c>
      <c r="G1984">
        <v>1500</v>
      </c>
      <c r="H1984">
        <v>0</v>
      </c>
      <c r="I1984" t="s">
        <v>2652</v>
      </c>
      <c r="J1984" s="4">
        <f t="shared" si="90"/>
        <v>18300</v>
      </c>
      <c r="K1984" s="4" t="str">
        <f t="shared" si="91"/>
        <v>2024-12</v>
      </c>
      <c r="L1984" s="4" t="str">
        <f t="shared" si="92"/>
        <v>금</v>
      </c>
      <c r="M1984" s="2" t="str">
        <f>VLOOKUP($C1984, 고객정보!$A$2:$E$151, 2, FALSE)</f>
        <v>인천</v>
      </c>
      <c r="N1984" t="str">
        <f>VLOOKUP(C1984,고객정보!$A$2:$D$151,4,FALSE)</f>
        <v>L1</v>
      </c>
      <c r="O1984" t="str">
        <f>VLOOKUP($C1984, 고객정보!$A$2:$E$151, 5, FALSE)</f>
        <v>40대</v>
      </c>
      <c r="P1984" t="str">
        <f>VLOOKUP(D1984,상품정보!$A$2:$E$61,2,FALSE)</f>
        <v>청바지</v>
      </c>
      <c r="Q1984" t="str">
        <f>VLOOKUP(D1984,상품정보!$A$2:$D$151,3,FALSE)</f>
        <v>의류</v>
      </c>
      <c r="R1984" t="str">
        <f>VLOOKUP(D1984,상품정보!$A$2:$D$151,4,FALSE)</f>
        <v>브랜드C</v>
      </c>
    </row>
    <row r="1985" spans="1:18" x14ac:dyDescent="0.45">
      <c r="A1985" t="s">
        <v>174</v>
      </c>
      <c r="B1985" t="s">
        <v>2384</v>
      </c>
      <c r="C1985" t="s">
        <v>2517</v>
      </c>
      <c r="D1985" t="s">
        <v>2592</v>
      </c>
      <c r="E1985">
        <v>4</v>
      </c>
      <c r="F1985">
        <v>72700</v>
      </c>
      <c r="G1985">
        <v>0</v>
      </c>
      <c r="H1985">
        <v>0</v>
      </c>
      <c r="I1985" t="s">
        <v>2652</v>
      </c>
      <c r="J1985" s="4">
        <f t="shared" si="90"/>
        <v>290800</v>
      </c>
      <c r="K1985" s="4" t="str">
        <f t="shared" si="91"/>
        <v>2024-12</v>
      </c>
      <c r="L1985" s="4" t="str">
        <f t="shared" si="92"/>
        <v>금</v>
      </c>
      <c r="M1985" s="2" t="str">
        <f>VLOOKUP($C1985, 고객정보!$A$2:$E$151, 2, FALSE)</f>
        <v>서울</v>
      </c>
      <c r="N1985" t="str">
        <f>VLOOKUP(C1985,고객정보!$A$2:$D$151,4,FALSE)</f>
        <v>L4</v>
      </c>
      <c r="O1985" t="str">
        <f>VLOOKUP($C1985, 고객정보!$A$2:$E$151, 5, FALSE)</f>
        <v>20대</v>
      </c>
      <c r="P1985" t="str">
        <f>VLOOKUP(D1985,상품정보!$A$2:$E$61,2,FALSE)</f>
        <v>귀걸이</v>
      </c>
      <c r="Q1985" t="str">
        <f>VLOOKUP(D1985,상품정보!$A$2:$D$151,3,FALSE)</f>
        <v>액세서리</v>
      </c>
      <c r="R1985" t="str">
        <f>VLOOKUP(D1985,상품정보!$A$2:$D$151,4,FALSE)</f>
        <v>브랜드A</v>
      </c>
    </row>
    <row r="1986" spans="1:18" x14ac:dyDescent="0.45">
      <c r="A1986" t="s">
        <v>47</v>
      </c>
      <c r="B1986" t="s">
        <v>2385</v>
      </c>
      <c r="C1986" t="s">
        <v>2475</v>
      </c>
      <c r="D1986" t="s">
        <v>2572</v>
      </c>
      <c r="E1986">
        <v>2</v>
      </c>
      <c r="F1986">
        <v>61700</v>
      </c>
      <c r="G1986">
        <v>0</v>
      </c>
      <c r="H1986">
        <v>0</v>
      </c>
      <c r="I1986" t="s">
        <v>2652</v>
      </c>
      <c r="J1986" s="4">
        <f t="shared" si="90"/>
        <v>123400</v>
      </c>
      <c r="K1986" s="4" t="str">
        <f t="shared" si="91"/>
        <v>2024-11</v>
      </c>
      <c r="L1986" s="4" t="str">
        <f t="shared" si="92"/>
        <v>토</v>
      </c>
      <c r="M1986" s="2" t="str">
        <f>VLOOKUP($C1986, 고객정보!$A$2:$E$151, 2, FALSE)</f>
        <v>서울</v>
      </c>
      <c r="N1986" t="str">
        <f>VLOOKUP(C1986,고객정보!$A$2:$D$151,4,FALSE)</f>
        <v>L2</v>
      </c>
      <c r="O1986" t="str">
        <f>VLOOKUP($C1986, 고객정보!$A$2:$E$151, 5, FALSE)</f>
        <v>10대</v>
      </c>
      <c r="P1986" t="str">
        <f>VLOOKUP(D1986,상품정보!$A$2:$E$61,2,FALSE)</f>
        <v>반팔 티셔츠</v>
      </c>
      <c r="Q1986" t="str">
        <f>VLOOKUP(D1986,상품정보!$A$2:$D$151,3,FALSE)</f>
        <v>의류</v>
      </c>
      <c r="R1986" t="str">
        <f>VLOOKUP(D1986,상품정보!$A$2:$D$151,4,FALSE)</f>
        <v>브랜드F</v>
      </c>
    </row>
    <row r="1987" spans="1:18" x14ac:dyDescent="0.45">
      <c r="A1987" t="s">
        <v>104</v>
      </c>
      <c r="B1987" t="s">
        <v>2386</v>
      </c>
      <c r="C1987" t="s">
        <v>2423</v>
      </c>
      <c r="D1987" t="s">
        <v>2578</v>
      </c>
      <c r="E1987">
        <v>4</v>
      </c>
      <c r="F1987">
        <v>78000</v>
      </c>
      <c r="G1987">
        <v>0</v>
      </c>
      <c r="H1987">
        <v>0</v>
      </c>
      <c r="I1987" t="s">
        <v>2652</v>
      </c>
      <c r="J1987" s="4">
        <f t="shared" ref="J1987:J2001" si="93">E1987*F1987+G1987-H1987</f>
        <v>312000</v>
      </c>
      <c r="K1987" s="4" t="str">
        <f t="shared" ref="K1987:K2001" si="94">LEFT(A1987,7)</f>
        <v>2024-07</v>
      </c>
      <c r="L1987" s="4" t="str">
        <f t="shared" ref="L1987:L2001" si="95">TEXT(WEEKDAY(A1987),"aaa")</f>
        <v>월</v>
      </c>
      <c r="M1987" s="2" t="str">
        <f>VLOOKUP($C1987, 고객정보!$A$2:$E$151, 2, FALSE)</f>
        <v>수원</v>
      </c>
      <c r="N1987" t="str">
        <f>VLOOKUP(C1987,고객정보!$A$2:$D$151,4,FALSE)</f>
        <v>L5</v>
      </c>
      <c r="O1987" t="str">
        <f>VLOOKUP($C1987, 고객정보!$A$2:$E$151, 5, FALSE)</f>
        <v>30대</v>
      </c>
      <c r="P1987" t="str">
        <f>VLOOKUP(D1987,상품정보!$A$2:$E$61,2,FALSE)</f>
        <v>귀걸이</v>
      </c>
      <c r="Q1987" t="str">
        <f>VLOOKUP(D1987,상품정보!$A$2:$D$151,3,FALSE)</f>
        <v>액세서리</v>
      </c>
      <c r="R1987" t="str">
        <f>VLOOKUP(D1987,상품정보!$A$2:$D$151,4,FALSE)</f>
        <v>브랜드B</v>
      </c>
    </row>
    <row r="1988" spans="1:18" x14ac:dyDescent="0.45">
      <c r="A1988" t="s">
        <v>174</v>
      </c>
      <c r="B1988" t="s">
        <v>2387</v>
      </c>
      <c r="C1988" t="s">
        <v>2509</v>
      </c>
      <c r="D1988" t="s">
        <v>2604</v>
      </c>
      <c r="E1988">
        <v>5</v>
      </c>
      <c r="F1988">
        <v>9700</v>
      </c>
      <c r="G1988">
        <v>0</v>
      </c>
      <c r="H1988">
        <v>30400</v>
      </c>
      <c r="I1988" t="s">
        <v>2612</v>
      </c>
      <c r="J1988" s="4">
        <f t="shared" si="93"/>
        <v>18100</v>
      </c>
      <c r="K1988" s="4" t="str">
        <f t="shared" si="94"/>
        <v>2024-12</v>
      </c>
      <c r="L1988" s="4" t="str">
        <f t="shared" si="95"/>
        <v>금</v>
      </c>
      <c r="M1988" s="2" t="str">
        <f>VLOOKUP($C1988, 고객정보!$A$2:$E$151, 2, FALSE)</f>
        <v>서울</v>
      </c>
      <c r="N1988" t="str">
        <f>VLOOKUP(C1988,고객정보!$A$2:$D$151,4,FALSE)</f>
        <v>L4</v>
      </c>
      <c r="O1988" t="str">
        <f>VLOOKUP($C1988, 고객정보!$A$2:$E$151, 5, FALSE)</f>
        <v>40대</v>
      </c>
      <c r="P1988" t="str">
        <f>VLOOKUP(D1988,상품정보!$A$2:$E$61,2,FALSE)</f>
        <v>반팔 티셔츠</v>
      </c>
      <c r="Q1988" t="str">
        <f>VLOOKUP(D1988,상품정보!$A$2:$D$151,3,FALSE)</f>
        <v>의류</v>
      </c>
      <c r="R1988" t="str">
        <f>VLOOKUP(D1988,상품정보!$A$2:$D$151,4,FALSE)</f>
        <v>브랜드E</v>
      </c>
    </row>
    <row r="1989" spans="1:18" x14ac:dyDescent="0.45">
      <c r="A1989" t="s">
        <v>321</v>
      </c>
      <c r="B1989" t="s">
        <v>2388</v>
      </c>
      <c r="C1989" t="s">
        <v>2483</v>
      </c>
      <c r="D1989" t="s">
        <v>2560</v>
      </c>
      <c r="E1989">
        <v>2</v>
      </c>
      <c r="F1989">
        <v>60600</v>
      </c>
      <c r="G1989">
        <v>0</v>
      </c>
      <c r="H1989">
        <v>0</v>
      </c>
      <c r="I1989" t="s">
        <v>2652</v>
      </c>
      <c r="J1989" s="4">
        <f t="shared" si="93"/>
        <v>121200</v>
      </c>
      <c r="K1989" s="4" t="str">
        <f t="shared" si="94"/>
        <v>2025-01</v>
      </c>
      <c r="L1989" s="4" t="str">
        <f t="shared" si="95"/>
        <v>목</v>
      </c>
      <c r="M1989" s="2" t="str">
        <f>VLOOKUP($C1989, 고객정보!$A$2:$E$151, 2, FALSE)</f>
        <v>인천</v>
      </c>
      <c r="N1989" t="str">
        <f>VLOOKUP(C1989,고객정보!$A$2:$D$151,4,FALSE)</f>
        <v>L1</v>
      </c>
      <c r="O1989" t="str">
        <f>VLOOKUP($C1989, 고객정보!$A$2:$E$151, 5, FALSE)</f>
        <v>30대</v>
      </c>
      <c r="P1989" t="str">
        <f>VLOOKUP(D1989,상품정보!$A$2:$E$61,2,FALSE)</f>
        <v>반팔 티셔츠</v>
      </c>
      <c r="Q1989" t="str">
        <f>VLOOKUP(D1989,상품정보!$A$2:$D$151,3,FALSE)</f>
        <v>의류</v>
      </c>
      <c r="R1989" t="str">
        <f>VLOOKUP(D1989,상품정보!$A$2:$D$151,4,FALSE)</f>
        <v>브랜드F</v>
      </c>
    </row>
    <row r="1990" spans="1:18" x14ac:dyDescent="0.45">
      <c r="A1990" t="s">
        <v>21</v>
      </c>
      <c r="B1990" t="s">
        <v>2389</v>
      </c>
      <c r="C1990" t="s">
        <v>2530</v>
      </c>
      <c r="D1990" t="s">
        <v>2598</v>
      </c>
      <c r="E1990">
        <v>1</v>
      </c>
      <c r="F1990">
        <v>77300</v>
      </c>
      <c r="G1990">
        <v>500</v>
      </c>
      <c r="H1990">
        <v>0</v>
      </c>
      <c r="I1990" t="s">
        <v>2652</v>
      </c>
      <c r="J1990" s="4">
        <f t="shared" si="93"/>
        <v>77800</v>
      </c>
      <c r="K1990" s="4" t="str">
        <f t="shared" si="94"/>
        <v>2024-11</v>
      </c>
      <c r="L1990" s="4" t="str">
        <f t="shared" si="95"/>
        <v>일</v>
      </c>
      <c r="M1990" s="2" t="str">
        <f>VLOOKUP($C1990, 고객정보!$A$2:$E$151, 2, FALSE)</f>
        <v>대전</v>
      </c>
      <c r="N1990" t="str">
        <f>VLOOKUP(C1990,고객정보!$A$2:$D$151,4,FALSE)</f>
        <v>L2</v>
      </c>
      <c r="O1990" t="str">
        <f>VLOOKUP($C1990, 고객정보!$A$2:$E$151, 5, FALSE)</f>
        <v>20대</v>
      </c>
      <c r="P1990" t="str">
        <f>VLOOKUP(D1990,상품정보!$A$2:$E$61,2,FALSE)</f>
        <v>청바지</v>
      </c>
      <c r="Q1990" t="str">
        <f>VLOOKUP(D1990,상품정보!$A$2:$D$151,3,FALSE)</f>
        <v>의류</v>
      </c>
      <c r="R1990" t="str">
        <f>VLOOKUP(D1990,상품정보!$A$2:$D$151,4,FALSE)</f>
        <v>브랜드F</v>
      </c>
    </row>
    <row r="1991" spans="1:18" x14ac:dyDescent="0.45">
      <c r="A1991" t="s">
        <v>344</v>
      </c>
      <c r="B1991" t="s">
        <v>2390</v>
      </c>
      <c r="C1991" t="s">
        <v>2471</v>
      </c>
      <c r="D1991" t="s">
        <v>2603</v>
      </c>
      <c r="E1991">
        <v>4</v>
      </c>
      <c r="F1991">
        <v>8200</v>
      </c>
      <c r="G1991">
        <v>1000</v>
      </c>
      <c r="H1991">
        <v>1200</v>
      </c>
      <c r="I1991" t="s">
        <v>2613</v>
      </c>
      <c r="J1991" s="4">
        <f t="shared" si="93"/>
        <v>32600</v>
      </c>
      <c r="K1991" s="4" t="str">
        <f t="shared" si="94"/>
        <v>2024-01</v>
      </c>
      <c r="L1991" s="4" t="str">
        <f t="shared" si="95"/>
        <v>수</v>
      </c>
      <c r="M1991" s="2" t="str">
        <f>VLOOKUP($C1991, 고객정보!$A$2:$E$151, 2, FALSE)</f>
        <v>서울</v>
      </c>
      <c r="N1991" t="str">
        <f>VLOOKUP(C1991,고객정보!$A$2:$D$151,4,FALSE)</f>
        <v>L5</v>
      </c>
      <c r="O1991" t="str">
        <f>VLOOKUP($C1991, 고객정보!$A$2:$E$151, 5, FALSE)</f>
        <v>40대</v>
      </c>
      <c r="P1991" t="str">
        <f>VLOOKUP(D1991,상품정보!$A$2:$E$61,2,FALSE)</f>
        <v>목걸이</v>
      </c>
      <c r="Q1991" t="str">
        <f>VLOOKUP(D1991,상품정보!$A$2:$D$151,3,FALSE)</f>
        <v>액세서리</v>
      </c>
      <c r="R1991" t="str">
        <f>VLOOKUP(D1991,상품정보!$A$2:$D$151,4,FALSE)</f>
        <v>브랜드E</v>
      </c>
    </row>
    <row r="1992" spans="1:18" x14ac:dyDescent="0.45">
      <c r="A1992" t="s">
        <v>302</v>
      </c>
      <c r="B1992" t="s">
        <v>2391</v>
      </c>
      <c r="C1992" t="s">
        <v>2463</v>
      </c>
      <c r="D1992" t="s">
        <v>2585</v>
      </c>
      <c r="E1992">
        <v>2</v>
      </c>
      <c r="F1992">
        <v>14900</v>
      </c>
      <c r="G1992">
        <v>1000</v>
      </c>
      <c r="H1992">
        <v>10800</v>
      </c>
      <c r="I1992" t="s">
        <v>2614</v>
      </c>
      <c r="J1992" s="4">
        <f t="shared" si="93"/>
        <v>20000</v>
      </c>
      <c r="K1992" s="4" t="str">
        <f t="shared" si="94"/>
        <v>2024-03</v>
      </c>
      <c r="L1992" s="4" t="str">
        <f t="shared" si="95"/>
        <v>금</v>
      </c>
      <c r="M1992" s="2" t="str">
        <f>VLOOKUP($C1992, 고객정보!$A$2:$E$151, 2, FALSE)</f>
        <v>대구</v>
      </c>
      <c r="N1992" t="str">
        <f>VLOOKUP(C1992,고객정보!$A$2:$D$151,4,FALSE)</f>
        <v>L4</v>
      </c>
      <c r="O1992" t="str">
        <f>VLOOKUP($C1992, 고객정보!$A$2:$E$151, 5, FALSE)</f>
        <v>20대</v>
      </c>
      <c r="P1992" t="str">
        <f>VLOOKUP(D1992,상품정보!$A$2:$E$61,2,FALSE)</f>
        <v>반팔 티셔츠</v>
      </c>
      <c r="Q1992" t="str">
        <f>VLOOKUP(D1992,상품정보!$A$2:$D$151,3,FALSE)</f>
        <v>의류</v>
      </c>
      <c r="R1992" t="str">
        <f>VLOOKUP(D1992,상품정보!$A$2:$D$151,4,FALSE)</f>
        <v>브랜드C</v>
      </c>
    </row>
    <row r="1993" spans="1:18" x14ac:dyDescent="0.45">
      <c r="A1993" t="s">
        <v>243</v>
      </c>
      <c r="B1993" t="s">
        <v>2392</v>
      </c>
      <c r="C1993" t="s">
        <v>2441</v>
      </c>
      <c r="D1993" t="s">
        <v>2591</v>
      </c>
      <c r="E1993">
        <v>5</v>
      </c>
      <c r="F1993">
        <v>69200</v>
      </c>
      <c r="G1993">
        <v>500</v>
      </c>
      <c r="H1993">
        <v>0</v>
      </c>
      <c r="I1993" t="s">
        <v>2652</v>
      </c>
      <c r="J1993" s="4">
        <f t="shared" si="93"/>
        <v>346500</v>
      </c>
      <c r="K1993" s="4" t="str">
        <f t="shared" si="94"/>
        <v>2024-07</v>
      </c>
      <c r="L1993" s="4" t="str">
        <f t="shared" si="95"/>
        <v>목</v>
      </c>
      <c r="M1993" s="2" t="str">
        <f>VLOOKUP($C1993, 고객정보!$A$2:$E$151, 2, FALSE)</f>
        <v>부산</v>
      </c>
      <c r="N1993" t="str">
        <f>VLOOKUP(C1993,고객정보!$A$2:$D$151,4,FALSE)</f>
        <v>L2</v>
      </c>
      <c r="O1993" t="str">
        <f>VLOOKUP($C1993, 고객정보!$A$2:$E$151, 5, FALSE)</f>
        <v>20대</v>
      </c>
      <c r="P1993" t="str">
        <f>VLOOKUP(D1993,상품정보!$A$2:$E$61,2,FALSE)</f>
        <v>셔츠</v>
      </c>
      <c r="Q1993" t="str">
        <f>VLOOKUP(D1993,상품정보!$A$2:$D$151,3,FALSE)</f>
        <v>의류</v>
      </c>
      <c r="R1993" t="str">
        <f>VLOOKUP(D1993,상품정보!$A$2:$D$151,4,FALSE)</f>
        <v>브랜드F</v>
      </c>
    </row>
    <row r="1994" spans="1:18" x14ac:dyDescent="0.45">
      <c r="A1994" t="s">
        <v>129</v>
      </c>
      <c r="B1994" t="s">
        <v>2393</v>
      </c>
      <c r="C1994" t="s">
        <v>2502</v>
      </c>
      <c r="D1994" t="s">
        <v>2554</v>
      </c>
      <c r="E1994">
        <v>2</v>
      </c>
      <c r="F1994">
        <v>12100</v>
      </c>
      <c r="G1994">
        <v>500</v>
      </c>
      <c r="H1994">
        <v>0</v>
      </c>
      <c r="I1994" t="s">
        <v>2652</v>
      </c>
      <c r="J1994" s="4">
        <f t="shared" si="93"/>
        <v>24700</v>
      </c>
      <c r="K1994" s="4" t="str">
        <f t="shared" si="94"/>
        <v>2024-08</v>
      </c>
      <c r="L1994" s="4" t="str">
        <f t="shared" si="95"/>
        <v>일</v>
      </c>
      <c r="M1994" s="2" t="str">
        <f>VLOOKUP($C1994, 고객정보!$A$2:$E$151, 2, FALSE)</f>
        <v>부산</v>
      </c>
      <c r="N1994" t="str">
        <f>VLOOKUP(C1994,고객정보!$A$2:$D$151,4,FALSE)</f>
        <v>L4</v>
      </c>
      <c r="O1994" t="str">
        <f>VLOOKUP($C1994, 고객정보!$A$2:$E$151, 5, FALSE)</f>
        <v>20대</v>
      </c>
      <c r="P1994" t="str">
        <f>VLOOKUP(D1994,상품정보!$A$2:$E$61,2,FALSE)</f>
        <v>귀걸이</v>
      </c>
      <c r="Q1994" t="str">
        <f>VLOOKUP(D1994,상품정보!$A$2:$D$151,3,FALSE)</f>
        <v>액세서리</v>
      </c>
      <c r="R1994" t="str">
        <f>VLOOKUP(D1994,상품정보!$A$2:$D$151,4,FALSE)</f>
        <v>브랜드D</v>
      </c>
    </row>
    <row r="1995" spans="1:18" x14ac:dyDescent="0.45">
      <c r="A1995" t="s">
        <v>280</v>
      </c>
      <c r="B1995" t="s">
        <v>2394</v>
      </c>
      <c r="C1995" t="s">
        <v>2420</v>
      </c>
      <c r="D1995" t="s">
        <v>2565</v>
      </c>
      <c r="E1995">
        <v>1</v>
      </c>
      <c r="F1995">
        <v>50000</v>
      </c>
      <c r="G1995">
        <v>0</v>
      </c>
      <c r="H1995">
        <v>0</v>
      </c>
      <c r="I1995" t="s">
        <v>2652</v>
      </c>
      <c r="J1995" s="4">
        <f t="shared" si="93"/>
        <v>50000</v>
      </c>
      <c r="K1995" s="4" t="str">
        <f t="shared" si="94"/>
        <v>2024-04</v>
      </c>
      <c r="L1995" s="4" t="str">
        <f t="shared" si="95"/>
        <v>화</v>
      </c>
      <c r="M1995" s="2" t="str">
        <f>VLOOKUP($C1995, 고객정보!$A$2:$E$151, 2, FALSE)</f>
        <v>대전</v>
      </c>
      <c r="N1995" t="str">
        <f>VLOOKUP(C1995,고객정보!$A$2:$D$151,4,FALSE)</f>
        <v>L3</v>
      </c>
      <c r="O1995" t="str">
        <f>VLOOKUP($C1995, 고객정보!$A$2:$E$151, 5, FALSE)</f>
        <v>30대</v>
      </c>
      <c r="P1995" t="str">
        <f>VLOOKUP(D1995,상품정보!$A$2:$E$61,2,FALSE)</f>
        <v>핸드폰케이스</v>
      </c>
      <c r="Q1995" t="str">
        <f>VLOOKUP(D1995,상품정보!$A$2:$D$151,3,FALSE)</f>
        <v>액세서리</v>
      </c>
      <c r="R1995" t="str">
        <f>VLOOKUP(D1995,상품정보!$A$2:$D$151,4,FALSE)</f>
        <v>브랜드B</v>
      </c>
    </row>
    <row r="1996" spans="1:18" x14ac:dyDescent="0.45">
      <c r="A1996" t="s">
        <v>157</v>
      </c>
      <c r="B1996" t="s">
        <v>2395</v>
      </c>
      <c r="C1996" t="s">
        <v>2401</v>
      </c>
      <c r="D1996" t="s">
        <v>2577</v>
      </c>
      <c r="E1996">
        <v>2</v>
      </c>
      <c r="F1996">
        <v>10200</v>
      </c>
      <c r="G1996">
        <v>0</v>
      </c>
      <c r="H1996">
        <v>8500</v>
      </c>
      <c r="I1996" t="s">
        <v>2611</v>
      </c>
      <c r="J1996" s="4">
        <f t="shared" si="93"/>
        <v>11900</v>
      </c>
      <c r="K1996" s="4" t="str">
        <f t="shared" si="94"/>
        <v>2024-12</v>
      </c>
      <c r="L1996" s="4" t="str">
        <f t="shared" si="95"/>
        <v>월</v>
      </c>
      <c r="M1996" s="2" t="str">
        <f>VLOOKUP($C1996, 고객정보!$A$2:$E$151, 2, FALSE)</f>
        <v>대구</v>
      </c>
      <c r="N1996" t="str">
        <f>VLOOKUP(C1996,고객정보!$A$2:$D$151,4,FALSE)</f>
        <v>L2</v>
      </c>
      <c r="O1996" t="str">
        <f>VLOOKUP($C1996, 고객정보!$A$2:$E$151, 5, FALSE)</f>
        <v>30대</v>
      </c>
      <c r="P1996" t="str">
        <f>VLOOKUP(D1996,상품정보!$A$2:$E$61,2,FALSE)</f>
        <v>셔츠</v>
      </c>
      <c r="Q1996" t="str">
        <f>VLOOKUP(D1996,상품정보!$A$2:$D$151,3,FALSE)</f>
        <v>의류</v>
      </c>
      <c r="R1996" t="str">
        <f>VLOOKUP(D1996,상품정보!$A$2:$D$151,4,FALSE)</f>
        <v>브랜드C</v>
      </c>
    </row>
    <row r="1997" spans="1:18" x14ac:dyDescent="0.45">
      <c r="A1997" t="s">
        <v>272</v>
      </c>
      <c r="B1997" t="s">
        <v>2396</v>
      </c>
      <c r="C1997" t="s">
        <v>2446</v>
      </c>
      <c r="D1997" t="s">
        <v>2583</v>
      </c>
      <c r="E1997">
        <v>2</v>
      </c>
      <c r="F1997">
        <v>6600</v>
      </c>
      <c r="G1997">
        <v>1000</v>
      </c>
      <c r="H1997">
        <v>0</v>
      </c>
      <c r="I1997" t="s">
        <v>2652</v>
      </c>
      <c r="J1997" s="4">
        <f t="shared" si="93"/>
        <v>14200</v>
      </c>
      <c r="K1997" s="4" t="str">
        <f t="shared" si="94"/>
        <v>2024-03</v>
      </c>
      <c r="L1997" s="4" t="str">
        <f t="shared" si="95"/>
        <v>금</v>
      </c>
      <c r="M1997" s="2" t="str">
        <f>VLOOKUP($C1997, 고객정보!$A$2:$E$151, 2, FALSE)</f>
        <v>대전</v>
      </c>
      <c r="N1997" t="str">
        <f>VLOOKUP(C1997,고객정보!$A$2:$D$151,4,FALSE)</f>
        <v>L2</v>
      </c>
      <c r="O1997" t="str">
        <f>VLOOKUP($C1997, 고객정보!$A$2:$E$151, 5, FALSE)</f>
        <v>50대 이상</v>
      </c>
      <c r="P1997" t="str">
        <f>VLOOKUP(D1997,상품정보!$A$2:$E$61,2,FALSE)</f>
        <v>셔츠</v>
      </c>
      <c r="Q1997" t="str">
        <f>VLOOKUP(D1997,상품정보!$A$2:$D$151,3,FALSE)</f>
        <v>의류</v>
      </c>
      <c r="R1997" t="str">
        <f>VLOOKUP(D1997,상품정보!$A$2:$D$151,4,FALSE)</f>
        <v>브랜드E</v>
      </c>
    </row>
    <row r="1998" spans="1:18" x14ac:dyDescent="0.45">
      <c r="A1998" t="s">
        <v>120</v>
      </c>
      <c r="B1998" t="s">
        <v>2397</v>
      </c>
      <c r="C1998" t="s">
        <v>2473</v>
      </c>
      <c r="D1998" t="s">
        <v>2596</v>
      </c>
      <c r="E1998">
        <v>3</v>
      </c>
      <c r="F1998">
        <v>59700</v>
      </c>
      <c r="G1998">
        <v>2000</v>
      </c>
      <c r="H1998">
        <v>5200</v>
      </c>
      <c r="I1998" t="s">
        <v>2614</v>
      </c>
      <c r="J1998" s="4">
        <f t="shared" si="93"/>
        <v>175900</v>
      </c>
      <c r="K1998" s="4" t="str">
        <f t="shared" si="94"/>
        <v>2024-05</v>
      </c>
      <c r="L1998" s="4" t="str">
        <f t="shared" si="95"/>
        <v>토</v>
      </c>
      <c r="M1998" s="2" t="str">
        <f>VLOOKUP($C1998, 고객정보!$A$2:$E$151, 2, FALSE)</f>
        <v>수원</v>
      </c>
      <c r="N1998" t="str">
        <f>VLOOKUP(C1998,고객정보!$A$2:$D$151,4,FALSE)</f>
        <v>L3</v>
      </c>
      <c r="O1998" t="str">
        <f>VLOOKUP($C1998, 고객정보!$A$2:$E$151, 5, FALSE)</f>
        <v>50대 이상</v>
      </c>
      <c r="P1998" t="str">
        <f>VLOOKUP(D1998,상품정보!$A$2:$E$61,2,FALSE)</f>
        <v>청바지</v>
      </c>
      <c r="Q1998" t="str">
        <f>VLOOKUP(D1998,상품정보!$A$2:$D$151,3,FALSE)</f>
        <v>의류</v>
      </c>
      <c r="R1998" t="str">
        <f>VLOOKUP(D1998,상품정보!$A$2:$D$151,4,FALSE)</f>
        <v>브랜드A</v>
      </c>
    </row>
    <row r="1999" spans="1:18" x14ac:dyDescent="0.45">
      <c r="A1999" t="s">
        <v>121</v>
      </c>
      <c r="B1999" t="s">
        <v>2398</v>
      </c>
      <c r="C1999" t="s">
        <v>2420</v>
      </c>
      <c r="D1999" t="s">
        <v>2609</v>
      </c>
      <c r="E1999">
        <v>3</v>
      </c>
      <c r="F1999">
        <v>58600</v>
      </c>
      <c r="G1999">
        <v>0</v>
      </c>
      <c r="H1999">
        <v>0</v>
      </c>
      <c r="I1999" t="s">
        <v>2652</v>
      </c>
      <c r="J1999" s="4">
        <f t="shared" si="93"/>
        <v>175800</v>
      </c>
      <c r="K1999" s="4" t="str">
        <f t="shared" si="94"/>
        <v>2024-06</v>
      </c>
      <c r="L1999" s="4" t="str">
        <f t="shared" si="95"/>
        <v>목</v>
      </c>
      <c r="M1999" s="2" t="str">
        <f>VLOOKUP($C1999, 고객정보!$A$2:$E$151, 2, FALSE)</f>
        <v>대전</v>
      </c>
      <c r="N1999" t="str">
        <f>VLOOKUP(C1999,고객정보!$A$2:$D$151,4,FALSE)</f>
        <v>L3</v>
      </c>
      <c r="O1999" t="str">
        <f>VLOOKUP($C1999, 고객정보!$A$2:$E$151, 5, FALSE)</f>
        <v>30대</v>
      </c>
      <c r="P1999" t="str">
        <f>VLOOKUP(D1999,상품정보!$A$2:$E$61,2,FALSE)</f>
        <v>목걸이</v>
      </c>
      <c r="Q1999" t="str">
        <f>VLOOKUP(D1999,상품정보!$A$2:$D$151,3,FALSE)</f>
        <v>액세서리</v>
      </c>
      <c r="R1999" t="str">
        <f>VLOOKUP(D1999,상품정보!$A$2:$D$151,4,FALSE)</f>
        <v>브랜드F</v>
      </c>
    </row>
    <row r="2000" spans="1:18" x14ac:dyDescent="0.45">
      <c r="A2000" t="s">
        <v>255</v>
      </c>
      <c r="B2000" t="s">
        <v>2399</v>
      </c>
      <c r="C2000" t="s">
        <v>2462</v>
      </c>
      <c r="D2000" t="s">
        <v>2564</v>
      </c>
      <c r="E2000">
        <v>1</v>
      </c>
      <c r="F2000">
        <v>66600</v>
      </c>
      <c r="G2000">
        <v>1000</v>
      </c>
      <c r="H2000">
        <v>0</v>
      </c>
      <c r="I2000" t="s">
        <v>2652</v>
      </c>
      <c r="J2000" s="4">
        <f t="shared" si="93"/>
        <v>67600</v>
      </c>
      <c r="K2000" s="4" t="str">
        <f t="shared" si="94"/>
        <v>2025-01</v>
      </c>
      <c r="L2000" s="4" t="str">
        <f t="shared" si="95"/>
        <v>화</v>
      </c>
      <c r="M2000" s="2" t="str">
        <f>VLOOKUP($C2000, 고객정보!$A$2:$E$151, 2, FALSE)</f>
        <v>광주</v>
      </c>
      <c r="N2000" t="str">
        <f>VLOOKUP(C2000,고객정보!$A$2:$D$151,4,FALSE)</f>
        <v>L5</v>
      </c>
      <c r="O2000" t="str">
        <f>VLOOKUP($C2000, 고객정보!$A$2:$E$151, 5, FALSE)</f>
        <v>50대 이상</v>
      </c>
      <c r="P2000" t="str">
        <f>VLOOKUP(D2000,상품정보!$A$2:$E$61,2,FALSE)</f>
        <v>청바지</v>
      </c>
      <c r="Q2000" t="str">
        <f>VLOOKUP(D2000,상품정보!$A$2:$D$151,3,FALSE)</f>
        <v>의류</v>
      </c>
      <c r="R2000" t="str">
        <f>VLOOKUP(D2000,상품정보!$A$2:$D$151,4,FALSE)</f>
        <v>브랜드B</v>
      </c>
    </row>
    <row r="2001" spans="1:18" x14ac:dyDescent="0.45">
      <c r="A2001" t="s">
        <v>266</v>
      </c>
      <c r="B2001" t="s">
        <v>2400</v>
      </c>
      <c r="C2001" t="s">
        <v>2455</v>
      </c>
      <c r="D2001" t="s">
        <v>2568</v>
      </c>
      <c r="E2001">
        <v>5</v>
      </c>
      <c r="F2001">
        <v>16800</v>
      </c>
      <c r="G2001">
        <v>0</v>
      </c>
      <c r="H2001">
        <v>0</v>
      </c>
      <c r="I2001" t="s">
        <v>2652</v>
      </c>
      <c r="J2001" s="4">
        <f t="shared" si="93"/>
        <v>84000</v>
      </c>
      <c r="K2001" s="4" t="str">
        <f t="shared" si="94"/>
        <v>2024-03</v>
      </c>
      <c r="L2001" s="4" t="str">
        <f t="shared" si="95"/>
        <v>일</v>
      </c>
      <c r="M2001" s="2" t="str">
        <f>VLOOKUP($C2001, 고객정보!$A$2:$E$151, 2, FALSE)</f>
        <v>서울</v>
      </c>
      <c r="N2001" t="str">
        <f>VLOOKUP(C2001,고객정보!$A$2:$D$151,4,FALSE)</f>
        <v>L5</v>
      </c>
      <c r="O2001" t="str">
        <f>VLOOKUP($C2001, 고객정보!$A$2:$E$151, 5, FALSE)</f>
        <v>20대</v>
      </c>
      <c r="P2001" t="str">
        <f>VLOOKUP(D2001,상품정보!$A$2:$E$61,2,FALSE)</f>
        <v>청바지</v>
      </c>
      <c r="Q2001" t="str">
        <f>VLOOKUP(D2001,상품정보!$A$2:$D$151,3,FALSE)</f>
        <v>의류</v>
      </c>
      <c r="R2001" t="str">
        <f>VLOOKUP(D2001,상품정보!$A$2:$D$151,4,FALSE)</f>
        <v>브랜드C</v>
      </c>
    </row>
  </sheetData>
  <autoFilter ref="A1:I2001" xr:uid="{A61BB3EB-8FA9-47EC-8BBB-8A3D79EB96E5}"/>
  <phoneticPr fontId="2" type="noConversion"/>
  <conditionalFormatting sqref="B2004:B1048576 B1:B200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1"/>
  <sheetViews>
    <sheetView tabSelected="1" zoomScale="55" zoomScaleNormal="55" workbookViewId="0">
      <selection activeCell="G22" sqref="G22"/>
    </sheetView>
  </sheetViews>
  <sheetFormatPr defaultColWidth="8.83203125" defaultRowHeight="17" x14ac:dyDescent="0.45"/>
  <cols>
    <col min="4" max="4" width="11.1640625" bestFit="1" customWidth="1"/>
  </cols>
  <sheetData>
    <row r="1" spans="1:5" x14ac:dyDescent="0.45">
      <c r="A1" s="1" t="s">
        <v>2</v>
      </c>
      <c r="B1" s="1" t="s">
        <v>2615</v>
      </c>
      <c r="C1" s="1" t="s">
        <v>2647</v>
      </c>
      <c r="D1" s="1" t="s">
        <v>2616</v>
      </c>
      <c r="E1" s="1" t="s">
        <v>2658</v>
      </c>
    </row>
    <row r="2" spans="1:5" x14ac:dyDescent="0.45">
      <c r="A2" t="s">
        <v>2490</v>
      </c>
      <c r="B2" t="s">
        <v>2617</v>
      </c>
      <c r="C2">
        <v>22</v>
      </c>
      <c r="D2" t="s">
        <v>2624</v>
      </c>
      <c r="E2" t="str">
        <f>_xlfn.IFS(C2&lt;=19, "10대", C2&lt;=29,"20대",C2&lt;=39,"30대",C2&lt;=49,"40대",TRUE,"50대 이상")</f>
        <v>20대</v>
      </c>
    </row>
    <row r="3" spans="1:5" x14ac:dyDescent="0.45">
      <c r="A3" t="s">
        <v>2408</v>
      </c>
      <c r="B3" t="s">
        <v>2618</v>
      </c>
      <c r="C3">
        <v>29</v>
      </c>
      <c r="D3" t="s">
        <v>2625</v>
      </c>
      <c r="E3" t="str">
        <f t="shared" ref="E3:E66" si="0">_xlfn.IFS(C3&lt;=19, "10대", C3&lt;=29,"20대",C3&lt;=39,"30대",C3&lt;=49,"40대",TRUE,"50대 이상")</f>
        <v>20대</v>
      </c>
    </row>
    <row r="4" spans="1:5" x14ac:dyDescent="0.45">
      <c r="A4" t="s">
        <v>2435</v>
      </c>
      <c r="B4" t="s">
        <v>2619</v>
      </c>
      <c r="C4">
        <v>36</v>
      </c>
      <c r="D4" t="s">
        <v>2625</v>
      </c>
      <c r="E4" t="str">
        <f t="shared" si="0"/>
        <v>30대</v>
      </c>
    </row>
    <row r="5" spans="1:5" x14ac:dyDescent="0.45">
      <c r="A5" t="s">
        <v>2514</v>
      </c>
      <c r="B5" t="s">
        <v>2620</v>
      </c>
      <c r="C5">
        <v>20</v>
      </c>
      <c r="D5" t="s">
        <v>2626</v>
      </c>
      <c r="E5" t="str">
        <f t="shared" si="0"/>
        <v>20대</v>
      </c>
    </row>
    <row r="6" spans="1:5" x14ac:dyDescent="0.45">
      <c r="A6" t="s">
        <v>2539</v>
      </c>
      <c r="B6" t="s">
        <v>2621</v>
      </c>
      <c r="C6">
        <v>56</v>
      </c>
      <c r="D6" t="s">
        <v>2626</v>
      </c>
      <c r="E6" t="str">
        <f t="shared" si="0"/>
        <v>50대 이상</v>
      </c>
    </row>
    <row r="7" spans="1:5" x14ac:dyDescent="0.45">
      <c r="A7" t="s">
        <v>2520</v>
      </c>
      <c r="B7" t="s">
        <v>2621</v>
      </c>
      <c r="C7">
        <v>40</v>
      </c>
      <c r="D7" t="s">
        <v>2627</v>
      </c>
      <c r="E7" t="str">
        <f t="shared" si="0"/>
        <v>40대</v>
      </c>
    </row>
    <row r="8" spans="1:5" x14ac:dyDescent="0.45">
      <c r="A8" t="s">
        <v>2480</v>
      </c>
      <c r="B8" t="s">
        <v>2621</v>
      </c>
      <c r="C8">
        <v>21</v>
      </c>
      <c r="D8" t="s">
        <v>2626</v>
      </c>
      <c r="E8" t="str">
        <f t="shared" si="0"/>
        <v>20대</v>
      </c>
    </row>
    <row r="9" spans="1:5" x14ac:dyDescent="0.45">
      <c r="A9" t="s">
        <v>2503</v>
      </c>
      <c r="B9" t="s">
        <v>2622</v>
      </c>
      <c r="C9">
        <v>45</v>
      </c>
      <c r="D9" t="s">
        <v>2624</v>
      </c>
      <c r="E9" t="str">
        <f t="shared" si="0"/>
        <v>40대</v>
      </c>
    </row>
    <row r="10" spans="1:5" x14ac:dyDescent="0.45">
      <c r="A10" t="s">
        <v>2404</v>
      </c>
      <c r="B10" t="s">
        <v>2620</v>
      </c>
      <c r="C10">
        <v>37</v>
      </c>
      <c r="D10" t="s">
        <v>2626</v>
      </c>
      <c r="E10" t="str">
        <f t="shared" si="0"/>
        <v>30대</v>
      </c>
    </row>
    <row r="11" spans="1:5" x14ac:dyDescent="0.45">
      <c r="A11" t="s">
        <v>2483</v>
      </c>
      <c r="B11" t="s">
        <v>2619</v>
      </c>
      <c r="C11">
        <v>30</v>
      </c>
      <c r="D11" t="s">
        <v>2626</v>
      </c>
      <c r="E11" t="str">
        <f t="shared" si="0"/>
        <v>30대</v>
      </c>
    </row>
    <row r="12" spans="1:5" x14ac:dyDescent="0.45">
      <c r="A12" t="s">
        <v>2476</v>
      </c>
      <c r="B12" t="s">
        <v>2621</v>
      </c>
      <c r="C12">
        <v>18</v>
      </c>
      <c r="D12" t="s">
        <v>2627</v>
      </c>
      <c r="E12" t="str">
        <f t="shared" si="0"/>
        <v>10대</v>
      </c>
    </row>
    <row r="13" spans="1:5" x14ac:dyDescent="0.45">
      <c r="A13" t="s">
        <v>2473</v>
      </c>
      <c r="B13" t="s">
        <v>2618</v>
      </c>
      <c r="C13">
        <v>52</v>
      </c>
      <c r="D13" t="s">
        <v>2624</v>
      </c>
      <c r="E13" t="str">
        <f t="shared" si="0"/>
        <v>50대 이상</v>
      </c>
    </row>
    <row r="14" spans="1:5" x14ac:dyDescent="0.45">
      <c r="A14" t="s">
        <v>2431</v>
      </c>
      <c r="B14" t="s">
        <v>2623</v>
      </c>
      <c r="C14">
        <v>48</v>
      </c>
      <c r="D14" t="s">
        <v>2624</v>
      </c>
      <c r="E14" t="str">
        <f t="shared" si="0"/>
        <v>40대</v>
      </c>
    </row>
    <row r="15" spans="1:5" x14ac:dyDescent="0.45">
      <c r="A15" t="s">
        <v>2455</v>
      </c>
      <c r="B15" t="s">
        <v>2621</v>
      </c>
      <c r="C15">
        <v>27</v>
      </c>
      <c r="D15" t="s">
        <v>2625</v>
      </c>
      <c r="E15" t="str">
        <f t="shared" si="0"/>
        <v>20대</v>
      </c>
    </row>
    <row r="16" spans="1:5" x14ac:dyDescent="0.45">
      <c r="A16" t="s">
        <v>2443</v>
      </c>
      <c r="B16" t="s">
        <v>2621</v>
      </c>
      <c r="C16">
        <v>39</v>
      </c>
      <c r="D16" t="s">
        <v>2628</v>
      </c>
      <c r="E16" t="str">
        <f t="shared" si="0"/>
        <v>30대</v>
      </c>
    </row>
    <row r="17" spans="1:5" x14ac:dyDescent="0.45">
      <c r="A17" t="s">
        <v>2497</v>
      </c>
      <c r="B17" t="s">
        <v>2621</v>
      </c>
      <c r="C17">
        <v>19</v>
      </c>
      <c r="D17" t="s">
        <v>2624</v>
      </c>
      <c r="E17" t="str">
        <f t="shared" si="0"/>
        <v>10대</v>
      </c>
    </row>
    <row r="18" spans="1:5" x14ac:dyDescent="0.45">
      <c r="A18" t="s">
        <v>2433</v>
      </c>
      <c r="B18" t="s">
        <v>2617</v>
      </c>
      <c r="C18">
        <v>17</v>
      </c>
      <c r="D18" t="s">
        <v>2624</v>
      </c>
      <c r="E18" t="str">
        <f t="shared" si="0"/>
        <v>10대</v>
      </c>
    </row>
    <row r="19" spans="1:5" x14ac:dyDescent="0.45">
      <c r="A19" t="s">
        <v>2416</v>
      </c>
      <c r="B19" t="s">
        <v>2620</v>
      </c>
      <c r="C19">
        <v>42</v>
      </c>
      <c r="D19" t="s">
        <v>2624</v>
      </c>
      <c r="E19" t="str">
        <f t="shared" si="0"/>
        <v>40대</v>
      </c>
    </row>
    <row r="20" spans="1:5" x14ac:dyDescent="0.45">
      <c r="A20" t="s">
        <v>2421</v>
      </c>
      <c r="B20" t="s">
        <v>2617</v>
      </c>
      <c r="C20">
        <v>33</v>
      </c>
      <c r="D20" t="s">
        <v>2624</v>
      </c>
      <c r="E20" t="str">
        <f t="shared" si="0"/>
        <v>30대</v>
      </c>
    </row>
    <row r="21" spans="1:5" x14ac:dyDescent="0.45">
      <c r="A21" t="s">
        <v>2532</v>
      </c>
      <c r="B21" t="s">
        <v>2621</v>
      </c>
      <c r="C21">
        <v>60</v>
      </c>
      <c r="D21" t="s">
        <v>2627</v>
      </c>
      <c r="E21" t="str">
        <f t="shared" si="0"/>
        <v>50대 이상</v>
      </c>
    </row>
    <row r="22" spans="1:5" x14ac:dyDescent="0.45">
      <c r="A22" t="s">
        <v>2414</v>
      </c>
      <c r="B22" t="s">
        <v>2620</v>
      </c>
      <c r="C22">
        <v>35</v>
      </c>
      <c r="D22" t="s">
        <v>2624</v>
      </c>
      <c r="E22" t="str">
        <f t="shared" si="0"/>
        <v>30대</v>
      </c>
    </row>
    <row r="23" spans="1:5" x14ac:dyDescent="0.45">
      <c r="A23" t="s">
        <v>2444</v>
      </c>
      <c r="B23" t="s">
        <v>2621</v>
      </c>
      <c r="C23">
        <v>49</v>
      </c>
      <c r="D23" t="s">
        <v>2628</v>
      </c>
      <c r="E23" t="str">
        <f t="shared" si="0"/>
        <v>40대</v>
      </c>
    </row>
    <row r="24" spans="1:5" x14ac:dyDescent="0.45">
      <c r="A24" t="s">
        <v>2544</v>
      </c>
      <c r="B24" t="s">
        <v>2621</v>
      </c>
      <c r="C24">
        <v>40</v>
      </c>
      <c r="D24" t="s">
        <v>2625</v>
      </c>
      <c r="E24" t="str">
        <f t="shared" si="0"/>
        <v>40대</v>
      </c>
    </row>
    <row r="25" spans="1:5" x14ac:dyDescent="0.45">
      <c r="A25" t="s">
        <v>2411</v>
      </c>
      <c r="B25" t="s">
        <v>2617</v>
      </c>
      <c r="C25">
        <v>39</v>
      </c>
      <c r="D25" t="s">
        <v>2625</v>
      </c>
      <c r="E25" t="str">
        <f t="shared" si="0"/>
        <v>30대</v>
      </c>
    </row>
    <row r="26" spans="1:5" x14ac:dyDescent="0.45">
      <c r="A26" t="s">
        <v>2454</v>
      </c>
      <c r="B26" t="s">
        <v>2617</v>
      </c>
      <c r="C26">
        <v>48</v>
      </c>
      <c r="D26" t="s">
        <v>2624</v>
      </c>
      <c r="E26" t="str">
        <f t="shared" si="0"/>
        <v>40대</v>
      </c>
    </row>
    <row r="27" spans="1:5" x14ac:dyDescent="0.45">
      <c r="A27" t="s">
        <v>2527</v>
      </c>
      <c r="B27" t="s">
        <v>2623</v>
      </c>
      <c r="C27">
        <v>37</v>
      </c>
      <c r="D27" t="s">
        <v>2627</v>
      </c>
      <c r="E27" t="str">
        <f t="shared" si="0"/>
        <v>30대</v>
      </c>
    </row>
    <row r="28" spans="1:5" x14ac:dyDescent="0.45">
      <c r="A28" t="s">
        <v>2523</v>
      </c>
      <c r="B28" t="s">
        <v>2621</v>
      </c>
      <c r="C28">
        <v>22</v>
      </c>
      <c r="D28" t="s">
        <v>2624</v>
      </c>
      <c r="E28" t="str">
        <f t="shared" si="0"/>
        <v>20대</v>
      </c>
    </row>
    <row r="29" spans="1:5" x14ac:dyDescent="0.45">
      <c r="A29" t="s">
        <v>2438</v>
      </c>
      <c r="B29" t="s">
        <v>2620</v>
      </c>
      <c r="C29">
        <v>35</v>
      </c>
      <c r="D29" t="s">
        <v>2628</v>
      </c>
      <c r="E29" t="str">
        <f t="shared" si="0"/>
        <v>30대</v>
      </c>
    </row>
    <row r="30" spans="1:5" x14ac:dyDescent="0.45">
      <c r="A30" t="s">
        <v>2401</v>
      </c>
      <c r="B30" t="s">
        <v>2620</v>
      </c>
      <c r="C30">
        <v>33</v>
      </c>
      <c r="D30" t="s">
        <v>2627</v>
      </c>
      <c r="E30" t="str">
        <f t="shared" si="0"/>
        <v>30대</v>
      </c>
    </row>
    <row r="31" spans="1:5" x14ac:dyDescent="0.45">
      <c r="A31" t="s">
        <v>2504</v>
      </c>
      <c r="B31" t="s">
        <v>2621</v>
      </c>
      <c r="C31">
        <v>43</v>
      </c>
      <c r="D31" t="s">
        <v>2626</v>
      </c>
      <c r="E31" t="str">
        <f t="shared" si="0"/>
        <v>40대</v>
      </c>
    </row>
    <row r="32" spans="1:5" x14ac:dyDescent="0.45">
      <c r="A32" t="s">
        <v>2449</v>
      </c>
      <c r="B32" t="s">
        <v>2620</v>
      </c>
      <c r="C32">
        <v>49</v>
      </c>
      <c r="D32" t="s">
        <v>2625</v>
      </c>
      <c r="E32" t="str">
        <f t="shared" si="0"/>
        <v>40대</v>
      </c>
    </row>
    <row r="33" spans="1:5" x14ac:dyDescent="0.45">
      <c r="A33" t="s">
        <v>2487</v>
      </c>
      <c r="B33" t="s">
        <v>2621</v>
      </c>
      <c r="C33">
        <v>16</v>
      </c>
      <c r="D33" t="s">
        <v>2626</v>
      </c>
      <c r="E33" t="str">
        <f t="shared" si="0"/>
        <v>10대</v>
      </c>
    </row>
    <row r="34" spans="1:5" x14ac:dyDescent="0.45">
      <c r="A34" t="s">
        <v>2475</v>
      </c>
      <c r="B34" t="s">
        <v>2621</v>
      </c>
      <c r="C34">
        <v>13</v>
      </c>
      <c r="D34" t="s">
        <v>2627</v>
      </c>
      <c r="E34" t="str">
        <f t="shared" si="0"/>
        <v>10대</v>
      </c>
    </row>
    <row r="35" spans="1:5" x14ac:dyDescent="0.45">
      <c r="A35" t="s">
        <v>2469</v>
      </c>
      <c r="B35" t="s">
        <v>2618</v>
      </c>
      <c r="C35">
        <v>20</v>
      </c>
      <c r="D35" t="s">
        <v>2625</v>
      </c>
      <c r="E35" t="str">
        <f t="shared" si="0"/>
        <v>20대</v>
      </c>
    </row>
    <row r="36" spans="1:5" x14ac:dyDescent="0.45">
      <c r="A36" t="s">
        <v>2525</v>
      </c>
      <c r="B36" t="s">
        <v>2618</v>
      </c>
      <c r="C36">
        <v>25</v>
      </c>
      <c r="D36" t="s">
        <v>2628</v>
      </c>
      <c r="E36" t="str">
        <f t="shared" si="0"/>
        <v>20대</v>
      </c>
    </row>
    <row r="37" spans="1:5" x14ac:dyDescent="0.45">
      <c r="A37" t="s">
        <v>2430</v>
      </c>
      <c r="B37" t="s">
        <v>2623</v>
      </c>
      <c r="C37">
        <v>32</v>
      </c>
      <c r="D37" t="s">
        <v>2628</v>
      </c>
      <c r="E37" t="str">
        <f t="shared" si="0"/>
        <v>30대</v>
      </c>
    </row>
    <row r="38" spans="1:5" x14ac:dyDescent="0.45">
      <c r="A38" t="s">
        <v>2518</v>
      </c>
      <c r="B38" t="s">
        <v>2617</v>
      </c>
      <c r="C38">
        <v>41</v>
      </c>
      <c r="D38" t="s">
        <v>2627</v>
      </c>
      <c r="E38" t="str">
        <f t="shared" si="0"/>
        <v>40대</v>
      </c>
    </row>
    <row r="39" spans="1:5" x14ac:dyDescent="0.45">
      <c r="A39" t="s">
        <v>2535</v>
      </c>
      <c r="B39" t="s">
        <v>2621</v>
      </c>
      <c r="C39">
        <v>19</v>
      </c>
      <c r="D39" t="s">
        <v>2627</v>
      </c>
      <c r="E39" t="str">
        <f t="shared" si="0"/>
        <v>10대</v>
      </c>
    </row>
    <row r="40" spans="1:5" x14ac:dyDescent="0.45">
      <c r="A40" t="s">
        <v>2474</v>
      </c>
      <c r="B40" t="s">
        <v>2619</v>
      </c>
      <c r="C40">
        <v>19</v>
      </c>
      <c r="D40" t="s">
        <v>2627</v>
      </c>
      <c r="E40" t="str">
        <f t="shared" si="0"/>
        <v>10대</v>
      </c>
    </row>
    <row r="41" spans="1:5" x14ac:dyDescent="0.45">
      <c r="A41" t="s">
        <v>2477</v>
      </c>
      <c r="B41" t="s">
        <v>2617</v>
      </c>
      <c r="C41">
        <v>24</v>
      </c>
      <c r="D41" t="s">
        <v>2628</v>
      </c>
      <c r="E41" t="str">
        <f t="shared" si="0"/>
        <v>20대</v>
      </c>
    </row>
    <row r="42" spans="1:5" x14ac:dyDescent="0.45">
      <c r="A42" t="s">
        <v>2432</v>
      </c>
      <c r="B42" t="s">
        <v>2621</v>
      </c>
      <c r="C42">
        <v>26</v>
      </c>
      <c r="D42" t="s">
        <v>2625</v>
      </c>
      <c r="E42" t="str">
        <f t="shared" si="0"/>
        <v>20대</v>
      </c>
    </row>
    <row r="43" spans="1:5" x14ac:dyDescent="0.45">
      <c r="A43" t="s">
        <v>2541</v>
      </c>
      <c r="B43" t="s">
        <v>2620</v>
      </c>
      <c r="C43">
        <v>38</v>
      </c>
      <c r="D43" t="s">
        <v>2625</v>
      </c>
      <c r="E43" t="str">
        <f t="shared" si="0"/>
        <v>30대</v>
      </c>
    </row>
    <row r="44" spans="1:5" x14ac:dyDescent="0.45">
      <c r="A44" t="s">
        <v>2499</v>
      </c>
      <c r="B44" t="s">
        <v>2621</v>
      </c>
      <c r="C44">
        <v>42</v>
      </c>
      <c r="D44" t="s">
        <v>2627</v>
      </c>
      <c r="E44" t="str">
        <f t="shared" si="0"/>
        <v>40대</v>
      </c>
    </row>
    <row r="45" spans="1:5" x14ac:dyDescent="0.45">
      <c r="A45" t="s">
        <v>2492</v>
      </c>
      <c r="B45" t="s">
        <v>2652</v>
      </c>
      <c r="C45">
        <v>26</v>
      </c>
      <c r="D45" t="s">
        <v>2626</v>
      </c>
      <c r="E45" t="str">
        <f t="shared" si="0"/>
        <v>20대</v>
      </c>
    </row>
    <row r="46" spans="1:5" x14ac:dyDescent="0.45">
      <c r="A46" t="s">
        <v>2536</v>
      </c>
      <c r="B46" t="s">
        <v>2621</v>
      </c>
      <c r="C46">
        <v>21</v>
      </c>
      <c r="D46" t="s">
        <v>2625</v>
      </c>
      <c r="E46" t="str">
        <f t="shared" si="0"/>
        <v>20대</v>
      </c>
    </row>
    <row r="47" spans="1:5" x14ac:dyDescent="0.45">
      <c r="A47" t="s">
        <v>2478</v>
      </c>
      <c r="B47" t="s">
        <v>2619</v>
      </c>
      <c r="C47">
        <v>43</v>
      </c>
      <c r="D47" t="s">
        <v>2626</v>
      </c>
      <c r="E47" t="str">
        <f t="shared" si="0"/>
        <v>40대</v>
      </c>
    </row>
    <row r="48" spans="1:5" x14ac:dyDescent="0.45">
      <c r="A48" t="s">
        <v>2522</v>
      </c>
      <c r="B48" t="s">
        <v>2617</v>
      </c>
      <c r="C48">
        <v>46</v>
      </c>
      <c r="D48" t="s">
        <v>2628</v>
      </c>
      <c r="E48" t="str">
        <f t="shared" si="0"/>
        <v>40대</v>
      </c>
    </row>
    <row r="49" spans="1:5" x14ac:dyDescent="0.45">
      <c r="A49" t="s">
        <v>2543</v>
      </c>
      <c r="B49" t="s">
        <v>2620</v>
      </c>
      <c r="C49">
        <v>18</v>
      </c>
      <c r="D49" t="s">
        <v>2627</v>
      </c>
      <c r="E49" t="str">
        <f t="shared" si="0"/>
        <v>10대</v>
      </c>
    </row>
    <row r="50" spans="1:5" x14ac:dyDescent="0.45">
      <c r="A50" t="s">
        <v>2464</v>
      </c>
      <c r="B50" t="s">
        <v>2620</v>
      </c>
      <c r="C50">
        <v>26</v>
      </c>
      <c r="D50" t="s">
        <v>2626</v>
      </c>
      <c r="E50" t="str">
        <f t="shared" si="0"/>
        <v>20대</v>
      </c>
    </row>
    <row r="51" spans="1:5" x14ac:dyDescent="0.45">
      <c r="A51" t="s">
        <v>2512</v>
      </c>
      <c r="B51" t="s">
        <v>2621</v>
      </c>
      <c r="C51">
        <v>15</v>
      </c>
      <c r="D51" t="s">
        <v>2626</v>
      </c>
      <c r="E51" t="str">
        <f t="shared" si="0"/>
        <v>10대</v>
      </c>
    </row>
    <row r="52" spans="1:5" x14ac:dyDescent="0.45">
      <c r="A52" t="s">
        <v>2486</v>
      </c>
      <c r="B52" t="s">
        <v>2618</v>
      </c>
      <c r="C52">
        <v>40</v>
      </c>
      <c r="D52" t="s">
        <v>2626</v>
      </c>
      <c r="E52" t="str">
        <f t="shared" si="0"/>
        <v>40대</v>
      </c>
    </row>
    <row r="53" spans="1:5" x14ac:dyDescent="0.45">
      <c r="A53" t="s">
        <v>2448</v>
      </c>
      <c r="B53" t="s">
        <v>2623</v>
      </c>
      <c r="C53">
        <v>64</v>
      </c>
      <c r="D53" t="s">
        <v>2624</v>
      </c>
      <c r="E53" t="str">
        <f t="shared" si="0"/>
        <v>50대 이상</v>
      </c>
    </row>
    <row r="54" spans="1:5" x14ac:dyDescent="0.45">
      <c r="A54" t="s">
        <v>2548</v>
      </c>
      <c r="B54" t="s">
        <v>2618</v>
      </c>
      <c r="C54">
        <v>55</v>
      </c>
      <c r="D54" t="s">
        <v>2627</v>
      </c>
      <c r="E54" t="str">
        <f t="shared" si="0"/>
        <v>50대 이상</v>
      </c>
    </row>
    <row r="55" spans="1:5" x14ac:dyDescent="0.45">
      <c r="A55" t="s">
        <v>2420</v>
      </c>
      <c r="B55" t="s">
        <v>2622</v>
      </c>
      <c r="C55">
        <v>33</v>
      </c>
      <c r="D55" t="s">
        <v>2624</v>
      </c>
      <c r="E55" t="str">
        <f t="shared" si="0"/>
        <v>30대</v>
      </c>
    </row>
    <row r="56" spans="1:5" x14ac:dyDescent="0.45">
      <c r="A56" t="s">
        <v>2447</v>
      </c>
      <c r="B56" t="s">
        <v>2620</v>
      </c>
      <c r="C56">
        <v>16</v>
      </c>
      <c r="D56" t="s">
        <v>2626</v>
      </c>
      <c r="E56" t="str">
        <f t="shared" si="0"/>
        <v>10대</v>
      </c>
    </row>
    <row r="57" spans="1:5" x14ac:dyDescent="0.45">
      <c r="A57" t="s">
        <v>2410</v>
      </c>
      <c r="B57" t="s">
        <v>2622</v>
      </c>
      <c r="C57">
        <v>17</v>
      </c>
      <c r="D57" t="s">
        <v>2627</v>
      </c>
      <c r="E57" t="str">
        <f t="shared" si="0"/>
        <v>10대</v>
      </c>
    </row>
    <row r="58" spans="1:5" x14ac:dyDescent="0.45">
      <c r="A58" t="s">
        <v>2407</v>
      </c>
      <c r="B58" t="s">
        <v>2621</v>
      </c>
      <c r="C58">
        <v>37</v>
      </c>
      <c r="D58" t="s">
        <v>2625</v>
      </c>
      <c r="E58" t="str">
        <f t="shared" si="0"/>
        <v>30대</v>
      </c>
    </row>
    <row r="59" spans="1:5" x14ac:dyDescent="0.45">
      <c r="A59" t="s">
        <v>2402</v>
      </c>
      <c r="B59" t="s">
        <v>2621</v>
      </c>
      <c r="C59">
        <v>38</v>
      </c>
      <c r="D59" t="s">
        <v>2627</v>
      </c>
      <c r="E59" t="str">
        <f t="shared" si="0"/>
        <v>30대</v>
      </c>
    </row>
    <row r="60" spans="1:5" x14ac:dyDescent="0.45">
      <c r="A60" t="s">
        <v>2451</v>
      </c>
      <c r="B60" t="s">
        <v>2621</v>
      </c>
      <c r="C60">
        <v>32</v>
      </c>
      <c r="D60" t="s">
        <v>2626</v>
      </c>
      <c r="E60" t="str">
        <f t="shared" si="0"/>
        <v>30대</v>
      </c>
    </row>
    <row r="61" spans="1:5" x14ac:dyDescent="0.45">
      <c r="A61" t="s">
        <v>2405</v>
      </c>
      <c r="B61" t="s">
        <v>2617</v>
      </c>
      <c r="C61">
        <v>48</v>
      </c>
      <c r="D61" t="s">
        <v>2624</v>
      </c>
      <c r="E61" t="str">
        <f t="shared" si="0"/>
        <v>40대</v>
      </c>
    </row>
    <row r="62" spans="1:5" x14ac:dyDescent="0.45">
      <c r="A62" t="s">
        <v>2467</v>
      </c>
      <c r="B62" t="s">
        <v>2617</v>
      </c>
      <c r="C62">
        <v>21</v>
      </c>
      <c r="D62" t="s">
        <v>2628</v>
      </c>
      <c r="E62" t="str">
        <f t="shared" si="0"/>
        <v>20대</v>
      </c>
    </row>
    <row r="63" spans="1:5" x14ac:dyDescent="0.45">
      <c r="A63" t="s">
        <v>2509</v>
      </c>
      <c r="B63" t="s">
        <v>2621</v>
      </c>
      <c r="C63">
        <v>47</v>
      </c>
      <c r="D63" t="s">
        <v>2628</v>
      </c>
      <c r="E63" t="str">
        <f t="shared" si="0"/>
        <v>40대</v>
      </c>
    </row>
    <row r="64" spans="1:5" x14ac:dyDescent="0.45">
      <c r="A64" t="s">
        <v>2422</v>
      </c>
      <c r="B64" t="s">
        <v>2623</v>
      </c>
      <c r="C64">
        <v>39</v>
      </c>
      <c r="D64" t="s">
        <v>2625</v>
      </c>
      <c r="E64" t="str">
        <f t="shared" si="0"/>
        <v>30대</v>
      </c>
    </row>
    <row r="65" spans="1:5" x14ac:dyDescent="0.45">
      <c r="A65" t="s">
        <v>2427</v>
      </c>
      <c r="B65" t="s">
        <v>2617</v>
      </c>
      <c r="C65">
        <v>26</v>
      </c>
      <c r="D65" t="s">
        <v>2628</v>
      </c>
      <c r="E65" t="str">
        <f t="shared" si="0"/>
        <v>20대</v>
      </c>
    </row>
    <row r="66" spans="1:5" x14ac:dyDescent="0.45">
      <c r="A66" t="s">
        <v>2531</v>
      </c>
      <c r="B66" t="s">
        <v>2621</v>
      </c>
      <c r="C66">
        <v>41</v>
      </c>
      <c r="D66" t="s">
        <v>2628</v>
      </c>
      <c r="E66" t="str">
        <f t="shared" si="0"/>
        <v>40대</v>
      </c>
    </row>
    <row r="67" spans="1:5" x14ac:dyDescent="0.45">
      <c r="A67" t="s">
        <v>2505</v>
      </c>
      <c r="B67" t="s">
        <v>2620</v>
      </c>
      <c r="C67">
        <v>48</v>
      </c>
      <c r="D67" t="s">
        <v>2628</v>
      </c>
      <c r="E67" t="str">
        <f t="shared" ref="E67:E130" si="1">_xlfn.IFS(C67&lt;=19, "10대", C67&lt;=29,"20대",C67&lt;=39,"30대",C67&lt;=49,"40대",TRUE,"50대 이상")</f>
        <v>40대</v>
      </c>
    </row>
    <row r="68" spans="1:5" x14ac:dyDescent="0.45">
      <c r="A68" t="s">
        <v>2482</v>
      </c>
      <c r="B68" t="s">
        <v>2621</v>
      </c>
      <c r="C68">
        <v>31</v>
      </c>
      <c r="D68" t="s">
        <v>2627</v>
      </c>
      <c r="E68" t="str">
        <f t="shared" si="1"/>
        <v>30대</v>
      </c>
    </row>
    <row r="69" spans="1:5" x14ac:dyDescent="0.45">
      <c r="A69" t="s">
        <v>2428</v>
      </c>
      <c r="B69" t="s">
        <v>2623</v>
      </c>
      <c r="C69">
        <v>19</v>
      </c>
      <c r="D69" t="s">
        <v>2628</v>
      </c>
      <c r="E69" t="str">
        <f t="shared" si="1"/>
        <v>10대</v>
      </c>
    </row>
    <row r="70" spans="1:5" x14ac:dyDescent="0.45">
      <c r="A70" t="s">
        <v>2425</v>
      </c>
      <c r="B70" t="s">
        <v>2621</v>
      </c>
      <c r="C70">
        <v>32</v>
      </c>
      <c r="D70" t="s">
        <v>2628</v>
      </c>
      <c r="E70" t="str">
        <f t="shared" si="1"/>
        <v>30대</v>
      </c>
    </row>
    <row r="71" spans="1:5" x14ac:dyDescent="0.45">
      <c r="A71" t="s">
        <v>2423</v>
      </c>
      <c r="B71" t="s">
        <v>2618</v>
      </c>
      <c r="C71">
        <v>36</v>
      </c>
      <c r="D71" t="s">
        <v>2625</v>
      </c>
      <c r="E71" t="str">
        <f t="shared" si="1"/>
        <v>30대</v>
      </c>
    </row>
    <row r="72" spans="1:5" x14ac:dyDescent="0.45">
      <c r="A72" t="s">
        <v>2508</v>
      </c>
      <c r="B72" t="s">
        <v>2623</v>
      </c>
      <c r="C72">
        <v>55</v>
      </c>
      <c r="D72" t="s">
        <v>2626</v>
      </c>
      <c r="E72" t="str">
        <f t="shared" si="1"/>
        <v>50대 이상</v>
      </c>
    </row>
    <row r="73" spans="1:5" x14ac:dyDescent="0.45">
      <c r="A73" t="s">
        <v>2458</v>
      </c>
      <c r="B73" t="s">
        <v>2621</v>
      </c>
      <c r="C73">
        <v>27</v>
      </c>
      <c r="D73" t="s">
        <v>2626</v>
      </c>
      <c r="E73" t="str">
        <f t="shared" si="1"/>
        <v>20대</v>
      </c>
    </row>
    <row r="74" spans="1:5" x14ac:dyDescent="0.45">
      <c r="A74" t="s">
        <v>2517</v>
      </c>
      <c r="B74" t="s">
        <v>2621</v>
      </c>
      <c r="C74">
        <v>22</v>
      </c>
      <c r="D74" t="s">
        <v>2628</v>
      </c>
      <c r="E74" t="str">
        <f t="shared" si="1"/>
        <v>20대</v>
      </c>
    </row>
    <row r="75" spans="1:5" x14ac:dyDescent="0.45">
      <c r="A75" t="s">
        <v>2547</v>
      </c>
      <c r="B75" t="s">
        <v>2623</v>
      </c>
      <c r="C75">
        <v>26</v>
      </c>
      <c r="D75" t="s">
        <v>2627</v>
      </c>
      <c r="E75" t="str">
        <f t="shared" si="1"/>
        <v>20대</v>
      </c>
    </row>
    <row r="76" spans="1:5" x14ac:dyDescent="0.45">
      <c r="A76" t="s">
        <v>2417</v>
      </c>
      <c r="B76" t="s">
        <v>2619</v>
      </c>
      <c r="C76">
        <v>33</v>
      </c>
      <c r="D76" t="s">
        <v>2626</v>
      </c>
      <c r="E76" t="str">
        <f t="shared" si="1"/>
        <v>30대</v>
      </c>
    </row>
    <row r="77" spans="1:5" x14ac:dyDescent="0.45">
      <c r="A77" t="s">
        <v>2511</v>
      </c>
      <c r="B77" t="s">
        <v>2619</v>
      </c>
      <c r="C77">
        <v>50</v>
      </c>
      <c r="D77" t="s">
        <v>2626</v>
      </c>
      <c r="E77" t="str">
        <f t="shared" si="1"/>
        <v>50대 이상</v>
      </c>
    </row>
    <row r="78" spans="1:5" x14ac:dyDescent="0.45">
      <c r="A78" t="s">
        <v>2528</v>
      </c>
      <c r="B78" t="s">
        <v>2623</v>
      </c>
      <c r="C78">
        <v>14</v>
      </c>
      <c r="D78" t="s">
        <v>2624</v>
      </c>
      <c r="E78" t="str">
        <f t="shared" si="1"/>
        <v>10대</v>
      </c>
    </row>
    <row r="79" spans="1:5" x14ac:dyDescent="0.45">
      <c r="A79" t="s">
        <v>2471</v>
      </c>
      <c r="B79" t="s">
        <v>2621</v>
      </c>
      <c r="C79">
        <v>49</v>
      </c>
      <c r="D79" t="s">
        <v>2625</v>
      </c>
      <c r="E79" t="str">
        <f t="shared" si="1"/>
        <v>40대</v>
      </c>
    </row>
    <row r="80" spans="1:5" x14ac:dyDescent="0.45">
      <c r="A80" t="s">
        <v>2479</v>
      </c>
      <c r="B80" t="s">
        <v>2617</v>
      </c>
      <c r="C80">
        <v>15</v>
      </c>
      <c r="D80" t="s">
        <v>2627</v>
      </c>
      <c r="E80" t="str">
        <f t="shared" si="1"/>
        <v>10대</v>
      </c>
    </row>
    <row r="81" spans="1:5" x14ac:dyDescent="0.45">
      <c r="A81" t="s">
        <v>2488</v>
      </c>
      <c r="B81" t="s">
        <v>2621</v>
      </c>
      <c r="C81">
        <v>42</v>
      </c>
      <c r="D81" t="s">
        <v>2624</v>
      </c>
      <c r="E81" t="str">
        <f t="shared" si="1"/>
        <v>40대</v>
      </c>
    </row>
    <row r="82" spans="1:5" x14ac:dyDescent="0.45">
      <c r="A82" t="s">
        <v>2426</v>
      </c>
      <c r="B82" t="s">
        <v>2622</v>
      </c>
      <c r="C82">
        <v>34</v>
      </c>
      <c r="D82" t="s">
        <v>2625</v>
      </c>
      <c r="E82" t="str">
        <f t="shared" si="1"/>
        <v>30대</v>
      </c>
    </row>
    <row r="83" spans="1:5" x14ac:dyDescent="0.45">
      <c r="A83" t="s">
        <v>2546</v>
      </c>
      <c r="B83" t="s">
        <v>2619</v>
      </c>
      <c r="C83">
        <v>60</v>
      </c>
      <c r="D83" t="s">
        <v>2628</v>
      </c>
      <c r="E83" t="str">
        <f t="shared" si="1"/>
        <v>50대 이상</v>
      </c>
    </row>
    <row r="84" spans="1:5" x14ac:dyDescent="0.45">
      <c r="A84" t="s">
        <v>2442</v>
      </c>
      <c r="B84" t="s">
        <v>2617</v>
      </c>
      <c r="C84">
        <v>48</v>
      </c>
      <c r="D84" t="s">
        <v>2626</v>
      </c>
      <c r="E84" t="str">
        <f t="shared" si="1"/>
        <v>40대</v>
      </c>
    </row>
    <row r="85" spans="1:5" x14ac:dyDescent="0.45">
      <c r="A85" t="s">
        <v>2424</v>
      </c>
      <c r="B85" t="s">
        <v>2621</v>
      </c>
      <c r="C85">
        <v>30</v>
      </c>
      <c r="D85" t="s">
        <v>2626</v>
      </c>
      <c r="E85" t="str">
        <f t="shared" si="1"/>
        <v>30대</v>
      </c>
    </row>
    <row r="86" spans="1:5" x14ac:dyDescent="0.45">
      <c r="A86" t="s">
        <v>2481</v>
      </c>
      <c r="B86" t="s">
        <v>2617</v>
      </c>
      <c r="C86">
        <v>21</v>
      </c>
      <c r="D86" t="s">
        <v>2625</v>
      </c>
      <c r="E86" t="str">
        <f t="shared" si="1"/>
        <v>20대</v>
      </c>
    </row>
    <row r="87" spans="1:5" x14ac:dyDescent="0.45">
      <c r="A87" t="s">
        <v>2526</v>
      </c>
      <c r="B87" t="s">
        <v>2617</v>
      </c>
      <c r="C87">
        <v>15</v>
      </c>
      <c r="D87" t="s">
        <v>2624</v>
      </c>
      <c r="E87" t="str">
        <f t="shared" si="1"/>
        <v>10대</v>
      </c>
    </row>
    <row r="88" spans="1:5" x14ac:dyDescent="0.45">
      <c r="A88" t="s">
        <v>2450</v>
      </c>
      <c r="B88" t="s">
        <v>2619</v>
      </c>
      <c r="C88">
        <v>48</v>
      </c>
      <c r="D88" t="s">
        <v>2625</v>
      </c>
      <c r="E88" t="str">
        <f t="shared" si="1"/>
        <v>40대</v>
      </c>
    </row>
    <row r="89" spans="1:5" x14ac:dyDescent="0.45">
      <c r="A89" t="s">
        <v>2437</v>
      </c>
      <c r="B89" t="s">
        <v>2619</v>
      </c>
      <c r="C89">
        <v>37</v>
      </c>
      <c r="D89" t="s">
        <v>2626</v>
      </c>
      <c r="E89" t="str">
        <f t="shared" si="1"/>
        <v>30대</v>
      </c>
    </row>
    <row r="90" spans="1:5" x14ac:dyDescent="0.45">
      <c r="A90" t="s">
        <v>2412</v>
      </c>
      <c r="B90" t="s">
        <v>2622</v>
      </c>
      <c r="C90">
        <v>38</v>
      </c>
      <c r="D90" t="s">
        <v>2628</v>
      </c>
      <c r="E90" t="str">
        <f t="shared" si="1"/>
        <v>30대</v>
      </c>
    </row>
    <row r="91" spans="1:5" x14ac:dyDescent="0.45">
      <c r="A91" t="s">
        <v>2542</v>
      </c>
      <c r="B91" t="s">
        <v>2617</v>
      </c>
      <c r="C91">
        <v>62</v>
      </c>
      <c r="D91" t="s">
        <v>2626</v>
      </c>
      <c r="E91" t="str">
        <f t="shared" si="1"/>
        <v>50대 이상</v>
      </c>
    </row>
    <row r="92" spans="1:5" x14ac:dyDescent="0.45">
      <c r="A92" t="s">
        <v>2498</v>
      </c>
      <c r="B92" t="s">
        <v>2621</v>
      </c>
      <c r="C92">
        <v>30</v>
      </c>
      <c r="D92" t="s">
        <v>2624</v>
      </c>
      <c r="E92" t="str">
        <f t="shared" si="1"/>
        <v>30대</v>
      </c>
    </row>
    <row r="93" spans="1:5" x14ac:dyDescent="0.45">
      <c r="A93" t="s">
        <v>2529</v>
      </c>
      <c r="B93" t="s">
        <v>2619</v>
      </c>
      <c r="C93">
        <v>33</v>
      </c>
      <c r="D93" t="s">
        <v>2627</v>
      </c>
      <c r="E93" t="str">
        <f t="shared" si="1"/>
        <v>30대</v>
      </c>
    </row>
    <row r="94" spans="1:5" x14ac:dyDescent="0.45">
      <c r="A94" t="s">
        <v>2415</v>
      </c>
      <c r="B94" t="s">
        <v>2623</v>
      </c>
      <c r="C94">
        <v>35</v>
      </c>
      <c r="D94" t="s">
        <v>2624</v>
      </c>
      <c r="E94" t="str">
        <f t="shared" si="1"/>
        <v>30대</v>
      </c>
    </row>
    <row r="95" spans="1:5" x14ac:dyDescent="0.45">
      <c r="A95" t="s">
        <v>2419</v>
      </c>
      <c r="B95" t="s">
        <v>2620</v>
      </c>
      <c r="C95">
        <v>29</v>
      </c>
      <c r="D95" t="s">
        <v>2627</v>
      </c>
      <c r="E95" t="str">
        <f t="shared" si="1"/>
        <v>20대</v>
      </c>
    </row>
    <row r="96" spans="1:5" x14ac:dyDescent="0.45">
      <c r="A96" t="s">
        <v>2506</v>
      </c>
      <c r="B96" t="s">
        <v>2623</v>
      </c>
      <c r="C96">
        <v>64</v>
      </c>
      <c r="D96" t="s">
        <v>2627</v>
      </c>
      <c r="E96" t="str">
        <f t="shared" si="1"/>
        <v>50대 이상</v>
      </c>
    </row>
    <row r="97" spans="1:5" x14ac:dyDescent="0.45">
      <c r="A97" t="s">
        <v>2440</v>
      </c>
      <c r="B97" t="s">
        <v>2620</v>
      </c>
      <c r="C97">
        <v>15</v>
      </c>
      <c r="D97" t="s">
        <v>2627</v>
      </c>
      <c r="E97" t="str">
        <f t="shared" si="1"/>
        <v>10대</v>
      </c>
    </row>
    <row r="98" spans="1:5" x14ac:dyDescent="0.45">
      <c r="A98" t="s">
        <v>2538</v>
      </c>
      <c r="B98" t="s">
        <v>2620</v>
      </c>
      <c r="C98">
        <v>43</v>
      </c>
      <c r="D98" t="s">
        <v>2628</v>
      </c>
      <c r="E98" t="str">
        <f t="shared" si="1"/>
        <v>40대</v>
      </c>
    </row>
    <row r="99" spans="1:5" x14ac:dyDescent="0.45">
      <c r="A99" t="s">
        <v>2418</v>
      </c>
      <c r="B99" t="s">
        <v>2617</v>
      </c>
      <c r="C99">
        <v>31</v>
      </c>
      <c r="D99" t="s">
        <v>2625</v>
      </c>
      <c r="E99" t="str">
        <f t="shared" si="1"/>
        <v>30대</v>
      </c>
    </row>
    <row r="100" spans="1:5" x14ac:dyDescent="0.45">
      <c r="A100" t="s">
        <v>2496</v>
      </c>
      <c r="B100" t="s">
        <v>2621</v>
      </c>
      <c r="C100">
        <v>57</v>
      </c>
      <c r="D100" t="s">
        <v>2624</v>
      </c>
      <c r="E100" t="str">
        <f t="shared" si="1"/>
        <v>50대 이상</v>
      </c>
    </row>
    <row r="101" spans="1:5" x14ac:dyDescent="0.45">
      <c r="A101" t="s">
        <v>2549</v>
      </c>
      <c r="B101" t="s">
        <v>2621</v>
      </c>
      <c r="C101">
        <v>40</v>
      </c>
      <c r="D101" t="s">
        <v>2627</v>
      </c>
      <c r="E101" t="str">
        <f t="shared" si="1"/>
        <v>40대</v>
      </c>
    </row>
    <row r="102" spans="1:5" x14ac:dyDescent="0.45">
      <c r="A102" t="s">
        <v>2540</v>
      </c>
      <c r="B102" t="s">
        <v>2621</v>
      </c>
      <c r="C102">
        <v>59</v>
      </c>
      <c r="D102" t="s">
        <v>2628</v>
      </c>
      <c r="E102" t="str">
        <f t="shared" si="1"/>
        <v>50대 이상</v>
      </c>
    </row>
    <row r="103" spans="1:5" x14ac:dyDescent="0.45">
      <c r="A103" t="s">
        <v>2533</v>
      </c>
      <c r="B103" t="s">
        <v>2619</v>
      </c>
      <c r="C103">
        <v>35</v>
      </c>
      <c r="D103" t="s">
        <v>2625</v>
      </c>
      <c r="E103" t="str">
        <f t="shared" si="1"/>
        <v>30대</v>
      </c>
    </row>
    <row r="104" spans="1:5" x14ac:dyDescent="0.45">
      <c r="A104" t="s">
        <v>2461</v>
      </c>
      <c r="B104" t="s">
        <v>2617</v>
      </c>
      <c r="C104">
        <v>41</v>
      </c>
      <c r="D104" t="s">
        <v>2627</v>
      </c>
      <c r="E104" t="str">
        <f t="shared" si="1"/>
        <v>40대</v>
      </c>
    </row>
    <row r="105" spans="1:5" x14ac:dyDescent="0.45">
      <c r="A105" t="s">
        <v>2456</v>
      </c>
      <c r="B105" t="s">
        <v>2620</v>
      </c>
      <c r="C105">
        <v>31</v>
      </c>
      <c r="D105" t="s">
        <v>2624</v>
      </c>
      <c r="E105" t="str">
        <f t="shared" si="1"/>
        <v>30대</v>
      </c>
    </row>
    <row r="106" spans="1:5" x14ac:dyDescent="0.45">
      <c r="A106" t="s">
        <v>2460</v>
      </c>
      <c r="B106" t="s">
        <v>2622</v>
      </c>
      <c r="C106">
        <v>22</v>
      </c>
      <c r="D106" t="s">
        <v>2628</v>
      </c>
      <c r="E106" t="str">
        <f t="shared" si="1"/>
        <v>20대</v>
      </c>
    </row>
    <row r="107" spans="1:5" x14ac:dyDescent="0.45">
      <c r="A107" t="s">
        <v>2524</v>
      </c>
      <c r="B107" t="s">
        <v>2621</v>
      </c>
      <c r="C107">
        <v>19</v>
      </c>
      <c r="D107" t="s">
        <v>2625</v>
      </c>
      <c r="E107" t="str">
        <f t="shared" si="1"/>
        <v>10대</v>
      </c>
    </row>
    <row r="108" spans="1:5" x14ac:dyDescent="0.45">
      <c r="A108" t="s">
        <v>2515</v>
      </c>
      <c r="B108" t="s">
        <v>2617</v>
      </c>
      <c r="C108">
        <v>42</v>
      </c>
      <c r="D108" t="s">
        <v>2625</v>
      </c>
      <c r="E108" t="str">
        <f t="shared" si="1"/>
        <v>40대</v>
      </c>
    </row>
    <row r="109" spans="1:5" x14ac:dyDescent="0.45">
      <c r="A109" t="s">
        <v>2537</v>
      </c>
      <c r="B109" t="s">
        <v>2623</v>
      </c>
      <c r="C109">
        <v>46</v>
      </c>
      <c r="D109" t="s">
        <v>2627</v>
      </c>
      <c r="E109" t="str">
        <f t="shared" si="1"/>
        <v>40대</v>
      </c>
    </row>
    <row r="110" spans="1:5" x14ac:dyDescent="0.45">
      <c r="A110" t="s">
        <v>2409</v>
      </c>
      <c r="B110" t="s">
        <v>2621</v>
      </c>
      <c r="C110">
        <v>56</v>
      </c>
      <c r="D110" t="s">
        <v>2624</v>
      </c>
      <c r="E110" t="str">
        <f t="shared" si="1"/>
        <v>50대 이상</v>
      </c>
    </row>
    <row r="111" spans="1:5" x14ac:dyDescent="0.45">
      <c r="A111" t="s">
        <v>2501</v>
      </c>
      <c r="B111" t="s">
        <v>2621</v>
      </c>
      <c r="C111">
        <v>50</v>
      </c>
      <c r="D111" t="s">
        <v>2628</v>
      </c>
      <c r="E111" t="str">
        <f t="shared" si="1"/>
        <v>50대 이상</v>
      </c>
    </row>
    <row r="112" spans="1:5" x14ac:dyDescent="0.45">
      <c r="A112" t="s">
        <v>2491</v>
      </c>
      <c r="B112" t="s">
        <v>2621</v>
      </c>
      <c r="C112">
        <v>34</v>
      </c>
      <c r="D112" t="s">
        <v>2625</v>
      </c>
      <c r="E112" t="str">
        <f t="shared" si="1"/>
        <v>30대</v>
      </c>
    </row>
    <row r="113" spans="1:5" x14ac:dyDescent="0.45">
      <c r="A113" t="s">
        <v>2485</v>
      </c>
      <c r="B113" t="s">
        <v>2621</v>
      </c>
      <c r="C113">
        <v>40</v>
      </c>
      <c r="D113" t="s">
        <v>2628</v>
      </c>
      <c r="E113" t="str">
        <f t="shared" si="1"/>
        <v>40대</v>
      </c>
    </row>
    <row r="114" spans="1:5" x14ac:dyDescent="0.45">
      <c r="A114" t="s">
        <v>2470</v>
      </c>
      <c r="B114" t="s">
        <v>2622</v>
      </c>
      <c r="C114">
        <v>21</v>
      </c>
      <c r="D114" t="s">
        <v>2625</v>
      </c>
      <c r="E114" t="str">
        <f t="shared" si="1"/>
        <v>20대</v>
      </c>
    </row>
    <row r="115" spans="1:5" x14ac:dyDescent="0.45">
      <c r="A115" t="s">
        <v>2459</v>
      </c>
      <c r="B115" t="s">
        <v>2623</v>
      </c>
      <c r="C115">
        <v>54</v>
      </c>
      <c r="D115" t="s">
        <v>2628</v>
      </c>
      <c r="E115" t="str">
        <f t="shared" si="1"/>
        <v>50대 이상</v>
      </c>
    </row>
    <row r="116" spans="1:5" x14ac:dyDescent="0.45">
      <c r="A116" t="s">
        <v>2457</v>
      </c>
      <c r="B116" t="s">
        <v>2619</v>
      </c>
      <c r="C116">
        <v>63</v>
      </c>
      <c r="D116" t="s">
        <v>2628</v>
      </c>
      <c r="E116" t="str">
        <f t="shared" si="1"/>
        <v>50대 이상</v>
      </c>
    </row>
    <row r="117" spans="1:5" x14ac:dyDescent="0.45">
      <c r="A117" t="s">
        <v>2516</v>
      </c>
      <c r="B117" t="s">
        <v>2622</v>
      </c>
      <c r="C117">
        <v>17</v>
      </c>
      <c r="D117" t="s">
        <v>2624</v>
      </c>
      <c r="E117" t="str">
        <f t="shared" si="1"/>
        <v>10대</v>
      </c>
    </row>
    <row r="118" spans="1:5" x14ac:dyDescent="0.45">
      <c r="A118" t="s">
        <v>2462</v>
      </c>
      <c r="B118" t="s">
        <v>2623</v>
      </c>
      <c r="C118">
        <v>57</v>
      </c>
      <c r="D118" t="s">
        <v>2625</v>
      </c>
      <c r="E118" t="str">
        <f t="shared" si="1"/>
        <v>50대 이상</v>
      </c>
    </row>
    <row r="119" spans="1:5" x14ac:dyDescent="0.45">
      <c r="A119" t="s">
        <v>2413</v>
      </c>
      <c r="B119" t="s">
        <v>2621</v>
      </c>
      <c r="C119">
        <v>35</v>
      </c>
      <c r="D119" t="s">
        <v>2625</v>
      </c>
      <c r="E119" t="str">
        <f t="shared" si="1"/>
        <v>30대</v>
      </c>
    </row>
    <row r="120" spans="1:5" x14ac:dyDescent="0.45">
      <c r="A120" t="s">
        <v>2507</v>
      </c>
      <c r="B120" t="s">
        <v>2622</v>
      </c>
      <c r="C120">
        <v>45</v>
      </c>
      <c r="D120" t="s">
        <v>2627</v>
      </c>
      <c r="E120" t="str">
        <f t="shared" si="1"/>
        <v>40대</v>
      </c>
    </row>
    <row r="121" spans="1:5" x14ac:dyDescent="0.45">
      <c r="A121" t="s">
        <v>2434</v>
      </c>
      <c r="B121" t="s">
        <v>2620</v>
      </c>
      <c r="C121">
        <v>17</v>
      </c>
      <c r="D121" t="s">
        <v>2626</v>
      </c>
      <c r="E121" t="str">
        <f t="shared" si="1"/>
        <v>10대</v>
      </c>
    </row>
    <row r="122" spans="1:5" x14ac:dyDescent="0.45">
      <c r="A122" t="s">
        <v>2550</v>
      </c>
      <c r="B122" t="s">
        <v>2623</v>
      </c>
      <c r="C122">
        <v>44</v>
      </c>
      <c r="D122" t="s">
        <v>2626</v>
      </c>
      <c r="E122" t="str">
        <f t="shared" si="1"/>
        <v>40대</v>
      </c>
    </row>
    <row r="123" spans="1:5" x14ac:dyDescent="0.45">
      <c r="A123" t="s">
        <v>2446</v>
      </c>
      <c r="B123" t="s">
        <v>2622</v>
      </c>
      <c r="C123">
        <v>59</v>
      </c>
      <c r="D123" t="s">
        <v>2627</v>
      </c>
      <c r="E123" t="str">
        <f t="shared" si="1"/>
        <v>50대 이상</v>
      </c>
    </row>
    <row r="124" spans="1:5" x14ac:dyDescent="0.45">
      <c r="A124" t="s">
        <v>2466</v>
      </c>
      <c r="B124" t="s">
        <v>2617</v>
      </c>
      <c r="C124">
        <v>54</v>
      </c>
      <c r="D124" t="s">
        <v>2627</v>
      </c>
      <c r="E124" t="str">
        <f t="shared" si="1"/>
        <v>50대 이상</v>
      </c>
    </row>
    <row r="125" spans="1:5" x14ac:dyDescent="0.45">
      <c r="A125" t="s">
        <v>2545</v>
      </c>
      <c r="B125" t="s">
        <v>2621</v>
      </c>
      <c r="C125">
        <v>32</v>
      </c>
      <c r="D125" t="s">
        <v>2628</v>
      </c>
      <c r="E125" t="str">
        <f t="shared" si="1"/>
        <v>30대</v>
      </c>
    </row>
    <row r="126" spans="1:5" x14ac:dyDescent="0.45">
      <c r="A126" t="s">
        <v>2452</v>
      </c>
      <c r="B126" t="s">
        <v>2621</v>
      </c>
      <c r="C126">
        <v>39</v>
      </c>
      <c r="D126" t="s">
        <v>2624</v>
      </c>
      <c r="E126" t="str">
        <f t="shared" si="1"/>
        <v>30대</v>
      </c>
    </row>
    <row r="127" spans="1:5" x14ac:dyDescent="0.45">
      <c r="A127" t="s">
        <v>2510</v>
      </c>
      <c r="B127" t="s">
        <v>2617</v>
      </c>
      <c r="C127">
        <v>21</v>
      </c>
      <c r="D127" t="s">
        <v>2624</v>
      </c>
      <c r="E127" t="str">
        <f t="shared" si="1"/>
        <v>20대</v>
      </c>
    </row>
    <row r="128" spans="1:5" x14ac:dyDescent="0.45">
      <c r="A128" t="s">
        <v>2534</v>
      </c>
      <c r="B128" t="s">
        <v>2623</v>
      </c>
      <c r="C128">
        <v>18</v>
      </c>
      <c r="D128" t="s">
        <v>2627</v>
      </c>
      <c r="E128" t="str">
        <f t="shared" si="1"/>
        <v>10대</v>
      </c>
    </row>
    <row r="129" spans="1:5" x14ac:dyDescent="0.45">
      <c r="A129" t="s">
        <v>2530</v>
      </c>
      <c r="B129" t="s">
        <v>2622</v>
      </c>
      <c r="C129">
        <v>23</v>
      </c>
      <c r="D129" t="s">
        <v>2627</v>
      </c>
      <c r="E129" t="str">
        <f t="shared" si="1"/>
        <v>20대</v>
      </c>
    </row>
    <row r="130" spans="1:5" x14ac:dyDescent="0.45">
      <c r="A130" t="s">
        <v>2519</v>
      </c>
      <c r="B130" t="s">
        <v>2621</v>
      </c>
      <c r="C130">
        <v>20</v>
      </c>
      <c r="D130" t="s">
        <v>2628</v>
      </c>
      <c r="E130" t="str">
        <f t="shared" si="1"/>
        <v>20대</v>
      </c>
    </row>
    <row r="131" spans="1:5" x14ac:dyDescent="0.45">
      <c r="A131" t="s">
        <v>2439</v>
      </c>
      <c r="B131" t="s">
        <v>2620</v>
      </c>
      <c r="C131">
        <v>37</v>
      </c>
      <c r="D131" t="s">
        <v>2624</v>
      </c>
      <c r="E131" t="str">
        <f t="shared" ref="E131:E151" si="2">_xlfn.IFS(C131&lt;=19, "10대", C131&lt;=29,"20대",C131&lt;=39,"30대",C131&lt;=49,"40대",TRUE,"50대 이상")</f>
        <v>30대</v>
      </c>
    </row>
    <row r="132" spans="1:5" x14ac:dyDescent="0.45">
      <c r="A132" t="s">
        <v>2484</v>
      </c>
      <c r="B132" t="s">
        <v>2617</v>
      </c>
      <c r="C132">
        <v>25</v>
      </c>
      <c r="D132" t="s">
        <v>2625</v>
      </c>
      <c r="E132" t="str">
        <f t="shared" si="2"/>
        <v>20대</v>
      </c>
    </row>
    <row r="133" spans="1:5" x14ac:dyDescent="0.45">
      <c r="A133" t="s">
        <v>2493</v>
      </c>
      <c r="B133" t="s">
        <v>2621</v>
      </c>
      <c r="C133">
        <v>26</v>
      </c>
      <c r="D133" t="s">
        <v>2626</v>
      </c>
      <c r="E133" t="str">
        <f t="shared" si="2"/>
        <v>20대</v>
      </c>
    </row>
    <row r="134" spans="1:5" x14ac:dyDescent="0.45">
      <c r="A134" t="s">
        <v>2521</v>
      </c>
      <c r="B134" t="s">
        <v>2621</v>
      </c>
      <c r="C134">
        <v>39</v>
      </c>
      <c r="D134" t="s">
        <v>2626</v>
      </c>
      <c r="E134" t="str">
        <f t="shared" si="2"/>
        <v>30대</v>
      </c>
    </row>
    <row r="135" spans="1:5" x14ac:dyDescent="0.45">
      <c r="A135" t="s">
        <v>2468</v>
      </c>
      <c r="B135" t="s">
        <v>2617</v>
      </c>
      <c r="C135">
        <v>22</v>
      </c>
      <c r="D135" t="s">
        <v>2625</v>
      </c>
      <c r="E135" t="str">
        <f t="shared" si="2"/>
        <v>20대</v>
      </c>
    </row>
    <row r="136" spans="1:5" x14ac:dyDescent="0.45">
      <c r="A136" t="s">
        <v>2513</v>
      </c>
      <c r="B136" t="s">
        <v>2618</v>
      </c>
      <c r="C136">
        <v>27</v>
      </c>
      <c r="D136" t="s">
        <v>2625</v>
      </c>
      <c r="E136" t="str">
        <f t="shared" si="2"/>
        <v>20대</v>
      </c>
    </row>
    <row r="137" spans="1:5" x14ac:dyDescent="0.45">
      <c r="A137" t="s">
        <v>2441</v>
      </c>
      <c r="B137" t="s">
        <v>2617</v>
      </c>
      <c r="C137">
        <v>22</v>
      </c>
      <c r="D137" t="s">
        <v>2627</v>
      </c>
      <c r="E137" t="str">
        <f t="shared" si="2"/>
        <v>20대</v>
      </c>
    </row>
    <row r="138" spans="1:5" x14ac:dyDescent="0.45">
      <c r="A138" t="s">
        <v>2445</v>
      </c>
      <c r="B138" t="s">
        <v>2620</v>
      </c>
      <c r="C138">
        <v>16</v>
      </c>
      <c r="D138" t="s">
        <v>2624</v>
      </c>
      <c r="E138" t="str">
        <f t="shared" si="2"/>
        <v>10대</v>
      </c>
    </row>
    <row r="139" spans="1:5" x14ac:dyDescent="0.45">
      <c r="A139" t="s">
        <v>2436</v>
      </c>
      <c r="B139" t="s">
        <v>2619</v>
      </c>
      <c r="C139">
        <v>19</v>
      </c>
      <c r="D139" t="s">
        <v>2628</v>
      </c>
      <c r="E139" t="str">
        <f t="shared" si="2"/>
        <v>10대</v>
      </c>
    </row>
    <row r="140" spans="1:5" x14ac:dyDescent="0.45">
      <c r="A140" t="s">
        <v>2502</v>
      </c>
      <c r="B140" t="s">
        <v>2617</v>
      </c>
      <c r="C140">
        <v>25</v>
      </c>
      <c r="D140" t="s">
        <v>2628</v>
      </c>
      <c r="E140" t="str">
        <f t="shared" si="2"/>
        <v>20대</v>
      </c>
    </row>
    <row r="141" spans="1:5" x14ac:dyDescent="0.45">
      <c r="A141" t="s">
        <v>2403</v>
      </c>
      <c r="B141" t="s">
        <v>2618</v>
      </c>
      <c r="C141">
        <v>37</v>
      </c>
      <c r="D141" t="s">
        <v>2624</v>
      </c>
      <c r="E141" t="str">
        <f t="shared" si="2"/>
        <v>30대</v>
      </c>
    </row>
    <row r="142" spans="1:5" x14ac:dyDescent="0.45">
      <c r="A142" t="s">
        <v>2495</v>
      </c>
      <c r="B142" t="s">
        <v>2652</v>
      </c>
      <c r="C142">
        <v>65</v>
      </c>
      <c r="D142" t="s">
        <v>2626</v>
      </c>
      <c r="E142" t="str">
        <f t="shared" si="2"/>
        <v>50대 이상</v>
      </c>
    </row>
    <row r="143" spans="1:5" x14ac:dyDescent="0.45">
      <c r="A143" t="s">
        <v>2472</v>
      </c>
      <c r="B143" t="s">
        <v>2621</v>
      </c>
      <c r="C143">
        <v>22</v>
      </c>
      <c r="D143" t="s">
        <v>2626</v>
      </c>
      <c r="E143" t="str">
        <f t="shared" si="2"/>
        <v>20대</v>
      </c>
    </row>
    <row r="144" spans="1:5" x14ac:dyDescent="0.45">
      <c r="A144" t="s">
        <v>2463</v>
      </c>
      <c r="B144" t="s">
        <v>2620</v>
      </c>
      <c r="C144">
        <v>25</v>
      </c>
      <c r="D144" t="s">
        <v>2628</v>
      </c>
      <c r="E144" t="str">
        <f t="shared" si="2"/>
        <v>20대</v>
      </c>
    </row>
    <row r="145" spans="1:5" x14ac:dyDescent="0.45">
      <c r="A145" t="s">
        <v>2406</v>
      </c>
      <c r="B145" t="s">
        <v>2617</v>
      </c>
      <c r="C145">
        <v>33</v>
      </c>
      <c r="D145" t="s">
        <v>2625</v>
      </c>
      <c r="E145" t="str">
        <f t="shared" si="2"/>
        <v>30대</v>
      </c>
    </row>
    <row r="146" spans="1:5" x14ac:dyDescent="0.45">
      <c r="A146" t="s">
        <v>2500</v>
      </c>
      <c r="B146" t="s">
        <v>2621</v>
      </c>
      <c r="C146">
        <v>29</v>
      </c>
      <c r="D146" t="s">
        <v>2624</v>
      </c>
      <c r="E146" t="str">
        <f t="shared" si="2"/>
        <v>20대</v>
      </c>
    </row>
    <row r="147" spans="1:5" x14ac:dyDescent="0.45">
      <c r="A147" t="s">
        <v>2489</v>
      </c>
      <c r="B147" t="s">
        <v>2621</v>
      </c>
      <c r="C147">
        <v>19</v>
      </c>
      <c r="D147" t="s">
        <v>2624</v>
      </c>
      <c r="E147" t="str">
        <f t="shared" si="2"/>
        <v>10대</v>
      </c>
    </row>
    <row r="148" spans="1:5" x14ac:dyDescent="0.45">
      <c r="A148" t="s">
        <v>2453</v>
      </c>
      <c r="B148" t="s">
        <v>2620</v>
      </c>
      <c r="C148">
        <v>52</v>
      </c>
      <c r="D148" t="s">
        <v>2625</v>
      </c>
      <c r="E148" t="str">
        <f t="shared" si="2"/>
        <v>50대 이상</v>
      </c>
    </row>
    <row r="149" spans="1:5" x14ac:dyDescent="0.45">
      <c r="A149" t="s">
        <v>2494</v>
      </c>
      <c r="B149" t="s">
        <v>2620</v>
      </c>
      <c r="C149">
        <v>45</v>
      </c>
      <c r="D149" t="s">
        <v>2628</v>
      </c>
      <c r="E149" t="str">
        <f t="shared" si="2"/>
        <v>40대</v>
      </c>
    </row>
    <row r="150" spans="1:5" x14ac:dyDescent="0.45">
      <c r="A150" t="s">
        <v>2465</v>
      </c>
      <c r="B150" t="s">
        <v>2621</v>
      </c>
      <c r="C150">
        <v>23</v>
      </c>
      <c r="D150" t="s">
        <v>2626</v>
      </c>
      <c r="E150" t="str">
        <f t="shared" si="2"/>
        <v>20대</v>
      </c>
    </row>
    <row r="151" spans="1:5" x14ac:dyDescent="0.45">
      <c r="A151" t="s">
        <v>2429</v>
      </c>
      <c r="B151" t="s">
        <v>2654</v>
      </c>
      <c r="C151">
        <v>16</v>
      </c>
      <c r="D151" t="s">
        <v>2626</v>
      </c>
      <c r="E151" t="str">
        <f t="shared" si="2"/>
        <v>10대</v>
      </c>
    </row>
  </sheetData>
  <autoFilter ref="A1:D151" xr:uid="{7D5A1F8F-6CDC-4561-AA61-9B3D43BE7082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zoomScale="40" zoomScaleNormal="40" workbookViewId="0">
      <selection activeCell="E17" sqref="E17"/>
    </sheetView>
  </sheetViews>
  <sheetFormatPr defaultColWidth="8.83203125" defaultRowHeight="17" x14ac:dyDescent="0.45"/>
  <sheetData>
    <row r="1" spans="1:5" x14ac:dyDescent="0.45">
      <c r="A1" s="1" t="s">
        <v>3</v>
      </c>
      <c r="B1" s="1" t="s">
        <v>2629</v>
      </c>
      <c r="C1" s="1" t="s">
        <v>2648</v>
      </c>
      <c r="D1" s="1" t="s">
        <v>2630</v>
      </c>
      <c r="E1" s="1" t="s">
        <v>5</v>
      </c>
    </row>
    <row r="2" spans="1:5" x14ac:dyDescent="0.45">
      <c r="A2" t="s">
        <v>2594</v>
      </c>
      <c r="B2" t="s">
        <v>2639</v>
      </c>
      <c r="C2" t="s">
        <v>2631</v>
      </c>
      <c r="D2" t="s">
        <v>2633</v>
      </c>
      <c r="E2">
        <v>73000</v>
      </c>
    </row>
    <row r="3" spans="1:5" x14ac:dyDescent="0.45">
      <c r="A3" t="s">
        <v>2551</v>
      </c>
      <c r="B3" t="s">
        <v>2640</v>
      </c>
      <c r="C3" t="s">
        <v>2632</v>
      </c>
      <c r="D3" t="s">
        <v>2634</v>
      </c>
      <c r="E3">
        <v>66600</v>
      </c>
    </row>
    <row r="4" spans="1:5" x14ac:dyDescent="0.45">
      <c r="A4" t="s">
        <v>2564</v>
      </c>
      <c r="B4" t="s">
        <v>2641</v>
      </c>
      <c r="C4" t="s">
        <v>2631</v>
      </c>
      <c r="D4" t="s">
        <v>2634</v>
      </c>
      <c r="E4">
        <v>66600</v>
      </c>
    </row>
    <row r="5" spans="1:5" x14ac:dyDescent="0.45">
      <c r="A5" t="s">
        <v>2596</v>
      </c>
      <c r="B5" t="s">
        <v>2641</v>
      </c>
      <c r="C5" t="s">
        <v>2631</v>
      </c>
      <c r="D5" t="s">
        <v>2633</v>
      </c>
      <c r="E5">
        <v>59700</v>
      </c>
    </row>
    <row r="6" spans="1:5" x14ac:dyDescent="0.45">
      <c r="A6" t="s">
        <v>2571</v>
      </c>
      <c r="B6" t="s">
        <v>2639</v>
      </c>
      <c r="C6" t="s">
        <v>2631</v>
      </c>
      <c r="D6" t="s">
        <v>2634</v>
      </c>
      <c r="E6">
        <v>55600</v>
      </c>
    </row>
    <row r="7" spans="1:5" x14ac:dyDescent="0.45">
      <c r="A7" t="s">
        <v>2553</v>
      </c>
      <c r="B7" t="s">
        <v>2642</v>
      </c>
      <c r="C7" t="s">
        <v>2632</v>
      </c>
      <c r="D7" t="s">
        <v>2635</v>
      </c>
      <c r="E7">
        <v>63400</v>
      </c>
    </row>
    <row r="8" spans="1:5" x14ac:dyDescent="0.45">
      <c r="A8" t="s">
        <v>2591</v>
      </c>
      <c r="B8" t="s">
        <v>2643</v>
      </c>
      <c r="C8" t="s">
        <v>2631</v>
      </c>
      <c r="D8" t="s">
        <v>2635</v>
      </c>
      <c r="E8">
        <v>69200</v>
      </c>
    </row>
    <row r="9" spans="1:5" x14ac:dyDescent="0.45">
      <c r="A9" t="s">
        <v>2580</v>
      </c>
      <c r="B9" t="s">
        <v>2641</v>
      </c>
      <c r="C9" t="s">
        <v>2631</v>
      </c>
      <c r="D9" t="s">
        <v>2633</v>
      </c>
      <c r="E9">
        <v>77800</v>
      </c>
    </row>
    <row r="10" spans="1:5" x14ac:dyDescent="0.45">
      <c r="A10" t="s">
        <v>2552</v>
      </c>
      <c r="B10" t="s">
        <v>2643</v>
      </c>
      <c r="C10" t="s">
        <v>2631</v>
      </c>
      <c r="D10" t="s">
        <v>2636</v>
      </c>
      <c r="E10">
        <v>13300</v>
      </c>
    </row>
    <row r="11" spans="1:5" x14ac:dyDescent="0.45">
      <c r="A11" t="s">
        <v>2573</v>
      </c>
      <c r="B11" t="s">
        <v>2642</v>
      </c>
      <c r="C11" t="s">
        <v>2632</v>
      </c>
      <c r="D11" t="s">
        <v>2636</v>
      </c>
      <c r="E11">
        <v>6400</v>
      </c>
    </row>
    <row r="12" spans="1:5" x14ac:dyDescent="0.45">
      <c r="A12" t="s">
        <v>2566</v>
      </c>
      <c r="B12" t="s">
        <v>2644</v>
      </c>
      <c r="C12" t="s">
        <v>2631</v>
      </c>
      <c r="D12" t="s">
        <v>2633</v>
      </c>
      <c r="E12">
        <v>60600</v>
      </c>
    </row>
    <row r="13" spans="1:5" x14ac:dyDescent="0.45">
      <c r="A13" t="s">
        <v>2604</v>
      </c>
      <c r="B13" t="s">
        <v>2644</v>
      </c>
      <c r="C13" t="s">
        <v>2631</v>
      </c>
      <c r="D13" t="s">
        <v>2636</v>
      </c>
      <c r="E13">
        <v>9700</v>
      </c>
    </row>
    <row r="14" spans="1:5" x14ac:dyDescent="0.45">
      <c r="A14" t="s">
        <v>2555</v>
      </c>
      <c r="B14" t="s">
        <v>2641</v>
      </c>
      <c r="C14" t="s">
        <v>2631</v>
      </c>
      <c r="D14" t="s">
        <v>2636</v>
      </c>
      <c r="E14">
        <v>8300</v>
      </c>
    </row>
    <row r="15" spans="1:5" x14ac:dyDescent="0.45">
      <c r="A15" t="s">
        <v>2572</v>
      </c>
      <c r="B15" t="s">
        <v>2644</v>
      </c>
      <c r="C15" t="s">
        <v>2631</v>
      </c>
      <c r="D15" t="s">
        <v>2635</v>
      </c>
      <c r="E15">
        <v>61700</v>
      </c>
    </row>
    <row r="16" spans="1:5" x14ac:dyDescent="0.45">
      <c r="A16" t="s">
        <v>2607</v>
      </c>
      <c r="B16" t="s">
        <v>2645</v>
      </c>
      <c r="C16" t="s">
        <v>2632</v>
      </c>
      <c r="D16" t="s">
        <v>2636</v>
      </c>
      <c r="E16">
        <v>16000</v>
      </c>
    </row>
    <row r="17" spans="1:5" x14ac:dyDescent="0.45">
      <c r="A17" t="s">
        <v>2585</v>
      </c>
      <c r="B17" t="s">
        <v>2644</v>
      </c>
      <c r="C17" t="s">
        <v>2631</v>
      </c>
      <c r="D17" t="s">
        <v>2637</v>
      </c>
      <c r="E17">
        <v>14900</v>
      </c>
    </row>
    <row r="18" spans="1:5" x14ac:dyDescent="0.45">
      <c r="A18" t="s">
        <v>2605</v>
      </c>
      <c r="B18" t="s">
        <v>2646</v>
      </c>
      <c r="C18" t="s">
        <v>2632</v>
      </c>
      <c r="D18" t="s">
        <v>2638</v>
      </c>
      <c r="E18">
        <v>6800</v>
      </c>
    </row>
    <row r="19" spans="1:5" x14ac:dyDescent="0.45">
      <c r="A19" t="s">
        <v>2565</v>
      </c>
      <c r="B19" t="s">
        <v>2646</v>
      </c>
      <c r="C19" t="s">
        <v>2632</v>
      </c>
      <c r="D19" t="s">
        <v>2634</v>
      </c>
      <c r="E19">
        <v>50000</v>
      </c>
    </row>
    <row r="20" spans="1:5" x14ac:dyDescent="0.45">
      <c r="A20" t="s">
        <v>2595</v>
      </c>
      <c r="B20" t="s">
        <v>2640</v>
      </c>
      <c r="C20" t="s">
        <v>2632</v>
      </c>
      <c r="D20" t="s">
        <v>2637</v>
      </c>
      <c r="E20">
        <v>12700</v>
      </c>
    </row>
    <row r="21" spans="1:5" x14ac:dyDescent="0.45">
      <c r="A21" t="s">
        <v>2600</v>
      </c>
      <c r="B21" t="s">
        <v>2643</v>
      </c>
      <c r="C21" t="s">
        <v>2631</v>
      </c>
      <c r="D21" t="s">
        <v>2636</v>
      </c>
      <c r="E21">
        <v>10900</v>
      </c>
    </row>
    <row r="22" spans="1:5" x14ac:dyDescent="0.45">
      <c r="A22" t="s">
        <v>2597</v>
      </c>
      <c r="B22" t="s">
        <v>2640</v>
      </c>
      <c r="C22" t="s">
        <v>2632</v>
      </c>
      <c r="D22" t="s">
        <v>2635</v>
      </c>
      <c r="E22">
        <v>65300</v>
      </c>
    </row>
    <row r="23" spans="1:5" x14ac:dyDescent="0.45">
      <c r="A23" t="s">
        <v>2558</v>
      </c>
      <c r="B23" t="s">
        <v>2643</v>
      </c>
      <c r="C23" t="s">
        <v>2631</v>
      </c>
      <c r="D23" t="s">
        <v>2633</v>
      </c>
      <c r="E23">
        <v>63700</v>
      </c>
    </row>
    <row r="24" spans="1:5" x14ac:dyDescent="0.45">
      <c r="A24" t="s">
        <v>2603</v>
      </c>
      <c r="B24" t="s">
        <v>2645</v>
      </c>
      <c r="C24" t="s">
        <v>2632</v>
      </c>
      <c r="D24" t="s">
        <v>2636</v>
      </c>
      <c r="E24">
        <v>8200</v>
      </c>
    </row>
    <row r="25" spans="1:5" x14ac:dyDescent="0.45">
      <c r="A25" t="s">
        <v>2599</v>
      </c>
      <c r="B25" t="s">
        <v>2646</v>
      </c>
      <c r="C25" t="s">
        <v>2632</v>
      </c>
      <c r="D25" t="s">
        <v>2635</v>
      </c>
      <c r="E25">
        <v>73800</v>
      </c>
    </row>
    <row r="26" spans="1:5" x14ac:dyDescent="0.45">
      <c r="A26" t="s">
        <v>2559</v>
      </c>
      <c r="B26" t="s">
        <v>2640</v>
      </c>
      <c r="C26" t="s">
        <v>2632</v>
      </c>
      <c r="D26" t="s">
        <v>2638</v>
      </c>
      <c r="E26">
        <v>5400</v>
      </c>
    </row>
    <row r="27" spans="1:5" x14ac:dyDescent="0.45">
      <c r="A27" t="s">
        <v>2575</v>
      </c>
      <c r="B27" t="s">
        <v>2640</v>
      </c>
      <c r="C27" t="s">
        <v>2632</v>
      </c>
      <c r="D27" t="s">
        <v>2636</v>
      </c>
      <c r="E27">
        <v>7200</v>
      </c>
    </row>
    <row r="28" spans="1:5" x14ac:dyDescent="0.45">
      <c r="A28" t="s">
        <v>2592</v>
      </c>
      <c r="B28" t="s">
        <v>2642</v>
      </c>
      <c r="C28" t="s">
        <v>2632</v>
      </c>
      <c r="D28" t="s">
        <v>2633</v>
      </c>
      <c r="E28">
        <v>72700</v>
      </c>
    </row>
    <row r="29" spans="1:5" x14ac:dyDescent="0.45">
      <c r="A29" t="s">
        <v>2609</v>
      </c>
      <c r="B29" t="s">
        <v>2645</v>
      </c>
      <c r="C29" t="s">
        <v>2632</v>
      </c>
      <c r="D29" t="s">
        <v>2635</v>
      </c>
      <c r="E29">
        <v>58600</v>
      </c>
    </row>
    <row r="30" spans="1:5" x14ac:dyDescent="0.45">
      <c r="A30" t="s">
        <v>2556</v>
      </c>
      <c r="B30" t="s">
        <v>2646</v>
      </c>
      <c r="C30" t="s">
        <v>2632</v>
      </c>
      <c r="D30" t="s">
        <v>2635</v>
      </c>
      <c r="E30">
        <v>70100</v>
      </c>
    </row>
    <row r="31" spans="1:5" x14ac:dyDescent="0.45">
      <c r="A31" t="s">
        <v>2581</v>
      </c>
      <c r="B31" t="s">
        <v>2642</v>
      </c>
      <c r="C31" t="s">
        <v>2632</v>
      </c>
      <c r="D31" t="s">
        <v>2635</v>
      </c>
      <c r="E31">
        <v>72900</v>
      </c>
    </row>
    <row r="32" spans="1:5" x14ac:dyDescent="0.45">
      <c r="A32" t="s">
        <v>2608</v>
      </c>
      <c r="B32" t="s">
        <v>2643</v>
      </c>
      <c r="C32" t="s">
        <v>2631</v>
      </c>
      <c r="D32" t="s">
        <v>2638</v>
      </c>
      <c r="E32">
        <v>10600</v>
      </c>
    </row>
    <row r="33" spans="1:5" x14ac:dyDescent="0.45">
      <c r="A33" t="s">
        <v>2583</v>
      </c>
      <c r="B33" t="s">
        <v>2643</v>
      </c>
      <c r="C33" t="s">
        <v>2631</v>
      </c>
      <c r="D33" t="s">
        <v>2636</v>
      </c>
      <c r="E33">
        <v>6600</v>
      </c>
    </row>
    <row r="34" spans="1:5" x14ac:dyDescent="0.45">
      <c r="A34" t="s">
        <v>2554</v>
      </c>
      <c r="B34" t="s">
        <v>2642</v>
      </c>
      <c r="C34" t="s">
        <v>2632</v>
      </c>
      <c r="D34" t="s">
        <v>2638</v>
      </c>
      <c r="E34">
        <v>12100</v>
      </c>
    </row>
    <row r="35" spans="1:5" x14ac:dyDescent="0.45">
      <c r="A35" t="s">
        <v>2578</v>
      </c>
      <c r="B35" t="s">
        <v>2642</v>
      </c>
      <c r="C35" t="s">
        <v>2632</v>
      </c>
      <c r="D35" t="s">
        <v>2634</v>
      </c>
      <c r="E35">
        <v>78000</v>
      </c>
    </row>
    <row r="36" spans="1:5" x14ac:dyDescent="0.45">
      <c r="A36" t="s">
        <v>2561</v>
      </c>
      <c r="B36" t="s">
        <v>2642</v>
      </c>
      <c r="C36" t="s">
        <v>2632</v>
      </c>
      <c r="D36" t="s">
        <v>2634</v>
      </c>
      <c r="E36">
        <v>63300</v>
      </c>
    </row>
    <row r="37" spans="1:5" x14ac:dyDescent="0.45">
      <c r="A37" t="s">
        <v>2562</v>
      </c>
      <c r="B37" t="s">
        <v>2644</v>
      </c>
      <c r="C37" t="s">
        <v>2631</v>
      </c>
      <c r="D37" t="s">
        <v>2636</v>
      </c>
      <c r="E37">
        <v>15600</v>
      </c>
    </row>
    <row r="38" spans="1:5" x14ac:dyDescent="0.45">
      <c r="A38" t="s">
        <v>2563</v>
      </c>
      <c r="B38" t="s">
        <v>2642</v>
      </c>
      <c r="C38" t="s">
        <v>2632</v>
      </c>
      <c r="D38" t="s">
        <v>2638</v>
      </c>
      <c r="E38">
        <v>6900</v>
      </c>
    </row>
    <row r="39" spans="1:5" x14ac:dyDescent="0.45">
      <c r="A39" t="s">
        <v>2589</v>
      </c>
      <c r="B39" t="s">
        <v>2643</v>
      </c>
      <c r="C39" t="s">
        <v>2631</v>
      </c>
      <c r="D39" t="s">
        <v>2633</v>
      </c>
      <c r="E39">
        <v>71400</v>
      </c>
    </row>
    <row r="40" spans="1:5" x14ac:dyDescent="0.45">
      <c r="A40" t="s">
        <v>2560</v>
      </c>
      <c r="B40" t="s">
        <v>2644</v>
      </c>
      <c r="C40" t="s">
        <v>2631</v>
      </c>
      <c r="D40" t="s">
        <v>2635</v>
      </c>
      <c r="E40">
        <v>60600</v>
      </c>
    </row>
    <row r="41" spans="1:5" x14ac:dyDescent="0.45">
      <c r="A41" t="s">
        <v>2598</v>
      </c>
      <c r="B41" t="s">
        <v>2641</v>
      </c>
      <c r="C41" t="s">
        <v>2631</v>
      </c>
      <c r="D41" t="s">
        <v>2635</v>
      </c>
      <c r="E41">
        <v>77300</v>
      </c>
    </row>
    <row r="42" spans="1:5" x14ac:dyDescent="0.45">
      <c r="A42" t="s">
        <v>2601</v>
      </c>
      <c r="B42" t="s">
        <v>2639</v>
      </c>
      <c r="C42" t="s">
        <v>2631</v>
      </c>
      <c r="D42" t="s">
        <v>2636</v>
      </c>
      <c r="E42">
        <v>17000</v>
      </c>
    </row>
    <row r="43" spans="1:5" x14ac:dyDescent="0.45">
      <c r="A43" t="s">
        <v>2593</v>
      </c>
      <c r="B43" t="s">
        <v>2644</v>
      </c>
      <c r="C43" t="s">
        <v>2631</v>
      </c>
      <c r="D43" t="s">
        <v>2634</v>
      </c>
      <c r="E43">
        <v>74600</v>
      </c>
    </row>
    <row r="44" spans="1:5" x14ac:dyDescent="0.45">
      <c r="A44" t="s">
        <v>2567</v>
      </c>
      <c r="B44" t="s">
        <v>2642</v>
      </c>
      <c r="C44" t="s">
        <v>2632</v>
      </c>
      <c r="D44" t="s">
        <v>2634</v>
      </c>
      <c r="E44">
        <v>58600</v>
      </c>
    </row>
    <row r="45" spans="1:5" x14ac:dyDescent="0.45">
      <c r="A45" t="s">
        <v>2579</v>
      </c>
      <c r="B45" t="s">
        <v>2646</v>
      </c>
      <c r="C45" t="s">
        <v>2632</v>
      </c>
      <c r="D45" t="s">
        <v>2635</v>
      </c>
      <c r="E45">
        <v>51000</v>
      </c>
    </row>
    <row r="46" spans="1:5" x14ac:dyDescent="0.45">
      <c r="A46" t="s">
        <v>2606</v>
      </c>
      <c r="B46" t="s">
        <v>2642</v>
      </c>
      <c r="C46" t="s">
        <v>2632</v>
      </c>
      <c r="D46" t="s">
        <v>2636</v>
      </c>
      <c r="E46">
        <v>15000</v>
      </c>
    </row>
    <row r="47" spans="1:5" x14ac:dyDescent="0.45">
      <c r="A47" t="s">
        <v>2588</v>
      </c>
      <c r="B47" t="s">
        <v>2642</v>
      </c>
      <c r="C47" t="s">
        <v>2632</v>
      </c>
      <c r="D47" t="s">
        <v>2638</v>
      </c>
      <c r="E47">
        <v>7700</v>
      </c>
    </row>
    <row r="48" spans="1:5" x14ac:dyDescent="0.45">
      <c r="A48" t="s">
        <v>2586</v>
      </c>
      <c r="B48" t="s">
        <v>2642</v>
      </c>
      <c r="C48" t="s">
        <v>2632</v>
      </c>
      <c r="D48" t="s">
        <v>2634</v>
      </c>
      <c r="E48">
        <v>73000</v>
      </c>
    </row>
    <row r="49" spans="1:5" x14ac:dyDescent="0.45">
      <c r="A49" t="s">
        <v>2574</v>
      </c>
      <c r="B49" t="s">
        <v>2643</v>
      </c>
      <c r="C49" t="s">
        <v>2631</v>
      </c>
      <c r="D49" t="s">
        <v>2638</v>
      </c>
      <c r="E49">
        <v>8600</v>
      </c>
    </row>
    <row r="50" spans="1:5" x14ac:dyDescent="0.45">
      <c r="A50" t="s">
        <v>2557</v>
      </c>
      <c r="B50" t="s">
        <v>2642</v>
      </c>
      <c r="C50" t="s">
        <v>2632</v>
      </c>
      <c r="D50" t="s">
        <v>2634</v>
      </c>
      <c r="E50">
        <v>77700</v>
      </c>
    </row>
    <row r="51" spans="1:5" x14ac:dyDescent="0.45">
      <c r="A51" t="s">
        <v>2587</v>
      </c>
      <c r="B51" t="s">
        <v>2640</v>
      </c>
      <c r="C51" t="s">
        <v>2632</v>
      </c>
      <c r="D51" t="s">
        <v>2634</v>
      </c>
      <c r="E51">
        <v>50200</v>
      </c>
    </row>
    <row r="52" spans="1:5" x14ac:dyDescent="0.45">
      <c r="A52" t="s">
        <v>2577</v>
      </c>
      <c r="B52" t="s">
        <v>2643</v>
      </c>
      <c r="C52" t="s">
        <v>2631</v>
      </c>
      <c r="D52" t="s">
        <v>2637</v>
      </c>
      <c r="E52">
        <v>10200</v>
      </c>
    </row>
    <row r="53" spans="1:5" x14ac:dyDescent="0.45">
      <c r="A53" t="s">
        <v>2570</v>
      </c>
      <c r="B53" t="s">
        <v>2640</v>
      </c>
      <c r="C53" t="s">
        <v>2632</v>
      </c>
      <c r="D53" t="s">
        <v>2634</v>
      </c>
      <c r="E53">
        <v>73900</v>
      </c>
    </row>
    <row r="54" spans="1:5" x14ac:dyDescent="0.45">
      <c r="A54" t="s">
        <v>2602</v>
      </c>
      <c r="B54" t="s">
        <v>2643</v>
      </c>
      <c r="C54" t="s">
        <v>2631</v>
      </c>
      <c r="D54" t="s">
        <v>2633</v>
      </c>
      <c r="E54">
        <v>59900</v>
      </c>
    </row>
    <row r="55" spans="1:5" x14ac:dyDescent="0.45">
      <c r="A55" t="s">
        <v>2569</v>
      </c>
      <c r="B55" t="s">
        <v>2642</v>
      </c>
      <c r="C55" t="s">
        <v>2632</v>
      </c>
      <c r="D55" t="s">
        <v>2636</v>
      </c>
      <c r="E55">
        <v>11400</v>
      </c>
    </row>
    <row r="56" spans="1:5" x14ac:dyDescent="0.45">
      <c r="A56" t="s">
        <v>2610</v>
      </c>
      <c r="B56" t="s">
        <v>2639</v>
      </c>
      <c r="C56" t="s">
        <v>2631</v>
      </c>
      <c r="D56" t="s">
        <v>2636</v>
      </c>
      <c r="E56">
        <v>18800</v>
      </c>
    </row>
    <row r="57" spans="1:5" x14ac:dyDescent="0.45">
      <c r="A57" t="s">
        <v>2576</v>
      </c>
      <c r="B57" t="s">
        <v>2646</v>
      </c>
      <c r="C57" t="s">
        <v>2632</v>
      </c>
      <c r="D57" t="s">
        <v>2638</v>
      </c>
      <c r="E57">
        <v>8800</v>
      </c>
    </row>
    <row r="58" spans="1:5" x14ac:dyDescent="0.45">
      <c r="A58" t="s">
        <v>2584</v>
      </c>
      <c r="B58" t="s">
        <v>2645</v>
      </c>
      <c r="C58" t="s">
        <v>2632</v>
      </c>
      <c r="D58" t="s">
        <v>2634</v>
      </c>
      <c r="E58">
        <v>59700</v>
      </c>
    </row>
    <row r="59" spans="1:5" x14ac:dyDescent="0.45">
      <c r="A59" t="s">
        <v>2590</v>
      </c>
      <c r="B59" t="s">
        <v>2644</v>
      </c>
      <c r="C59" t="s">
        <v>2631</v>
      </c>
      <c r="D59" t="s">
        <v>2633</v>
      </c>
      <c r="E59">
        <v>68900</v>
      </c>
    </row>
    <row r="60" spans="1:5" x14ac:dyDescent="0.45">
      <c r="A60" t="s">
        <v>2582</v>
      </c>
      <c r="B60" t="s">
        <v>2643</v>
      </c>
      <c r="C60" t="s">
        <v>2631</v>
      </c>
      <c r="D60" t="s">
        <v>2638</v>
      </c>
      <c r="E60">
        <v>12500</v>
      </c>
    </row>
    <row r="61" spans="1:5" x14ac:dyDescent="0.45">
      <c r="A61" t="s">
        <v>2568</v>
      </c>
      <c r="B61" t="s">
        <v>2641</v>
      </c>
      <c r="C61" t="s">
        <v>2631</v>
      </c>
      <c r="D61" t="s">
        <v>2637</v>
      </c>
      <c r="E61">
        <v>16800</v>
      </c>
    </row>
  </sheetData>
  <autoFilter ref="A1:E1" xr:uid="{F0C08FC7-BA6D-4972-911F-A1CDBEB2376F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주문내역</vt:lpstr>
      <vt:lpstr>고객정보</vt:lpstr>
      <vt:lpstr>상품정보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2025-05-26T08:53:17Z</dcterms:created>
  <dcterms:modified xsi:type="dcterms:W3CDTF">2026-07-01T10:01:32Z</dcterms:modified>
</cp:coreProperties>
</file>